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Bob\Downloads\"/>
    </mc:Choice>
  </mc:AlternateContent>
  <xr:revisionPtr revIDLastSave="0" documentId="13_ncr:1_{4C25C604-5994-4093-ABF5-02BD54E66BD9}" xr6:coauthVersionLast="47" xr6:coauthVersionMax="47" xr10:uidLastSave="{00000000-0000-0000-0000-000000000000}"/>
  <bookViews>
    <workbookView xWindow="-24330" yWindow="2100" windowWidth="23460" windowHeight="12495" xr2:uid="{76B95A40-D9BD-498C-A59F-9895C0FE60B8}"/>
  </bookViews>
  <sheets>
    <sheet name="Worksheet" sheetId="1" r:id="rId1"/>
    <sheet name="Stored" sheetId="4" r:id="rId2"/>
    <sheet name="Info" sheetId="3" r:id="rId3"/>
    <sheet name="Validation" sheetId="5" r:id="rId4"/>
    <sheet name="Computations" sheetId="2" r:id="rId5"/>
  </sheets>
  <functionGroups builtInGroupCount="19"/>
  <definedNames>
    <definedName name="BMat">Computations!$B$3:$E$12</definedName>
    <definedName name="BMatrix">TRUE</definedName>
    <definedName name="BTra">Computations!$G$3:$P$6</definedName>
    <definedName name="BTranspose">TRUE</definedName>
    <definedName name="FMat">Computations!$G$8:$G$17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0" i="5" l="1"/>
  <c r="C9" i="5"/>
  <c r="B9" i="5"/>
  <c r="A9" i="5"/>
  <c r="C8" i="5"/>
  <c r="B8" i="5"/>
  <c r="A8" i="5"/>
  <c r="C7" i="5"/>
  <c r="B7" i="5"/>
  <c r="A7" i="5"/>
  <c r="C6" i="5"/>
  <c r="B6" i="5"/>
  <c r="A6" i="5"/>
  <c r="C5" i="5"/>
  <c r="B5" i="5"/>
  <c r="A5" i="5"/>
  <c r="J12" i="5" s="1"/>
  <c r="AB19" i="1"/>
  <c r="AB20" i="1"/>
  <c r="AB21" i="1"/>
  <c r="AB22" i="1"/>
  <c r="AB23" i="1"/>
  <c r="AB24" i="1"/>
  <c r="AB25" i="1"/>
  <c r="AB26" i="1"/>
  <c r="AB27" i="1"/>
  <c r="AB28" i="1"/>
  <c r="AB29" i="1"/>
  <c r="AB30" i="1"/>
  <c r="AB31" i="1"/>
  <c r="AB32" i="1"/>
  <c r="AB33" i="1"/>
  <c r="AB34" i="1"/>
  <c r="AB35" i="1"/>
  <c r="AB36" i="1"/>
  <c r="AB37" i="1"/>
  <c r="AB38" i="1"/>
  <c r="AB39" i="1"/>
  <c r="AB40" i="1"/>
  <c r="AB41" i="1"/>
  <c r="AB42" i="1"/>
  <c r="AB43" i="1"/>
  <c r="AB44" i="1"/>
  <c r="AB45" i="1"/>
  <c r="AB46" i="1"/>
  <c r="AB47" i="1"/>
  <c r="AB48" i="1"/>
  <c r="AB49" i="1"/>
  <c r="AB50" i="1"/>
  <c r="AB51" i="1"/>
  <c r="AB52" i="1"/>
  <c r="AB53" i="1"/>
  <c r="AB54" i="1"/>
  <c r="AB55" i="1"/>
  <c r="AB56" i="1"/>
  <c r="AB57" i="1"/>
  <c r="AB58" i="1"/>
  <c r="AB59" i="1"/>
  <c r="AB60" i="1"/>
  <c r="AB61" i="1"/>
  <c r="AB62" i="1"/>
  <c r="AB63" i="1"/>
  <c r="AB64" i="1"/>
  <c r="AB65" i="1"/>
  <c r="AB66" i="1"/>
  <c r="AB67" i="1"/>
  <c r="AB68" i="1"/>
  <c r="AB69" i="1"/>
  <c r="AB70" i="1"/>
  <c r="AB71" i="1"/>
  <c r="AB72" i="1"/>
  <c r="AB73" i="1"/>
  <c r="AB74" i="1"/>
  <c r="AB75" i="1"/>
  <c r="AB76" i="1"/>
  <c r="AB77" i="1"/>
  <c r="AB78" i="1"/>
  <c r="AB79" i="1"/>
  <c r="AB80" i="1"/>
  <c r="AB81" i="1"/>
  <c r="AB82" i="1"/>
  <c r="AB83" i="1"/>
  <c r="AB84" i="1"/>
  <c r="AB85" i="1"/>
  <c r="AB86" i="1"/>
  <c r="AB87" i="1"/>
  <c r="AB88" i="1"/>
  <c r="AB89" i="1"/>
  <c r="AB90" i="1"/>
  <c r="AB91" i="1"/>
  <c r="AB92" i="1"/>
  <c r="AB93" i="1"/>
  <c r="AB94" i="1"/>
  <c r="AB95" i="1"/>
  <c r="AB96" i="1"/>
  <c r="AB97" i="1"/>
  <c r="AB98" i="1"/>
  <c r="AB99" i="1"/>
  <c r="AB100" i="1"/>
  <c r="AB101" i="1"/>
  <c r="AB102" i="1"/>
  <c r="AB103" i="1"/>
  <c r="AB104" i="1"/>
  <c r="AB105" i="1"/>
  <c r="AB106" i="1"/>
  <c r="AB107" i="1"/>
  <c r="AB108" i="1"/>
  <c r="AB109" i="1"/>
  <c r="AB110" i="1"/>
  <c r="AB111" i="1"/>
  <c r="AB112" i="1"/>
  <c r="AB113" i="1"/>
  <c r="AB114" i="1"/>
  <c r="AB115" i="1"/>
  <c r="AB116" i="1"/>
  <c r="AB117" i="1"/>
  <c r="AB118" i="1"/>
  <c r="AB119" i="1"/>
  <c r="AB120" i="1"/>
  <c r="AB121" i="1"/>
  <c r="AB122" i="1"/>
  <c r="AB123" i="1"/>
  <c r="AB124" i="1"/>
  <c r="AB125" i="1"/>
  <c r="AB126" i="1"/>
  <c r="AB127" i="1"/>
  <c r="AB128" i="1"/>
  <c r="AB129" i="1"/>
  <c r="AB130" i="1"/>
  <c r="AB131" i="1"/>
  <c r="AB132" i="1"/>
  <c r="AB133" i="1"/>
  <c r="AB134" i="1"/>
  <c r="AB135" i="1"/>
  <c r="AB136" i="1"/>
  <c r="AB137" i="1"/>
  <c r="AB138" i="1"/>
  <c r="AB139" i="1"/>
  <c r="AB140" i="1"/>
  <c r="AB141" i="1"/>
  <c r="AB142" i="1"/>
  <c r="AB143" i="1"/>
  <c r="AB144" i="1"/>
  <c r="AB145" i="1"/>
  <c r="AB146" i="1"/>
  <c r="AB147" i="1"/>
  <c r="AB148" i="1"/>
  <c r="AB149" i="1"/>
  <c r="AB150" i="1"/>
  <c r="AB151" i="1"/>
  <c r="AB152" i="1"/>
  <c r="AB153" i="1"/>
  <c r="AB154" i="1"/>
  <c r="AB155" i="1"/>
  <c r="AB156" i="1"/>
  <c r="AB157" i="1"/>
  <c r="AB158" i="1"/>
  <c r="AB159" i="1"/>
  <c r="AB160" i="1"/>
  <c r="AB161" i="1"/>
  <c r="AB162" i="1"/>
  <c r="AB163" i="1"/>
  <c r="AB164" i="1"/>
  <c r="AB165" i="1"/>
  <c r="AB166" i="1"/>
  <c r="AB167" i="1"/>
  <c r="AB168" i="1"/>
  <c r="AB169" i="1"/>
  <c r="AB170" i="1"/>
  <c r="AB171" i="1"/>
  <c r="AB172" i="1"/>
  <c r="AB173" i="1"/>
  <c r="AB174" i="1"/>
  <c r="AB175" i="1"/>
  <c r="AB176" i="1"/>
  <c r="AB177" i="1"/>
  <c r="AB178" i="1"/>
  <c r="AB179" i="1"/>
  <c r="AB180" i="1"/>
  <c r="AB181" i="1"/>
  <c r="AB182" i="1"/>
  <c r="AB183" i="1"/>
  <c r="AB184" i="1"/>
  <c r="AB185" i="1"/>
  <c r="AB186" i="1"/>
  <c r="AB187" i="1"/>
  <c r="AB188" i="1"/>
  <c r="AB189" i="1"/>
  <c r="AB190" i="1"/>
  <c r="AB191" i="1"/>
  <c r="AB192" i="1"/>
  <c r="AB193" i="1"/>
  <c r="AB194" i="1"/>
  <c r="AB195" i="1"/>
  <c r="AB196" i="1"/>
  <c r="AB197" i="1"/>
  <c r="AB198" i="1"/>
  <c r="AB199" i="1"/>
  <c r="AB200" i="1"/>
  <c r="AB201" i="1"/>
  <c r="AB202" i="1"/>
  <c r="AB203" i="1"/>
  <c r="AB204" i="1"/>
  <c r="AB205" i="1"/>
  <c r="AB206" i="1"/>
  <c r="AB207" i="1"/>
  <c r="AB208" i="1"/>
  <c r="AB209" i="1"/>
  <c r="AB210" i="1"/>
  <c r="AB211" i="1"/>
  <c r="AB212" i="1"/>
  <c r="AB213" i="1"/>
  <c r="AB214" i="1"/>
  <c r="AB215" i="1"/>
  <c r="AB216" i="1"/>
  <c r="AB217" i="1"/>
  <c r="AB218" i="1"/>
  <c r="AB219" i="1"/>
  <c r="AB220" i="1"/>
  <c r="AB221" i="1"/>
  <c r="AB222" i="1"/>
  <c r="AB223" i="1"/>
  <c r="AB224" i="1"/>
  <c r="AB225" i="1"/>
  <c r="AB226" i="1"/>
  <c r="AB227" i="1"/>
  <c r="AB228" i="1"/>
  <c r="AB229" i="1"/>
  <c r="AB230" i="1"/>
  <c r="AB231" i="1"/>
  <c r="AB232" i="1"/>
  <c r="AB233" i="1"/>
  <c r="AB234" i="1"/>
  <c r="AB235" i="1"/>
  <c r="AB236" i="1"/>
  <c r="AB237" i="1"/>
  <c r="AB238" i="1"/>
  <c r="AB239" i="1"/>
  <c r="AB240" i="1"/>
  <c r="AB241" i="1"/>
  <c r="AB242" i="1"/>
  <c r="AB243" i="1"/>
  <c r="AB244" i="1"/>
  <c r="AB245" i="1"/>
  <c r="AB246" i="1"/>
  <c r="AB247" i="1"/>
  <c r="AB248" i="1"/>
  <c r="AB249" i="1"/>
  <c r="AB250" i="1"/>
  <c r="AB251" i="1"/>
  <c r="AB252" i="1"/>
  <c r="AB253" i="1"/>
  <c r="AB254" i="1"/>
  <c r="AB255" i="1"/>
  <c r="AB256" i="1"/>
  <c r="AB257" i="1"/>
  <c r="AB258" i="1"/>
  <c r="AB259" i="1"/>
  <c r="AB260" i="1"/>
  <c r="AB261" i="1"/>
  <c r="AB262" i="1"/>
  <c r="AB263" i="1"/>
  <c r="AB264" i="1"/>
  <c r="AB265" i="1"/>
  <c r="AB266" i="1"/>
  <c r="AB267" i="1"/>
  <c r="AB268" i="1"/>
  <c r="AB269" i="1"/>
  <c r="AB270" i="1"/>
  <c r="AB271" i="1"/>
  <c r="AB272" i="1"/>
  <c r="AB273" i="1"/>
  <c r="AB274" i="1"/>
  <c r="AB275" i="1"/>
  <c r="AB276" i="1"/>
  <c r="AB277" i="1"/>
  <c r="AB278" i="1"/>
  <c r="AB279" i="1"/>
  <c r="AB280" i="1"/>
  <c r="AB281" i="1"/>
  <c r="AB282" i="1"/>
  <c r="AB283" i="1"/>
  <c r="AB284" i="1"/>
  <c r="AB285" i="1"/>
  <c r="AB286" i="1"/>
  <c r="AB287" i="1"/>
  <c r="AB288" i="1"/>
  <c r="AB289" i="1"/>
  <c r="AB290" i="1"/>
  <c r="AB291" i="1"/>
  <c r="AB292" i="1"/>
  <c r="AB293" i="1"/>
  <c r="AB294" i="1"/>
  <c r="AB295" i="1"/>
  <c r="AB296" i="1"/>
  <c r="AB297" i="1"/>
  <c r="AB298" i="1"/>
  <c r="AB299" i="1"/>
  <c r="AB300" i="1"/>
  <c r="I13" i="2" a="1"/>
  <c r="I13" i="2" s="1"/>
  <c r="I8" i="2" a="1"/>
  <c r="I8" i="2" s="1"/>
  <c r="S4" i="1" a="1"/>
  <c r="T4" i="1" a="1"/>
  <c r="I16" i="2" l="1"/>
  <c r="I15" i="2"/>
  <c r="I14" i="2"/>
  <c r="I9" i="2"/>
  <c r="K8" i="2"/>
  <c r="K10" i="2"/>
  <c r="K11" i="2"/>
  <c r="L11" i="2"/>
  <c r="K9" i="2"/>
  <c r="J11" i="2"/>
  <c r="J9" i="2"/>
  <c r="I10" i="2"/>
  <c r="J10" i="2"/>
  <c r="L9" i="2"/>
  <c r="J8" i="2"/>
  <c r="I11" i="2"/>
  <c r="L10" i="2"/>
  <c r="L8" i="2"/>
  <c r="L57" i="1"/>
  <c r="AA59" i="1"/>
  <c r="J196" i="1"/>
  <c r="L172" i="1"/>
  <c r="J193" i="1"/>
  <c r="L293" i="1"/>
  <c r="L235" i="1"/>
  <c r="L232" i="1"/>
  <c r="J273" i="1"/>
  <c r="J108" i="1"/>
  <c r="L282" i="1"/>
  <c r="AA132" i="1"/>
  <c r="AA194" i="1"/>
  <c r="L119" i="1"/>
  <c r="L65" i="1"/>
  <c r="AA68" i="1"/>
  <c r="AA125" i="1"/>
  <c r="J139" i="1"/>
  <c r="J292" i="1"/>
  <c r="L152" i="1"/>
  <c r="L88" i="1"/>
  <c r="L267" i="1"/>
  <c r="J281" i="1"/>
  <c r="J258" i="1"/>
  <c r="AA247" i="1"/>
  <c r="AA89" i="1"/>
  <c r="J26" i="1"/>
  <c r="L14" i="1"/>
  <c r="AA197" i="1"/>
  <c r="AA189" i="1"/>
  <c r="J150" i="1"/>
  <c r="J271" i="1"/>
  <c r="AA215" i="1"/>
  <c r="J36" i="1"/>
  <c r="AA287" i="1"/>
  <c r="L279" i="1"/>
  <c r="L199" i="1"/>
  <c r="J65" i="1"/>
  <c r="L46" i="1"/>
  <c r="AA6" i="1"/>
  <c r="L246" i="1"/>
  <c r="AA295" i="1"/>
  <c r="J4" i="1"/>
  <c r="J195" i="1"/>
  <c r="AA130" i="1"/>
  <c r="L32" i="1"/>
  <c r="AA128" i="1"/>
  <c r="L127" i="1"/>
  <c r="J272" i="1"/>
  <c r="L231" i="1"/>
  <c r="L4" i="1"/>
  <c r="L146" i="1"/>
  <c r="AA71" i="1"/>
  <c r="L81" i="1"/>
  <c r="L26" i="1"/>
  <c r="AA206" i="1"/>
  <c r="AA16" i="1"/>
  <c r="L101" i="1"/>
  <c r="L225" i="1"/>
  <c r="J24" i="1"/>
  <c r="L142" i="1"/>
  <c r="L174" i="1"/>
  <c r="L89" i="1"/>
  <c r="J167" i="1"/>
  <c r="L198" i="1"/>
  <c r="L24" i="1"/>
  <c r="AA39" i="1"/>
  <c r="L291" i="1"/>
  <c r="J8" i="1"/>
  <c r="AA231" i="1"/>
  <c r="L189" i="1"/>
  <c r="L210" i="1"/>
  <c r="L227" i="1"/>
  <c r="J102" i="1"/>
  <c r="AA265" i="1"/>
  <c r="AA111" i="1"/>
  <c r="J64" i="1"/>
  <c r="J40" i="1"/>
  <c r="L161" i="1"/>
  <c r="L91" i="1"/>
  <c r="AA144" i="1"/>
  <c r="AA279" i="1"/>
  <c r="AA38" i="1"/>
  <c r="J198" i="1"/>
  <c r="J282" i="1"/>
  <c r="AA201" i="1"/>
  <c r="J78" i="1"/>
  <c r="J46" i="1"/>
  <c r="J127" i="1"/>
  <c r="AA51" i="1"/>
  <c r="L294" i="1"/>
  <c r="AA208" i="1"/>
  <c r="AA149" i="1"/>
  <c r="AA141" i="1"/>
  <c r="L273" i="1"/>
  <c r="J279" i="1"/>
  <c r="J293" i="1"/>
  <c r="AA52" i="1"/>
  <c r="L77" i="1"/>
  <c r="AA120" i="1"/>
  <c r="AA133" i="1"/>
  <c r="AA55" i="1"/>
  <c r="L110" i="1"/>
  <c r="AA243" i="1"/>
  <c r="L204" i="1"/>
  <c r="J156" i="1"/>
  <c r="L80" i="1"/>
  <c r="J155" i="1"/>
  <c r="L296" i="1"/>
  <c r="AA273" i="1"/>
  <c r="L281" i="1"/>
  <c r="AA289" i="1"/>
  <c r="AA264" i="1"/>
  <c r="AA25" i="1"/>
  <c r="L122" i="1"/>
  <c r="AA119" i="1"/>
  <c r="J17" i="1"/>
  <c r="AA35" i="1"/>
  <c r="L226" i="1"/>
  <c r="S16" i="1"/>
  <c r="AA103" i="1"/>
  <c r="AA24" i="1"/>
  <c r="L250" i="1"/>
  <c r="L29" i="1"/>
  <c r="J11" i="1"/>
  <c r="J97" i="1"/>
  <c r="L166" i="1"/>
  <c r="AA61" i="1"/>
  <c r="J264" i="1"/>
  <c r="J154" i="1"/>
  <c r="L86" i="1"/>
  <c r="J251" i="1"/>
  <c r="J285" i="1"/>
  <c r="L73" i="1"/>
  <c r="AA163" i="1"/>
  <c r="L147" i="1"/>
  <c r="AA290" i="1"/>
  <c r="L95" i="1"/>
  <c r="L41" i="1"/>
  <c r="L271" i="1"/>
  <c r="L238" i="1"/>
  <c r="J148" i="1"/>
  <c r="AA88" i="1"/>
  <c r="J80" i="1"/>
  <c r="J76" i="1"/>
  <c r="J288" i="1"/>
  <c r="AA267" i="1"/>
  <c r="L6" i="1"/>
  <c r="L79" i="1"/>
  <c r="AA50" i="1"/>
  <c r="L156" i="1"/>
  <c r="AA249" i="1"/>
  <c r="J171" i="1"/>
  <c r="L33" i="1"/>
  <c r="J66" i="1"/>
  <c r="AA202" i="1"/>
  <c r="J106" i="1"/>
  <c r="L23" i="1"/>
  <c r="AA260" i="1"/>
  <c r="AA203" i="1"/>
  <c r="J75" i="1"/>
  <c r="J49" i="1"/>
  <c r="J112" i="1"/>
  <c r="L158" i="1"/>
  <c r="L280" i="1"/>
  <c r="J187" i="1"/>
  <c r="L159" i="1"/>
  <c r="L242" i="1"/>
  <c r="J137" i="1"/>
  <c r="L261" i="1"/>
  <c r="L219" i="1"/>
  <c r="J186" i="1"/>
  <c r="L99" i="1"/>
  <c r="J190" i="1"/>
  <c r="J234" i="1"/>
  <c r="J283" i="1"/>
  <c r="AA161" i="1"/>
  <c r="L30" i="1"/>
  <c r="L236" i="1"/>
  <c r="L181" i="1"/>
  <c r="J19" i="1"/>
  <c r="J32" i="1"/>
  <c r="L251" i="1"/>
  <c r="L153" i="1"/>
  <c r="J274" i="1"/>
  <c r="J221" i="1"/>
  <c r="AA217" i="1"/>
  <c r="AA233" i="1"/>
  <c r="AA108" i="1"/>
  <c r="J216" i="1"/>
  <c r="J33" i="1"/>
  <c r="L100" i="1"/>
  <c r="J71" i="1"/>
  <c r="AA121" i="1"/>
  <c r="L38" i="1"/>
  <c r="L93" i="1"/>
  <c r="AA173" i="1"/>
  <c r="L105" i="1"/>
  <c r="J136" i="1"/>
  <c r="J69" i="1"/>
  <c r="L85" i="1"/>
  <c r="AA34" i="1"/>
  <c r="L139" i="1"/>
  <c r="L102" i="1"/>
  <c r="L103" i="1"/>
  <c r="AA212" i="1"/>
  <c r="L5" i="1"/>
  <c r="L44" i="1"/>
  <c r="L256" i="1"/>
  <c r="J110" i="1"/>
  <c r="AA107" i="1"/>
  <c r="J170" i="1"/>
  <c r="AA153" i="1"/>
  <c r="L269" i="1"/>
  <c r="AA257" i="1"/>
  <c r="J14" i="1"/>
  <c r="J61" i="1"/>
  <c r="J79" i="1"/>
  <c r="L243" i="1"/>
  <c r="L53" i="1"/>
  <c r="L34" i="1"/>
  <c r="AA126" i="1"/>
  <c r="J231" i="1"/>
  <c r="J31" i="1"/>
  <c r="AA155" i="1"/>
  <c r="L123" i="1"/>
  <c r="J125" i="1"/>
  <c r="L148" i="1"/>
  <c r="L94" i="1"/>
  <c r="J73" i="1"/>
  <c r="J208" i="1"/>
  <c r="AA31" i="1"/>
  <c r="AA64" i="1"/>
  <c r="AA166" i="1"/>
  <c r="AA179" i="1"/>
  <c r="AA210" i="1"/>
  <c r="AA143" i="1"/>
  <c r="AA160" i="1"/>
  <c r="L116" i="1"/>
  <c r="J182" i="1"/>
  <c r="L140" i="1"/>
  <c r="L163" i="1"/>
  <c r="L289" i="1"/>
  <c r="L211" i="1"/>
  <c r="L263" i="1"/>
  <c r="L112" i="1"/>
  <c r="L68" i="1"/>
  <c r="L136" i="1"/>
  <c r="J126" i="1"/>
  <c r="J93" i="1"/>
  <c r="J164" i="1"/>
  <c r="AA57" i="1"/>
  <c r="J242" i="1"/>
  <c r="AA254" i="1"/>
  <c r="AA109" i="1"/>
  <c r="L69" i="1"/>
  <c r="J290" i="1"/>
  <c r="L106" i="1"/>
  <c r="L47" i="1"/>
  <c r="J84" i="1"/>
  <c r="J237" i="1"/>
  <c r="L168" i="1"/>
  <c r="AA101" i="1"/>
  <c r="J246" i="1"/>
  <c r="AA256" i="1"/>
  <c r="L131" i="1"/>
  <c r="J22" i="1"/>
  <c r="L64" i="1"/>
  <c r="L43" i="1"/>
  <c r="L76" i="1"/>
  <c r="J220" i="1"/>
  <c r="AA294" i="1"/>
  <c r="L278" i="1"/>
  <c r="J214" i="1"/>
  <c r="J41" i="1"/>
  <c r="J238" i="1"/>
  <c r="L215" i="1"/>
  <c r="J82" i="1"/>
  <c r="AA158" i="1"/>
  <c r="L249" i="1"/>
  <c r="L205" i="1"/>
  <c r="AA85" i="1"/>
  <c r="AA12" i="1"/>
  <c r="AA171" i="1"/>
  <c r="L187" i="1"/>
  <c r="L12" i="1"/>
  <c r="J54" i="1"/>
  <c r="J74" i="1"/>
  <c r="J260" i="1"/>
  <c r="AA60" i="1"/>
  <c r="L201" i="1"/>
  <c r="AA274" i="1"/>
  <c r="AA222" i="1"/>
  <c r="J116" i="1"/>
  <c r="J232" i="1"/>
  <c r="J211" i="1"/>
  <c r="L212" i="1"/>
  <c r="AA219" i="1"/>
  <c r="AA23" i="1"/>
  <c r="L132" i="1"/>
  <c r="AA299" i="1"/>
  <c r="L244" i="1"/>
  <c r="L164" i="1"/>
  <c r="L224" i="1"/>
  <c r="J15" i="1"/>
  <c r="J185" i="1"/>
  <c r="L284" i="1"/>
  <c r="L16" i="1"/>
  <c r="AA112" i="1"/>
  <c r="J30" i="1"/>
  <c r="L50" i="1"/>
  <c r="AA9" i="1"/>
  <c r="AA225" i="1"/>
  <c r="L175" i="1"/>
  <c r="L98" i="1"/>
  <c r="AA29" i="1"/>
  <c r="J129" i="1"/>
  <c r="J43" i="1"/>
  <c r="AA41" i="1"/>
  <c r="L194" i="1"/>
  <c r="J161" i="1"/>
  <c r="AA238" i="1"/>
  <c r="L248" i="1"/>
  <c r="L60" i="1"/>
  <c r="L274" i="1"/>
  <c r="L167" i="1"/>
  <c r="AA54" i="1"/>
  <c r="AA14" i="1"/>
  <c r="L216" i="1"/>
  <c r="J202" i="1"/>
  <c r="AA56" i="1"/>
  <c r="J55" i="1"/>
  <c r="L290" i="1"/>
  <c r="AA45" i="1"/>
  <c r="J241" i="1"/>
  <c r="L149" i="1"/>
  <c r="AA213" i="1"/>
  <c r="L8" i="1"/>
  <c r="J113" i="1"/>
  <c r="AA293" i="1"/>
  <c r="L270" i="1"/>
  <c r="L283" i="1"/>
  <c r="AA226" i="1"/>
  <c r="J103" i="1"/>
  <c r="AA285" i="1"/>
  <c r="AA118" i="1"/>
  <c r="AA253" i="1"/>
  <c r="L107" i="1"/>
  <c r="J23" i="1"/>
  <c r="AA114" i="1"/>
  <c r="J287" i="1"/>
  <c r="L195" i="1"/>
  <c r="J178" i="1"/>
  <c r="AA98" i="1"/>
  <c r="J59" i="1"/>
  <c r="J278" i="1"/>
  <c r="J62" i="1"/>
  <c r="J153" i="1"/>
  <c r="L237" i="1"/>
  <c r="L197" i="1"/>
  <c r="L90" i="1"/>
  <c r="L298" i="1"/>
  <c r="AA284" i="1"/>
  <c r="J228" i="1"/>
  <c r="J192" i="1"/>
  <c r="J235" i="1"/>
  <c r="AA135" i="1"/>
  <c r="J166" i="1"/>
  <c r="J77" i="1"/>
  <c r="AA40" i="1"/>
  <c r="J201" i="1"/>
  <c r="L180" i="1"/>
  <c r="AA170" i="1"/>
  <c r="J132" i="1"/>
  <c r="AA67" i="1"/>
  <c r="AA235" i="1"/>
  <c r="AA124" i="1"/>
  <c r="J159" i="1"/>
  <c r="AA44" i="1"/>
  <c r="L17" i="1"/>
  <c r="J89" i="1"/>
  <c r="L74" i="1"/>
  <c r="AA96" i="1"/>
  <c r="J230" i="1"/>
  <c r="AA19" i="1"/>
  <c r="AA102" i="1"/>
  <c r="AA228" i="1"/>
  <c r="L203" i="1"/>
  <c r="J7" i="1"/>
  <c r="AA176" i="1"/>
  <c r="AA178" i="1"/>
  <c r="AA78" i="1"/>
  <c r="AA175" i="1"/>
  <c r="AA223" i="1"/>
  <c r="L173" i="1"/>
  <c r="L15" i="1"/>
  <c r="J39" i="1"/>
  <c r="J217" i="1"/>
  <c r="L220" i="1"/>
  <c r="L209" i="1"/>
  <c r="AA236" i="1"/>
  <c r="AA184" i="1"/>
  <c r="J289" i="1"/>
  <c r="J270" i="1"/>
  <c r="L134" i="1"/>
  <c r="AA168" i="1"/>
  <c r="AA86" i="1"/>
  <c r="AA291" i="1"/>
  <c r="J25" i="1"/>
  <c r="AA195" i="1"/>
  <c r="J219" i="1"/>
  <c r="AA150" i="1"/>
  <c r="L218" i="1"/>
  <c r="AA211" i="1"/>
  <c r="L299" i="1"/>
  <c r="AA241" i="1"/>
  <c r="AA105" i="1"/>
  <c r="L97" i="1"/>
  <c r="J162" i="1"/>
  <c r="L297" i="1"/>
  <c r="J151" i="1"/>
  <c r="J248" i="1"/>
  <c r="J286" i="1"/>
  <c r="AA240" i="1"/>
  <c r="AA83" i="1"/>
  <c r="AA198" i="1"/>
  <c r="J50" i="1"/>
  <c r="J180" i="1"/>
  <c r="J295" i="1"/>
  <c r="AA100" i="1"/>
  <c r="L22" i="1"/>
  <c r="L58" i="1"/>
  <c r="L239" i="1"/>
  <c r="J203" i="1"/>
  <c r="J188" i="1"/>
  <c r="AA204" i="1"/>
  <c r="AA46" i="1"/>
  <c r="L229" i="1"/>
  <c r="AA262" i="1"/>
  <c r="L56" i="1"/>
  <c r="L150" i="1"/>
  <c r="J92" i="1"/>
  <c r="AA182" i="1"/>
  <c r="L177" i="1"/>
  <c r="J194" i="1"/>
  <c r="J67" i="1"/>
  <c r="J174" i="1"/>
  <c r="AA157" i="1"/>
  <c r="J53" i="1"/>
  <c r="J244" i="1"/>
  <c r="AA104" i="1"/>
  <c r="AA283" i="1"/>
  <c r="J131" i="1"/>
  <c r="AA180" i="1"/>
  <c r="L208" i="1"/>
  <c r="L121" i="1"/>
  <c r="L39" i="1"/>
  <c r="J124" i="1"/>
  <c r="L264" i="1"/>
  <c r="L182" i="1"/>
  <c r="J47" i="1"/>
  <c r="AA246" i="1"/>
  <c r="J257" i="1"/>
  <c r="J245" i="1"/>
  <c r="J121" i="1"/>
  <c r="J229" i="1"/>
  <c r="AA7" i="1"/>
  <c r="L114" i="1"/>
  <c r="L48" i="1"/>
  <c r="J165" i="1"/>
  <c r="L276" i="1"/>
  <c r="L67" i="1"/>
  <c r="J173" i="1"/>
  <c r="L120" i="1"/>
  <c r="AA165" i="1"/>
  <c r="AA266" i="1"/>
  <c r="AA297" i="1"/>
  <c r="L62" i="1"/>
  <c r="AA207" i="1"/>
  <c r="L138" i="1"/>
  <c r="AA167" i="1"/>
  <c r="L185" i="1"/>
  <c r="J259" i="1"/>
  <c r="AA26" i="1"/>
  <c r="J291" i="1"/>
  <c r="L130" i="1"/>
  <c r="AA192" i="1"/>
  <c r="AA300" i="1"/>
  <c r="AA30" i="1"/>
  <c r="L183" i="1"/>
  <c r="L115" i="1"/>
  <c r="J5" i="1"/>
  <c r="AA172" i="1"/>
  <c r="J114" i="1"/>
  <c r="J284" i="1"/>
  <c r="AA162" i="1"/>
  <c r="J205" i="1"/>
  <c r="AA93" i="1"/>
  <c r="J88" i="1"/>
  <c r="AA154" i="1"/>
  <c r="AA259" i="1"/>
  <c r="L9" i="1"/>
  <c r="AA43" i="1"/>
  <c r="L55" i="1"/>
  <c r="J294" i="1"/>
  <c r="L295" i="1"/>
  <c r="L72" i="1"/>
  <c r="L71" i="1"/>
  <c r="L25" i="1"/>
  <c r="L113" i="1"/>
  <c r="L254" i="1"/>
  <c r="J109" i="1"/>
  <c r="J297" i="1"/>
  <c r="J28" i="1"/>
  <c r="AA17" i="1"/>
  <c r="L165" i="1"/>
  <c r="J175" i="1"/>
  <c r="AA110" i="1"/>
  <c r="AA66" i="1"/>
  <c r="AA214" i="1"/>
  <c r="L228" i="1"/>
  <c r="L28" i="1"/>
  <c r="L118" i="1"/>
  <c r="J99" i="1"/>
  <c r="J218" i="1"/>
  <c r="AA146" i="1"/>
  <c r="AA188" i="1"/>
  <c r="AA185" i="1"/>
  <c r="L19" i="1"/>
  <c r="AA164" i="1"/>
  <c r="J147" i="1"/>
  <c r="L54" i="1"/>
  <c r="J172" i="1"/>
  <c r="J275" i="1"/>
  <c r="J134" i="1"/>
  <c r="L233" i="1"/>
  <c r="J83" i="1"/>
  <c r="AA286" i="1"/>
  <c r="L59" i="1"/>
  <c r="AA209" i="1"/>
  <c r="L253" i="1"/>
  <c r="J298" i="1"/>
  <c r="AA116" i="1"/>
  <c r="J280" i="1"/>
  <c r="L40" i="1"/>
  <c r="L141" i="1"/>
  <c r="L63" i="1"/>
  <c r="AA8" i="1"/>
  <c r="J100" i="1"/>
  <c r="AA73" i="1"/>
  <c r="L157" i="1"/>
  <c r="L260" i="1"/>
  <c r="J184" i="1"/>
  <c r="J209" i="1"/>
  <c r="AA232" i="1"/>
  <c r="J226" i="1"/>
  <c r="AA276" i="1"/>
  <c r="J81" i="1"/>
  <c r="J44" i="1"/>
  <c r="J118" i="1"/>
  <c r="AA205" i="1"/>
  <c r="AA81" i="1"/>
  <c r="L27" i="1"/>
  <c r="L160" i="1"/>
  <c r="L292" i="1"/>
  <c r="J119" i="1"/>
  <c r="J96" i="1"/>
  <c r="J51" i="1"/>
  <c r="J87" i="1"/>
  <c r="AA191" i="1"/>
  <c r="AA252" i="1"/>
  <c r="J207" i="1"/>
  <c r="AA22" i="1"/>
  <c r="J277" i="1"/>
  <c r="AA113" i="1"/>
  <c r="L190" i="1"/>
  <c r="J72" i="1"/>
  <c r="AA62" i="1"/>
  <c r="L36" i="1"/>
  <c r="AA32" i="1"/>
  <c r="L285" i="1"/>
  <c r="J169" i="1"/>
  <c r="AA280" i="1"/>
  <c r="AA190" i="1"/>
  <c r="L245" i="1"/>
  <c r="L31" i="1"/>
  <c r="J300" i="1"/>
  <c r="AA142" i="1"/>
  <c r="L52" i="1"/>
  <c r="J37" i="1"/>
  <c r="AA82" i="1"/>
  <c r="J98" i="1"/>
  <c r="AA186" i="1"/>
  <c r="J152" i="1"/>
  <c r="L217" i="1"/>
  <c r="AA28" i="1"/>
  <c r="AA230" i="1"/>
  <c r="AA200" i="1"/>
  <c r="AA218" i="1"/>
  <c r="L222" i="1"/>
  <c r="AA255" i="1"/>
  <c r="L191" i="1"/>
  <c r="J90" i="1"/>
  <c r="J225" i="1"/>
  <c r="L124" i="1"/>
  <c r="L104" i="1"/>
  <c r="J227" i="1"/>
  <c r="AA129" i="1"/>
  <c r="L188" i="1"/>
  <c r="AA227" i="1"/>
  <c r="AA251" i="1"/>
  <c r="J141" i="1"/>
  <c r="L257" i="1"/>
  <c r="J206" i="1"/>
  <c r="L51" i="1"/>
  <c r="J239" i="1"/>
  <c r="AA272" i="1"/>
  <c r="L42" i="1"/>
  <c r="J85" i="1"/>
  <c r="AA91" i="1"/>
  <c r="L206" i="1"/>
  <c r="AA177" i="1"/>
  <c r="AA258" i="1"/>
  <c r="L287" i="1"/>
  <c r="L230" i="1"/>
  <c r="AA145" i="1"/>
  <c r="L128" i="1"/>
  <c r="L125" i="1"/>
  <c r="L49" i="1"/>
  <c r="J222" i="1"/>
  <c r="J210" i="1"/>
  <c r="J179" i="1"/>
  <c r="L247" i="1"/>
  <c r="AA263" i="1"/>
  <c r="L7" i="1"/>
  <c r="AA169" i="1"/>
  <c r="L240" i="1"/>
  <c r="J299" i="1"/>
  <c r="J243" i="1"/>
  <c r="AA278" i="1"/>
  <c r="L144" i="1"/>
  <c r="AA275" i="1"/>
  <c r="AA4" i="1"/>
  <c r="AA106" i="1"/>
  <c r="L135" i="1"/>
  <c r="J215" i="1"/>
  <c r="L117" i="1"/>
  <c r="J48" i="1"/>
  <c r="AA193" i="1"/>
  <c r="AA65" i="1"/>
  <c r="J12" i="1"/>
  <c r="J145" i="1"/>
  <c r="AA70" i="1"/>
  <c r="J181" i="1"/>
  <c r="L207" i="1"/>
  <c r="L61" i="1"/>
  <c r="AA270" i="1"/>
  <c r="AA79" i="1"/>
  <c r="L87" i="1"/>
  <c r="L37" i="1"/>
  <c r="L272" i="1"/>
  <c r="AA48" i="1"/>
  <c r="J107" i="1"/>
  <c r="J157" i="1"/>
  <c r="L92" i="1"/>
  <c r="AA69" i="1"/>
  <c r="AA148" i="1"/>
  <c r="AA250" i="1"/>
  <c r="J168" i="1"/>
  <c r="J122" i="1"/>
  <c r="J123" i="1"/>
  <c r="L162" i="1"/>
  <c r="J262" i="1"/>
  <c r="L82" i="1"/>
  <c r="J111" i="1"/>
  <c r="AA53" i="1"/>
  <c r="J254" i="1"/>
  <c r="J199" i="1"/>
  <c r="AA84" i="1"/>
  <c r="AA298" i="1"/>
  <c r="L78" i="1"/>
  <c r="J101" i="1"/>
  <c r="L223" i="1"/>
  <c r="J128" i="1"/>
  <c r="AA75" i="1"/>
  <c r="L179" i="1"/>
  <c r="AA174" i="1"/>
  <c r="J223" i="1"/>
  <c r="J142" i="1"/>
  <c r="AA15" i="1"/>
  <c r="J56" i="1"/>
  <c r="AA159" i="1"/>
  <c r="AA21" i="1"/>
  <c r="AA269" i="1"/>
  <c r="J256" i="1"/>
  <c r="L111" i="1"/>
  <c r="J52" i="1"/>
  <c r="AA140" i="1"/>
  <c r="L259" i="1"/>
  <c r="L84" i="1"/>
  <c r="J149" i="1"/>
  <c r="J42" i="1"/>
  <c r="AA123" i="1"/>
  <c r="AA137" i="1"/>
  <c r="AA47" i="1"/>
  <c r="J91" i="1"/>
  <c r="J130" i="1"/>
  <c r="AA268" i="1"/>
  <c r="L286" i="1"/>
  <c r="J233" i="1"/>
  <c r="AA94" i="1"/>
  <c r="AA151" i="1"/>
  <c r="L96" i="1"/>
  <c r="L145" i="1"/>
  <c r="L214" i="1"/>
  <c r="AA152" i="1"/>
  <c r="AA74" i="1"/>
  <c r="J247" i="1"/>
  <c r="L70" i="1"/>
  <c r="L262" i="1"/>
  <c r="AA99" i="1"/>
  <c r="J160" i="1"/>
  <c r="AA33" i="1"/>
  <c r="AA220" i="1"/>
  <c r="J105" i="1"/>
  <c r="J34" i="1"/>
  <c r="AA80" i="1"/>
  <c r="J197" i="1"/>
  <c r="AA281" i="1"/>
  <c r="L265" i="1"/>
  <c r="L18" i="1"/>
  <c r="AA11" i="1"/>
  <c r="J117" i="1"/>
  <c r="L184" i="1"/>
  <c r="J146" i="1"/>
  <c r="AA36" i="1"/>
  <c r="L192" i="1"/>
  <c r="J63" i="1"/>
  <c r="S17" i="1"/>
  <c r="J13" i="1"/>
  <c r="AA92" i="1"/>
  <c r="J70" i="1"/>
  <c r="J212" i="1"/>
  <c r="L66" i="1"/>
  <c r="L277" i="1"/>
  <c r="J183" i="1"/>
  <c r="J176" i="1"/>
  <c r="L213" i="1"/>
  <c r="J9" i="1"/>
  <c r="J163" i="1"/>
  <c r="J200" i="1"/>
  <c r="L171" i="1"/>
  <c r="AA115" i="1"/>
  <c r="AA10" i="1"/>
  <c r="L169" i="1"/>
  <c r="J296" i="1"/>
  <c r="AA216" i="1"/>
  <c r="AA49" i="1"/>
  <c r="AA271" i="1"/>
  <c r="J38" i="1"/>
  <c r="L129" i="1"/>
  <c r="J177" i="1"/>
  <c r="J86" i="1"/>
  <c r="L234" i="1"/>
  <c r="J45" i="1"/>
  <c r="AA242" i="1"/>
  <c r="L155" i="1"/>
  <c r="J265" i="1"/>
  <c r="J191" i="1"/>
  <c r="J253" i="1"/>
  <c r="AA37" i="1"/>
  <c r="L200" i="1"/>
  <c r="AA245" i="1"/>
  <c r="L268" i="1"/>
  <c r="AA122" i="1"/>
  <c r="AA244" i="1"/>
  <c r="AA63" i="1"/>
  <c r="L178" i="1"/>
  <c r="L186" i="1"/>
  <c r="AA248" i="1"/>
  <c r="J35" i="1"/>
  <c r="AA5" i="1"/>
  <c r="L10" i="1"/>
  <c r="AA131" i="1"/>
  <c r="J120" i="1"/>
  <c r="AA72" i="1"/>
  <c r="AA234" i="1"/>
  <c r="J240" i="1"/>
  <c r="J58" i="1"/>
  <c r="AA183" i="1"/>
  <c r="L255" i="1"/>
  <c r="J18" i="1"/>
  <c r="L143" i="1"/>
  <c r="J6" i="1"/>
  <c r="J21" i="1"/>
  <c r="AA77" i="1"/>
  <c r="J60" i="1"/>
  <c r="AA229" i="1"/>
  <c r="L275" i="1"/>
  <c r="L300" i="1"/>
  <c r="L83" i="1"/>
  <c r="AA139" i="1"/>
  <c r="J94" i="1"/>
  <c r="L288" i="1"/>
  <c r="J144" i="1"/>
  <c r="J158" i="1"/>
  <c r="AA95" i="1"/>
  <c r="L221" i="1"/>
  <c r="L170" i="1"/>
  <c r="J267" i="1"/>
  <c r="L126" i="1"/>
  <c r="J189" i="1"/>
  <c r="AA134" i="1"/>
  <c r="L137" i="1"/>
  <c r="J204" i="1"/>
  <c r="J269" i="1"/>
  <c r="J249" i="1"/>
  <c r="L35" i="1"/>
  <c r="AA42" i="1"/>
  <c r="AA196" i="1"/>
  <c r="J252" i="1"/>
  <c r="AA20" i="1"/>
  <c r="L202" i="1"/>
  <c r="AA147" i="1"/>
  <c r="L11" i="1"/>
  <c r="L13" i="1"/>
  <c r="L75" i="1"/>
  <c r="J268" i="1"/>
  <c r="AA87" i="1"/>
  <c r="J213" i="1"/>
  <c r="J16" i="1"/>
  <c r="AA76" i="1"/>
  <c r="AA136" i="1"/>
  <c r="AA18" i="1"/>
  <c r="J261" i="1"/>
  <c r="J224" i="1"/>
  <c r="AA261" i="1"/>
  <c r="L108" i="1"/>
  <c r="AA13" i="1"/>
  <c r="L21" i="1"/>
  <c r="AA288" i="1"/>
  <c r="J236" i="1"/>
  <c r="AA156" i="1"/>
  <c r="L266" i="1"/>
  <c r="L133" i="1"/>
  <c r="AA296" i="1"/>
  <c r="J263" i="1"/>
  <c r="AA90" i="1"/>
  <c r="L45" i="1"/>
  <c r="L109" i="1"/>
  <c r="AA282" i="1"/>
  <c r="J27" i="1"/>
  <c r="L241" i="1"/>
  <c r="L176" i="1"/>
  <c r="L196" i="1"/>
  <c r="L151" i="1"/>
  <c r="J255" i="1"/>
  <c r="AA181" i="1"/>
  <c r="J115" i="1"/>
  <c r="J250" i="1"/>
  <c r="AA127" i="1"/>
  <c r="J140" i="1"/>
  <c r="L20" i="1"/>
  <c r="AA277" i="1"/>
  <c r="AA224" i="1"/>
  <c r="J138" i="1"/>
  <c r="AA237" i="1"/>
  <c r="AA97" i="1"/>
  <c r="AA187" i="1"/>
  <c r="J276" i="1"/>
  <c r="L252" i="1"/>
  <c r="J57" i="1"/>
  <c r="J143" i="1"/>
  <c r="L154" i="1"/>
  <c r="J29" i="1"/>
  <c r="J104" i="1"/>
  <c r="AA239" i="1"/>
  <c r="J133" i="1"/>
  <c r="J266" i="1"/>
  <c r="L258" i="1"/>
  <c r="AA199" i="1"/>
  <c r="L193" i="1"/>
  <c r="AA292" i="1"/>
  <c r="J95" i="1"/>
  <c r="J20" i="1"/>
  <c r="AA58" i="1"/>
  <c r="AA117" i="1"/>
  <c r="J135" i="1"/>
  <c r="AA221" i="1"/>
  <c r="AA27" i="1"/>
  <c r="J68" i="1"/>
  <c r="AA138" i="1"/>
  <c r="J10" i="1"/>
  <c r="K116" i="1" l="1"/>
  <c r="N116" i="1" s="1"/>
  <c r="P116" i="1"/>
  <c r="AB16" i="1"/>
  <c r="P260" i="1"/>
  <c r="N260" i="1"/>
  <c r="K260" i="1"/>
  <c r="K159" i="1"/>
  <c r="P159" i="1" s="1"/>
  <c r="K26" i="1"/>
  <c r="P26" i="1" s="1"/>
  <c r="K149" i="1"/>
  <c r="P149" i="1" s="1"/>
  <c r="K21" i="1"/>
  <c r="N21" i="1" s="1"/>
  <c r="K176" i="1"/>
  <c r="N176" i="1" s="1"/>
  <c r="K70" i="1"/>
  <c r="N70" i="1" s="1"/>
  <c r="K219" i="1"/>
  <c r="N219" i="1" s="1"/>
  <c r="K24" i="1"/>
  <c r="P24" i="1" s="1"/>
  <c r="AB15" i="1"/>
  <c r="P207" i="1"/>
  <c r="K207" i="1"/>
  <c r="N207" i="1" s="1"/>
  <c r="P43" i="1"/>
  <c r="K43" i="1"/>
  <c r="N43" i="1"/>
  <c r="K119" i="1"/>
  <c r="P119" i="1" s="1"/>
  <c r="N119" i="1"/>
  <c r="K12" i="1"/>
  <c r="P12" i="1" s="1"/>
  <c r="K120" i="1"/>
  <c r="P120" i="1" s="1"/>
  <c r="K35" i="1"/>
  <c r="N35" i="1"/>
  <c r="P35" i="1"/>
  <c r="K44" i="1"/>
  <c r="P44" i="1"/>
  <c r="N44" i="1"/>
  <c r="K36" i="1"/>
  <c r="N36" i="1" s="1"/>
  <c r="P178" i="1"/>
  <c r="K178" i="1"/>
  <c r="N178" i="1" s="1"/>
  <c r="K93" i="1"/>
  <c r="P93" i="1" s="1"/>
  <c r="N93" i="1"/>
  <c r="AB8" i="1"/>
  <c r="K75" i="1"/>
  <c r="P75" i="1" s="1"/>
  <c r="N75" i="1"/>
  <c r="P266" i="1"/>
  <c r="K266" i="1"/>
  <c r="N266" i="1"/>
  <c r="K299" i="1"/>
  <c r="P299" i="1"/>
  <c r="N299" i="1"/>
  <c r="K31" i="1"/>
  <c r="N31" i="1" s="1"/>
  <c r="P270" i="1"/>
  <c r="N270" i="1"/>
  <c r="K270" i="1"/>
  <c r="K199" i="1"/>
  <c r="P199" i="1"/>
  <c r="N199" i="1"/>
  <c r="K184" i="1"/>
  <c r="N184" i="1"/>
  <c r="P184" i="1"/>
  <c r="K150" i="1"/>
  <c r="P150" i="1" s="1"/>
  <c r="AB9" i="1"/>
  <c r="N282" i="1"/>
  <c r="P282" i="1"/>
  <c r="K282" i="1"/>
  <c r="K95" i="1"/>
  <c r="N95" i="1" s="1"/>
  <c r="K161" i="1"/>
  <c r="P161" i="1" s="1"/>
  <c r="N161" i="1"/>
  <c r="K197" i="1"/>
  <c r="N197" i="1"/>
  <c r="P197" i="1"/>
  <c r="N254" i="1"/>
  <c r="P254" i="1"/>
  <c r="K254" i="1"/>
  <c r="K18" i="1"/>
  <c r="P18" i="1" s="1"/>
  <c r="K229" i="1"/>
  <c r="N229" i="1" s="1"/>
  <c r="N280" i="1"/>
  <c r="P280" i="1"/>
  <c r="K280" i="1"/>
  <c r="K74" i="1"/>
  <c r="N74" i="1" s="1"/>
  <c r="P74" i="1"/>
  <c r="N258" i="1"/>
  <c r="K258" i="1"/>
  <c r="P258" i="1"/>
  <c r="N109" i="1"/>
  <c r="K109" i="1"/>
  <c r="P109" i="1" s="1"/>
  <c r="K48" i="1"/>
  <c r="P48" i="1" s="1"/>
  <c r="K241" i="1"/>
  <c r="N241" i="1"/>
  <c r="P241" i="1"/>
  <c r="N76" i="1"/>
  <c r="P76" i="1"/>
  <c r="K76" i="1"/>
  <c r="K128" i="1"/>
  <c r="N128" i="1" s="1"/>
  <c r="P128" i="1"/>
  <c r="N252" i="1"/>
  <c r="P252" i="1"/>
  <c r="K252" i="1"/>
  <c r="K82" i="1"/>
  <c r="P82" i="1"/>
  <c r="N82" i="1"/>
  <c r="P281" i="1"/>
  <c r="N281" i="1"/>
  <c r="K281" i="1"/>
  <c r="K16" i="1"/>
  <c r="P16" i="1" s="1"/>
  <c r="K215" i="1"/>
  <c r="P215" i="1" s="1"/>
  <c r="K55" i="1"/>
  <c r="N55" i="1" s="1"/>
  <c r="P55" i="1"/>
  <c r="K9" i="1"/>
  <c r="N9" i="1" s="1"/>
  <c r="K148" i="1"/>
  <c r="N148" i="1" s="1"/>
  <c r="K87" i="1"/>
  <c r="P87" i="1" s="1"/>
  <c r="N87" i="1"/>
  <c r="K115" i="1"/>
  <c r="N115" i="1"/>
  <c r="P115" i="1"/>
  <c r="K179" i="1"/>
  <c r="P179" i="1"/>
  <c r="N179" i="1"/>
  <c r="N268" i="1"/>
  <c r="P268" i="1"/>
  <c r="K268" i="1"/>
  <c r="K34" i="1"/>
  <c r="P34" i="1" s="1"/>
  <c r="N34" i="1"/>
  <c r="K111" i="1"/>
  <c r="N111" i="1" s="1"/>
  <c r="N298" i="1"/>
  <c r="P298" i="1"/>
  <c r="K298" i="1"/>
  <c r="K14" i="1"/>
  <c r="P14" i="1" s="1"/>
  <c r="N90" i="1"/>
  <c r="P90" i="1"/>
  <c r="K90" i="1"/>
  <c r="P114" i="1"/>
  <c r="K114" i="1"/>
  <c r="N114" i="1" s="1"/>
  <c r="K79" i="1"/>
  <c r="N79" i="1" s="1"/>
  <c r="K105" i="1"/>
  <c r="P105" i="1"/>
  <c r="N105" i="1"/>
  <c r="K173" i="1"/>
  <c r="N173" i="1" s="1"/>
  <c r="P173" i="1"/>
  <c r="K54" i="1"/>
  <c r="P54" i="1" s="1"/>
  <c r="N132" i="1"/>
  <c r="K132" i="1"/>
  <c r="P132" i="1"/>
  <c r="K238" i="1"/>
  <c r="P238" i="1" s="1"/>
  <c r="N238" i="1"/>
  <c r="AB14" i="1"/>
  <c r="P187" i="1"/>
  <c r="K187" i="1"/>
  <c r="N187" i="1" s="1"/>
  <c r="AB10" i="1"/>
  <c r="P102" i="1"/>
  <c r="K102" i="1"/>
  <c r="N102" i="1"/>
  <c r="K236" i="1"/>
  <c r="N236" i="1" s="1"/>
  <c r="K171" i="1"/>
  <c r="P171" i="1" s="1"/>
  <c r="AB13" i="1"/>
  <c r="K205" i="1"/>
  <c r="N205" i="1" s="1"/>
  <c r="K72" i="1"/>
  <c r="N72" i="1"/>
  <c r="P72" i="1"/>
  <c r="P262" i="1"/>
  <c r="K262" i="1"/>
  <c r="N262" i="1"/>
  <c r="P124" i="1"/>
  <c r="K124" i="1"/>
  <c r="N124" i="1"/>
  <c r="K41" i="1"/>
  <c r="N41" i="1" s="1"/>
  <c r="P41" i="1"/>
  <c r="K71" i="1"/>
  <c r="P71" i="1"/>
  <c r="N71" i="1"/>
  <c r="K188" i="1"/>
  <c r="N188" i="1" s="1"/>
  <c r="K126" i="1"/>
  <c r="P126" i="1" s="1"/>
  <c r="K6" i="1"/>
  <c r="N6" i="1" s="1"/>
  <c r="K112" i="1"/>
  <c r="P112" i="1" s="1"/>
  <c r="N64" i="1"/>
  <c r="K64" i="1"/>
  <c r="P64" i="1"/>
  <c r="P169" i="1"/>
  <c r="K169" i="1"/>
  <c r="N169" i="1" s="1"/>
  <c r="K13" i="1"/>
  <c r="N13" i="1" s="1"/>
  <c r="K138" i="1"/>
  <c r="P138" i="1" s="1"/>
  <c r="P259" i="1"/>
  <c r="N259" i="1"/>
  <c r="K259" i="1"/>
  <c r="K217" i="1"/>
  <c r="N217" i="1" s="1"/>
  <c r="K249" i="1"/>
  <c r="N249" i="1"/>
  <c r="P249" i="1"/>
  <c r="P110" i="1"/>
  <c r="K110" i="1"/>
  <c r="N110" i="1"/>
  <c r="K121" i="1"/>
  <c r="P121" i="1" s="1"/>
  <c r="N121" i="1"/>
  <c r="N214" i="1"/>
  <c r="K214" i="1"/>
  <c r="P214" i="1"/>
  <c r="K155" i="1"/>
  <c r="N155" i="1" s="1"/>
  <c r="K292" i="1"/>
  <c r="N292" i="1"/>
  <c r="P292" i="1"/>
  <c r="K78" i="1"/>
  <c r="P78" i="1"/>
  <c r="N78" i="1"/>
  <c r="N145" i="1"/>
  <c r="K145" i="1"/>
  <c r="P145" i="1" s="1"/>
  <c r="P248" i="1"/>
  <c r="K248" i="1"/>
  <c r="N248" i="1"/>
  <c r="P88" i="1"/>
  <c r="K88" i="1"/>
  <c r="N88" i="1" s="1"/>
  <c r="P240" i="1"/>
  <c r="K240" i="1"/>
  <c r="N240" i="1"/>
  <c r="K231" i="1"/>
  <c r="P231" i="1" s="1"/>
  <c r="K291" i="1"/>
  <c r="P291" i="1"/>
  <c r="N291" i="1"/>
  <c r="AB17" i="1"/>
  <c r="K269" i="1"/>
  <c r="P269" i="1"/>
  <c r="N269" i="1"/>
  <c r="K5" i="1"/>
  <c r="P5" i="1" s="1"/>
  <c r="K160" i="1"/>
  <c r="N160" i="1" s="1"/>
  <c r="P160" i="1"/>
  <c r="K123" i="1"/>
  <c r="N123" i="1" s="1"/>
  <c r="K65" i="1"/>
  <c r="P65" i="1" s="1"/>
  <c r="N65" i="1"/>
  <c r="K201" i="1"/>
  <c r="N201" i="1" s="1"/>
  <c r="P201" i="1"/>
  <c r="K33" i="1"/>
  <c r="P33" i="1"/>
  <c r="N33" i="1"/>
  <c r="K139" i="1"/>
  <c r="N139" i="1" s="1"/>
  <c r="N127" i="1"/>
  <c r="K127" i="1"/>
  <c r="P127" i="1" s="1"/>
  <c r="K198" i="1"/>
  <c r="N198" i="1"/>
  <c r="P198" i="1"/>
  <c r="K104" i="1"/>
  <c r="P104" i="1" s="1"/>
  <c r="P285" i="1"/>
  <c r="N285" i="1"/>
  <c r="K285" i="1"/>
  <c r="K154" i="1"/>
  <c r="P154" i="1" s="1"/>
  <c r="K204" i="1"/>
  <c r="N204" i="1" s="1"/>
  <c r="P204" i="1"/>
  <c r="K122" i="1"/>
  <c r="P122" i="1" s="1"/>
  <c r="N226" i="1"/>
  <c r="K226" i="1"/>
  <c r="P226" i="1" s="1"/>
  <c r="K230" i="1"/>
  <c r="N230" i="1" s="1"/>
  <c r="K83" i="1"/>
  <c r="P83" i="1" s="1"/>
  <c r="K216" i="1"/>
  <c r="P216" i="1" s="1"/>
  <c r="K156" i="1"/>
  <c r="N156" i="1"/>
  <c r="P156" i="1"/>
  <c r="K23" i="1"/>
  <c r="P23" i="1" s="1"/>
  <c r="N23" i="1"/>
  <c r="K28" i="1"/>
  <c r="P28" i="1" s="1"/>
  <c r="N295" i="1"/>
  <c r="P295" i="1"/>
  <c r="K295" i="1"/>
  <c r="N50" i="1"/>
  <c r="K50" i="1"/>
  <c r="P50" i="1" s="1"/>
  <c r="K168" i="1"/>
  <c r="N168" i="1" s="1"/>
  <c r="K77" i="1"/>
  <c r="N77" i="1" s="1"/>
  <c r="K220" i="1"/>
  <c r="N220" i="1" s="1"/>
  <c r="K175" i="1"/>
  <c r="N175" i="1"/>
  <c r="P175" i="1"/>
  <c r="K133" i="1"/>
  <c r="N133" i="1" s="1"/>
  <c r="P133" i="1"/>
  <c r="AB18" i="1"/>
  <c r="K143" i="1"/>
  <c r="P143" i="1" s="1"/>
  <c r="N143" i="1"/>
  <c r="K129" i="1"/>
  <c r="P129" i="1"/>
  <c r="N129" i="1"/>
  <c r="N253" i="1"/>
  <c r="P253" i="1"/>
  <c r="K253" i="1"/>
  <c r="K81" i="1"/>
  <c r="N81" i="1" s="1"/>
  <c r="P81" i="1"/>
  <c r="K11" i="1"/>
  <c r="P11" i="1" s="1"/>
  <c r="K85" i="1"/>
  <c r="P85" i="1" s="1"/>
  <c r="K134" i="1"/>
  <c r="N134" i="1" s="1"/>
  <c r="P134" i="1"/>
  <c r="N131" i="1"/>
  <c r="K131" i="1"/>
  <c r="P131" i="1"/>
  <c r="P166" i="1"/>
  <c r="N166" i="1"/>
  <c r="K166" i="1"/>
  <c r="K135" i="1"/>
  <c r="N135" i="1" s="1"/>
  <c r="N66" i="1"/>
  <c r="K66" i="1"/>
  <c r="P66" i="1"/>
  <c r="K56" i="1"/>
  <c r="N56" i="1" s="1"/>
  <c r="P56" i="1"/>
  <c r="K289" i="1"/>
  <c r="N289" i="1"/>
  <c r="P289" i="1"/>
  <c r="K118" i="1"/>
  <c r="P118" i="1" s="1"/>
  <c r="N189" i="1"/>
  <c r="P189" i="1"/>
  <c r="K189" i="1"/>
  <c r="K191" i="1"/>
  <c r="P191" i="1" s="1"/>
  <c r="N247" i="1"/>
  <c r="K247" i="1"/>
  <c r="P247" i="1"/>
  <c r="N275" i="1"/>
  <c r="K275" i="1"/>
  <c r="P275" i="1"/>
  <c r="K17" i="1"/>
  <c r="P17" i="1" s="1"/>
  <c r="N287" i="1"/>
  <c r="P287" i="1"/>
  <c r="K287" i="1"/>
  <c r="AB6" i="1"/>
  <c r="K182" i="1"/>
  <c r="N182" i="1" s="1"/>
  <c r="N208" i="1"/>
  <c r="K208" i="1"/>
  <c r="P208" i="1" s="1"/>
  <c r="N80" i="1"/>
  <c r="K80" i="1"/>
  <c r="P80" i="1" s="1"/>
  <c r="K51" i="1"/>
  <c r="P51" i="1"/>
  <c r="N51" i="1"/>
  <c r="N272" i="1"/>
  <c r="K272" i="1"/>
  <c r="P272" i="1"/>
  <c r="AB5" i="1"/>
  <c r="K195" i="1"/>
  <c r="P195" i="1" s="1"/>
  <c r="N265" i="1"/>
  <c r="K265" i="1"/>
  <c r="P265" i="1"/>
  <c r="K172" i="1"/>
  <c r="P172" i="1" s="1"/>
  <c r="K235" i="1"/>
  <c r="N235" i="1" s="1"/>
  <c r="P235" i="1"/>
  <c r="K221" i="1"/>
  <c r="N221" i="1" s="1"/>
  <c r="K203" i="1"/>
  <c r="N203" i="1" s="1"/>
  <c r="K52" i="1"/>
  <c r="P52" i="1" s="1"/>
  <c r="K162" i="1"/>
  <c r="P162" i="1" s="1"/>
  <c r="N162" i="1"/>
  <c r="N276" i="1"/>
  <c r="K276" i="1"/>
  <c r="P276" i="1"/>
  <c r="K223" i="1"/>
  <c r="P223" i="1" s="1"/>
  <c r="P277" i="1"/>
  <c r="K277" i="1"/>
  <c r="N277" i="1"/>
  <c r="K101" i="1"/>
  <c r="N101" i="1" s="1"/>
  <c r="P101" i="1"/>
  <c r="K30" i="1"/>
  <c r="N30" i="1" s="1"/>
  <c r="P255" i="1"/>
  <c r="N255" i="1"/>
  <c r="K255" i="1"/>
  <c r="K267" i="1"/>
  <c r="P267" i="1"/>
  <c r="N267" i="1"/>
  <c r="N239" i="1"/>
  <c r="P239" i="1"/>
  <c r="K239" i="1"/>
  <c r="N245" i="1"/>
  <c r="P245" i="1"/>
  <c r="K245" i="1"/>
  <c r="K244" i="1"/>
  <c r="N244" i="1"/>
  <c r="P244" i="1"/>
  <c r="K192" i="1"/>
  <c r="N192" i="1" s="1"/>
  <c r="P22" i="1"/>
  <c r="N22" i="1"/>
  <c r="K22" i="1"/>
  <c r="N274" i="1"/>
  <c r="P274" i="1"/>
  <c r="K274" i="1"/>
  <c r="K27" i="1"/>
  <c r="N27" i="1"/>
  <c r="P27" i="1"/>
  <c r="K200" i="1"/>
  <c r="P200" i="1" s="1"/>
  <c r="N200" i="1"/>
  <c r="N263" i="1"/>
  <c r="P263" i="1"/>
  <c r="K263" i="1"/>
  <c r="K183" i="1"/>
  <c r="P183" i="1" s="1"/>
  <c r="N183" i="1"/>
  <c r="K224" i="1"/>
  <c r="N224" i="1" s="1"/>
  <c r="K146" i="1"/>
  <c r="N146" i="1" s="1"/>
  <c r="P146" i="1"/>
  <c r="K157" i="1"/>
  <c r="P157" i="1" s="1"/>
  <c r="K147" i="1"/>
  <c r="P147" i="1" s="1"/>
  <c r="K53" i="1"/>
  <c r="P53" i="1" s="1"/>
  <c r="P228" i="1"/>
  <c r="K228" i="1"/>
  <c r="N228" i="1"/>
  <c r="K42" i="1"/>
  <c r="N42" i="1" s="1"/>
  <c r="P42" i="1"/>
  <c r="N163" i="1"/>
  <c r="P163" i="1"/>
  <c r="K163" i="1"/>
  <c r="K212" i="1"/>
  <c r="P212" i="1" s="1"/>
  <c r="K243" i="1"/>
  <c r="P243" i="1"/>
  <c r="N243" i="1"/>
  <c r="P261" i="1"/>
  <c r="K261" i="1"/>
  <c r="N261" i="1"/>
  <c r="N250" i="1"/>
  <c r="P250" i="1"/>
  <c r="K250" i="1"/>
  <c r="K170" i="1"/>
  <c r="N170" i="1" s="1"/>
  <c r="P45" i="1"/>
  <c r="N45" i="1"/>
  <c r="K45" i="1"/>
  <c r="K107" i="1"/>
  <c r="P107" i="1" s="1"/>
  <c r="N107" i="1"/>
  <c r="K206" i="1"/>
  <c r="P206" i="1" s="1"/>
  <c r="K8" i="1"/>
  <c r="P8" i="1" s="1"/>
  <c r="K108" i="1"/>
  <c r="P108" i="1"/>
  <c r="N108" i="1"/>
  <c r="N242" i="1"/>
  <c r="P242" i="1"/>
  <c r="K242" i="1"/>
  <c r="K284" i="1"/>
  <c r="N284" i="1"/>
  <c r="P284" i="1"/>
  <c r="K7" i="1"/>
  <c r="P7" i="1" s="1"/>
  <c r="K61" i="1"/>
  <c r="P61" i="1" s="1"/>
  <c r="K251" i="1"/>
  <c r="N251" i="1"/>
  <c r="P251" i="1"/>
  <c r="N185" i="1"/>
  <c r="K185" i="1"/>
  <c r="P185" i="1"/>
  <c r="N211" i="1"/>
  <c r="K211" i="1"/>
  <c r="P211" i="1"/>
  <c r="K174" i="1"/>
  <c r="N174" i="1" s="1"/>
  <c r="P174" i="1"/>
  <c r="K246" i="1"/>
  <c r="N246" i="1"/>
  <c r="P246" i="1"/>
  <c r="K32" i="1"/>
  <c r="P32" i="1" s="1"/>
  <c r="N32" i="1"/>
  <c r="K273" i="1"/>
  <c r="N273" i="1"/>
  <c r="P273" i="1"/>
  <c r="K180" i="1"/>
  <c r="P180" i="1"/>
  <c r="N180" i="1"/>
  <c r="K256" i="1"/>
  <c r="N256" i="1"/>
  <c r="P256" i="1"/>
  <c r="N25" i="1"/>
  <c r="K25" i="1"/>
  <c r="P25" i="1"/>
  <c r="K210" i="1"/>
  <c r="N210" i="1" s="1"/>
  <c r="N264" i="1"/>
  <c r="P264" i="1"/>
  <c r="K264" i="1"/>
  <c r="K158" i="1"/>
  <c r="N158" i="1" s="1"/>
  <c r="P158" i="1"/>
  <c r="K86" i="1"/>
  <c r="N86" i="1" s="1"/>
  <c r="P86" i="1"/>
  <c r="K141" i="1"/>
  <c r="P141" i="1" s="1"/>
  <c r="N257" i="1"/>
  <c r="K257" i="1"/>
  <c r="P257" i="1"/>
  <c r="K67" i="1"/>
  <c r="P67" i="1"/>
  <c r="N67" i="1"/>
  <c r="N19" i="1"/>
  <c r="K19" i="1"/>
  <c r="P19" i="1"/>
  <c r="K293" i="1"/>
  <c r="P293" i="1"/>
  <c r="N293" i="1"/>
  <c r="K46" i="1"/>
  <c r="N46" i="1" s="1"/>
  <c r="P46" i="1"/>
  <c r="K98" i="1"/>
  <c r="N98" i="1" s="1"/>
  <c r="K286" i="1"/>
  <c r="P286" i="1"/>
  <c r="N286" i="1"/>
  <c r="N142" i="1"/>
  <c r="K142" i="1"/>
  <c r="P142" i="1" s="1"/>
  <c r="K63" i="1"/>
  <c r="P63" i="1"/>
  <c r="N63" i="1"/>
  <c r="K144" i="1"/>
  <c r="P144" i="1" s="1"/>
  <c r="P177" i="1"/>
  <c r="K177" i="1"/>
  <c r="N177" i="1" s="1"/>
  <c r="K222" i="1"/>
  <c r="P222" i="1" s="1"/>
  <c r="K69" i="1"/>
  <c r="N69" i="1" s="1"/>
  <c r="K194" i="1"/>
  <c r="N194" i="1" s="1"/>
  <c r="P194" i="1"/>
  <c r="P279" i="1"/>
  <c r="N279" i="1"/>
  <c r="K279" i="1"/>
  <c r="K137" i="1"/>
  <c r="P137" i="1"/>
  <c r="N137" i="1"/>
  <c r="P40" i="1"/>
  <c r="N40" i="1"/>
  <c r="K40" i="1"/>
  <c r="N300" i="1"/>
  <c r="P300" i="1"/>
  <c r="K300" i="1"/>
  <c r="K202" i="1"/>
  <c r="P202" i="1" s="1"/>
  <c r="N202" i="1"/>
  <c r="K125" i="1"/>
  <c r="N125" i="1" s="1"/>
  <c r="P125" i="1"/>
  <c r="K213" i="1"/>
  <c r="N213" i="1"/>
  <c r="P213" i="1"/>
  <c r="K233" i="1"/>
  <c r="P233" i="1" s="1"/>
  <c r="K165" i="1"/>
  <c r="P165" i="1" s="1"/>
  <c r="AB7" i="1"/>
  <c r="K136" i="1"/>
  <c r="N136" i="1" s="1"/>
  <c r="K237" i="1"/>
  <c r="N237" i="1" s="1"/>
  <c r="K68" i="1"/>
  <c r="P68" i="1" s="1"/>
  <c r="N297" i="1"/>
  <c r="K297" i="1"/>
  <c r="P297" i="1"/>
  <c r="K57" i="1"/>
  <c r="P57" i="1" s="1"/>
  <c r="K288" i="1"/>
  <c r="N288" i="1"/>
  <c r="P288" i="1"/>
  <c r="K96" i="1"/>
  <c r="N96" i="1" s="1"/>
  <c r="P96" i="1"/>
  <c r="K94" i="1"/>
  <c r="N94" i="1" s="1"/>
  <c r="K38" i="1"/>
  <c r="N38" i="1" s="1"/>
  <c r="AB11" i="1"/>
  <c r="K47" i="1"/>
  <c r="N47" i="1" s="1"/>
  <c r="K218" i="1"/>
  <c r="P218" i="1" s="1"/>
  <c r="N153" i="1"/>
  <c r="K153" i="1"/>
  <c r="P153" i="1"/>
  <c r="K84" i="1"/>
  <c r="N84" i="1"/>
  <c r="P84" i="1"/>
  <c r="K193" i="1"/>
  <c r="P193" i="1" s="1"/>
  <c r="AB4" i="1"/>
  <c r="K20" i="1"/>
  <c r="N20" i="1" s="1"/>
  <c r="P20" i="1"/>
  <c r="K49" i="1"/>
  <c r="P49" i="1" s="1"/>
  <c r="N49" i="1"/>
  <c r="P294" i="1"/>
  <c r="N294" i="1"/>
  <c r="K294" i="1"/>
  <c r="K15" i="1"/>
  <c r="N15" i="1" s="1"/>
  <c r="K117" i="1"/>
  <c r="N117" i="1" s="1"/>
  <c r="N97" i="1"/>
  <c r="K97" i="1"/>
  <c r="P97" i="1" s="1"/>
  <c r="K99" i="1"/>
  <c r="P99" i="1"/>
  <c r="N99" i="1"/>
  <c r="K92" i="1"/>
  <c r="P92" i="1" s="1"/>
  <c r="K62" i="1"/>
  <c r="P62" i="1" s="1"/>
  <c r="K4" i="1"/>
  <c r="N4" i="1" s="1"/>
  <c r="K225" i="1"/>
  <c r="P225" i="1" s="1"/>
  <c r="N152" i="1"/>
  <c r="K152" i="1"/>
  <c r="P152" i="1"/>
  <c r="K106" i="1"/>
  <c r="P106" i="1" s="1"/>
  <c r="K130" i="1"/>
  <c r="N130" i="1" s="1"/>
  <c r="K227" i="1"/>
  <c r="N227" i="1" s="1"/>
  <c r="K232" i="1"/>
  <c r="P232" i="1" s="1"/>
  <c r="N89" i="1"/>
  <c r="K89" i="1"/>
  <c r="P89" i="1"/>
  <c r="AB12" i="1"/>
  <c r="N278" i="1"/>
  <c r="P278" i="1"/>
  <c r="K278" i="1"/>
  <c r="N283" i="1"/>
  <c r="K283" i="1"/>
  <c r="P283" i="1"/>
  <c r="K196" i="1"/>
  <c r="P196" i="1"/>
  <c r="N196" i="1"/>
  <c r="P186" i="1"/>
  <c r="K186" i="1"/>
  <c r="N186" i="1" s="1"/>
  <c r="K164" i="1"/>
  <c r="P164" i="1" s="1"/>
  <c r="K37" i="1"/>
  <c r="N37" i="1" s="1"/>
  <c r="P37" i="1"/>
  <c r="K113" i="1"/>
  <c r="N113" i="1" s="1"/>
  <c r="K29" i="1"/>
  <c r="P29" i="1"/>
  <c r="N29" i="1"/>
  <c r="K73" i="1"/>
  <c r="P73" i="1" s="1"/>
  <c r="K58" i="1"/>
  <c r="N58" i="1" s="1"/>
  <c r="P58" i="1"/>
  <c r="K140" i="1"/>
  <c r="P140" i="1"/>
  <c r="N140" i="1"/>
  <c r="K91" i="1"/>
  <c r="P91" i="1"/>
  <c r="N91" i="1"/>
  <c r="K209" i="1"/>
  <c r="N209" i="1" s="1"/>
  <c r="P209" i="1"/>
  <c r="K100" i="1"/>
  <c r="N100" i="1" s="1"/>
  <c r="P100" i="1"/>
  <c r="K59" i="1"/>
  <c r="N59" i="1" s="1"/>
  <c r="N290" i="1"/>
  <c r="P290" i="1"/>
  <c r="K290" i="1"/>
  <c r="K234" i="1"/>
  <c r="N234" i="1" s="1"/>
  <c r="P234" i="1"/>
  <c r="K151" i="1"/>
  <c r="P151" i="1"/>
  <c r="N151" i="1"/>
  <c r="K167" i="1"/>
  <c r="N167" i="1" s="1"/>
  <c r="K39" i="1"/>
  <c r="N39" i="1" s="1"/>
  <c r="P39" i="1"/>
  <c r="K296" i="1"/>
  <c r="N296" i="1"/>
  <c r="P296" i="1"/>
  <c r="N181" i="1"/>
  <c r="K181" i="1"/>
  <c r="P181" i="1"/>
  <c r="K271" i="1"/>
  <c r="P271" i="1"/>
  <c r="N271" i="1"/>
  <c r="K190" i="1"/>
  <c r="P190" i="1" s="1"/>
  <c r="N190" i="1"/>
  <c r="N60" i="1"/>
  <c r="P60" i="1"/>
  <c r="K60" i="1"/>
  <c r="K10" i="1"/>
  <c r="N10" i="1" s="1"/>
  <c r="N103" i="1"/>
  <c r="P103" i="1"/>
  <c r="K103" i="1"/>
  <c r="N11" i="1"/>
  <c r="P9" i="1"/>
  <c r="N16" i="1"/>
  <c r="N17" i="1"/>
  <c r="P237" i="1"/>
  <c r="P236" i="1"/>
  <c r="N233" i="1"/>
  <c r="N232" i="1"/>
  <c r="N231" i="1"/>
  <c r="P230" i="1"/>
  <c r="P229" i="1"/>
  <c r="P227" i="1"/>
  <c r="N225" i="1"/>
  <c r="P224" i="1"/>
  <c r="N223" i="1"/>
  <c r="N222" i="1"/>
  <c r="P221" i="1"/>
  <c r="P220" i="1"/>
  <c r="P219" i="1"/>
  <c r="N218" i="1"/>
  <c r="P217" i="1"/>
  <c r="N216" i="1"/>
  <c r="N215" i="1"/>
  <c r="N212" i="1"/>
  <c r="P210" i="1"/>
  <c r="N206" i="1"/>
  <c r="P205" i="1"/>
  <c r="P203" i="1"/>
  <c r="N195" i="1"/>
  <c r="N193" i="1"/>
  <c r="P192" i="1"/>
  <c r="N191" i="1"/>
  <c r="P188" i="1"/>
  <c r="P182" i="1"/>
  <c r="P176" i="1"/>
  <c r="N172" i="1"/>
  <c r="N171" i="1"/>
  <c r="P170" i="1"/>
  <c r="P168" i="1"/>
  <c r="P167" i="1"/>
  <c r="N165" i="1"/>
  <c r="N164" i="1"/>
  <c r="N159" i="1"/>
  <c r="N157" i="1"/>
  <c r="P155" i="1"/>
  <c r="N154" i="1"/>
  <c r="N150" i="1"/>
  <c r="N149" i="1"/>
  <c r="P148" i="1"/>
  <c r="N147" i="1"/>
  <c r="N144" i="1"/>
  <c r="N141" i="1"/>
  <c r="P139" i="1"/>
  <c r="N138" i="1"/>
  <c r="P136" i="1"/>
  <c r="P135" i="1"/>
  <c r="P130" i="1"/>
  <c r="N126" i="1"/>
  <c r="P123" i="1"/>
  <c r="N122" i="1"/>
  <c r="N120" i="1"/>
  <c r="N118" i="1"/>
  <c r="P117" i="1"/>
  <c r="P113" i="1"/>
  <c r="N112" i="1"/>
  <c r="P111" i="1"/>
  <c r="N106" i="1"/>
  <c r="N104" i="1"/>
  <c r="P98" i="1"/>
  <c r="P95" i="1"/>
  <c r="P94" i="1"/>
  <c r="N92" i="1"/>
  <c r="N85" i="1"/>
  <c r="N83" i="1"/>
  <c r="P79" i="1"/>
  <c r="P77" i="1"/>
  <c r="N73" i="1"/>
  <c r="P70" i="1"/>
  <c r="P69" i="1"/>
  <c r="N68" i="1"/>
  <c r="N62" i="1"/>
  <c r="N61" i="1"/>
  <c r="P59" i="1"/>
  <c r="N57" i="1"/>
  <c r="N54" i="1"/>
  <c r="N53" i="1"/>
  <c r="N52" i="1"/>
  <c r="N48" i="1"/>
  <c r="P47" i="1"/>
  <c r="P38" i="1"/>
  <c r="P36" i="1"/>
  <c r="P31" i="1"/>
  <c r="P30" i="1"/>
  <c r="N28" i="1"/>
  <c r="N26" i="1"/>
  <c r="N24" i="1"/>
  <c r="P21" i="1"/>
  <c r="N14" i="1"/>
  <c r="P13" i="1"/>
  <c r="K13" i="2" a="1"/>
  <c r="K14" i="2" s="1"/>
  <c r="S5" i="1" s="1"/>
  <c r="P4" i="1" l="1"/>
  <c r="N7" i="1"/>
  <c r="N8" i="1"/>
  <c r="P6" i="1"/>
  <c r="N5" i="1"/>
  <c r="P10" i="1"/>
  <c r="N18" i="1"/>
  <c r="N12" i="1"/>
  <c r="P15" i="1"/>
  <c r="K15" i="2"/>
  <c r="S6" i="1" s="1"/>
  <c r="S11" i="1" s="1"/>
  <c r="K16" i="2"/>
  <c r="S7" i="1" s="1"/>
  <c r="S12" i="1" s="1"/>
  <c r="K13" i="2"/>
  <c r="S4" i="1" s="1"/>
  <c r="S9" i="1" s="1"/>
  <c r="S10" i="1" s="1"/>
  <c r="U4" i="1" s="1"/>
  <c r="U6" i="1" l="1"/>
  <c r="U7" i="1" s="1"/>
  <c r="U8" i="1" s="1"/>
  <c r="U10" i="1" s="1"/>
  <c r="X12" i="1"/>
  <c r="T5" i="1" s="1"/>
  <c r="X11" i="1"/>
  <c r="T4" i="1" s="1"/>
  <c r="U11" i="1" l="1"/>
  <c r="X4" i="1" s="1"/>
  <c r="X5" i="1" s="1"/>
  <c r="X7" i="1" s="1"/>
  <c r="X14" i="1"/>
  <c r="T7" i="1" s="1"/>
  <c r="T12" i="1" s="1"/>
  <c r="X13" i="1"/>
  <c r="T6" i="1" s="1"/>
  <c r="T11" i="1" s="1"/>
  <c r="T9" i="1"/>
  <c r="S20" i="1" s="1"/>
  <c r="X8" i="1"/>
  <c r="S14" i="1" l="1"/>
  <c r="S15" i="1"/>
  <c r="T10" i="1"/>
  <c r="S21" i="1"/>
  <c r="S18" i="1"/>
  <c r="X6" i="1"/>
  <c r="S19" i="1" l="1"/>
  <c r="D8" i="5"/>
  <c r="E9" i="5"/>
  <c r="E7" i="5"/>
  <c r="D9" i="5"/>
  <c r="E5" i="5"/>
  <c r="D5" i="5"/>
  <c r="D6" i="5"/>
  <c r="E6" i="5"/>
  <c r="D7" i="5"/>
  <c r="E8" i="5"/>
  <c r="G8" i="5" l="1"/>
  <c r="F7" i="5"/>
  <c r="G6" i="5"/>
  <c r="J6" i="5" s="1"/>
  <c r="S25" i="1" s="1"/>
  <c r="F6" i="5"/>
  <c r="F5" i="5"/>
  <c r="J5" i="5" s="1"/>
  <c r="G5" i="5"/>
  <c r="F9" i="5"/>
  <c r="J9" i="5" s="1"/>
  <c r="G7" i="5"/>
  <c r="G9" i="5"/>
  <c r="F8" i="5"/>
  <c r="J7" i="5" l="1"/>
  <c r="S26" i="1" s="1"/>
  <c r="S24" i="1"/>
</calcChain>
</file>

<file path=xl/sharedStrings.xml><?xml version="1.0" encoding="utf-8"?>
<sst xmlns="http://schemas.openxmlformats.org/spreadsheetml/2006/main" count="77" uniqueCount="71">
  <si>
    <t>Latitude</t>
  </si>
  <si>
    <t>Longitude</t>
  </si>
  <si>
    <t>Intermediate Comps</t>
  </si>
  <si>
    <t>A=</t>
  </si>
  <si>
    <t>B=</t>
  </si>
  <si>
    <t>C=</t>
  </si>
  <si>
    <t>D=</t>
  </si>
  <si>
    <t>Scale=</t>
  </si>
  <si>
    <t>V</t>
  </si>
  <si>
    <t>R</t>
  </si>
  <si>
    <t>Q</t>
  </si>
  <si>
    <t>Global Northing</t>
  </si>
  <si>
    <t>Global Easting</t>
  </si>
  <si>
    <t>Local Northing</t>
  </si>
  <si>
    <t>Local Easting</t>
  </si>
  <si>
    <t>Ro</t>
  </si>
  <si>
    <t>tan(Y)</t>
  </si>
  <si>
    <t>E'</t>
  </si>
  <si>
    <t>Eo</t>
  </si>
  <si>
    <t>E</t>
  </si>
  <si>
    <t>False Northing</t>
  </si>
  <si>
    <t>False Easting</t>
  </si>
  <si>
    <t>Northern Standard Parallel</t>
  </si>
  <si>
    <t>Southern Standard Parallel</t>
  </si>
  <si>
    <t>Lambert Conic 2-Parallel Map Projection Maker</t>
  </si>
  <si>
    <t>M</t>
  </si>
  <si>
    <t>U</t>
  </si>
  <si>
    <t>Latitude of Grid Origin</t>
  </si>
  <si>
    <t>Longitude of Central Meridian</t>
  </si>
  <si>
    <t>N'</t>
  </si>
  <si>
    <t>R'</t>
  </si>
  <si>
    <t xml:space="preserve">N </t>
  </si>
  <si>
    <t>Ainv</t>
  </si>
  <si>
    <t>Binv</t>
  </si>
  <si>
    <t>Cinv</t>
  </si>
  <si>
    <t>Dinv</t>
  </si>
  <si>
    <t>Inverse</t>
  </si>
  <si>
    <t>RESULTS-Direct</t>
  </si>
  <si>
    <t xml:space="preserve">Point </t>
  </si>
  <si>
    <t>PROJECTION PARAMETERS</t>
  </si>
  <si>
    <t>Scale Factor</t>
  </si>
  <si>
    <t>Average Project Elevation(ft.)</t>
  </si>
  <si>
    <t>Δ X=</t>
  </si>
  <si>
    <t>Δ Y=</t>
  </si>
  <si>
    <t>θ=</t>
  </si>
  <si>
    <t>Central Meridian</t>
  </si>
  <si>
    <t>VALIDATION (RESIDUAL ANALYSIS)</t>
  </si>
  <si>
    <t>POINT</t>
  </si>
  <si>
    <t>GIVEN NORTH</t>
  </si>
  <si>
    <t>GIVEN EAST</t>
  </si>
  <si>
    <t>COMPUTED NORTH</t>
  </si>
  <si>
    <t>COMPUTED EAST</t>
  </si>
  <si>
    <t>DELTA N</t>
  </si>
  <si>
    <t>DELTA E</t>
  </si>
  <si>
    <t>STATISTICS</t>
  </si>
  <si>
    <t>RMSE Northing</t>
  </si>
  <si>
    <t>RMSE Easting</t>
  </si>
  <si>
    <t>RMSE Total</t>
  </si>
  <si>
    <t>Coordinate System Name</t>
  </si>
  <si>
    <t>1st Standard Parallel</t>
  </si>
  <si>
    <t>2nd Standard Parallel</t>
  </si>
  <si>
    <t>Grid Origin Parallel</t>
  </si>
  <si>
    <t>Use this to import the local coordinates</t>
  </si>
  <si>
    <t>Use this to import the geodetic coordinates</t>
  </si>
  <si>
    <t>Use this to compute projection parameters</t>
  </si>
  <si>
    <t>Use this to store the projection</t>
  </si>
  <si>
    <t>for later input into Coordinate</t>
  </si>
  <si>
    <t>Coversion Worksheet</t>
  </si>
  <si>
    <t>Use this to export to ArcGIS prj file</t>
  </si>
  <si>
    <t>VALIDATION</t>
  </si>
  <si>
    <t>(leica format P, Lat (dd mm ss.sss), Long (ddd mm ss.ssss)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</si>
</sst>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00"/>
    <numFmt numFmtId="165" formatCode="0.0000"/>
    <numFmt numFmtId="166" formatCode="0.00000"/>
    <numFmt numFmtId="167" formatCode="0.000000"/>
    <numFmt numFmtId="168" formatCode="0.000000000000"/>
    <numFmt numFmtId="169" formatCode="0.0000000000000"/>
    <numFmt numFmtId="170" formatCode="0.000000000000000"/>
    <numFmt numFmtId="171" formatCode="#,##0.000"/>
    <numFmt numFmtId="172" formatCode="##0.\°00&quot;'&quot;00.00000&quot;''&quot;"/>
    <numFmt numFmtId="173" formatCode="#,##0.000000000"/>
  </numFmts>
  <fonts count="12" x14ac:knownFonts="1">
    <font>
      <sz val="12"/>
      <name val="Arial"/>
    </font>
    <font>
      <b/>
      <sz val="14"/>
      <name val="Arial"/>
      <family val="2"/>
    </font>
    <font>
      <sz val="14"/>
      <name val="Arial"/>
      <family val="2"/>
    </font>
    <font>
      <sz val="14"/>
      <name val="Arial"/>
      <family val="2"/>
    </font>
    <font>
      <sz val="12"/>
      <name val="Arial"/>
      <family val="2"/>
    </font>
    <font>
      <sz val="8"/>
      <name val="Arial"/>
      <family val="2"/>
    </font>
    <font>
      <i/>
      <sz val="12"/>
      <name val="Arial"/>
      <family val="2"/>
    </font>
    <font>
      <i/>
      <sz val="14"/>
      <name val="Arial"/>
      <family val="2"/>
    </font>
    <font>
      <b/>
      <i/>
      <sz val="12"/>
      <name val="Arial"/>
      <family val="2"/>
    </font>
    <font>
      <b/>
      <sz val="12"/>
      <name val="Arial"/>
      <family val="2"/>
    </font>
    <font>
      <b/>
      <sz val="11"/>
      <color rgb="FFFFFFFF"/>
      <name val="Arial"/>
      <family val="2"/>
    </font>
    <font>
      <sz val="12"/>
      <color rgb="FF14181F"/>
      <name val="Arial"/>
      <family val="2"/>
    </font>
  </fonts>
  <fills count="7">
    <fill>
      <patternFill patternType="none"/>
    </fill>
    <fill>
      <patternFill patternType="gray125"/>
    </fill>
    <fill>
      <patternFill patternType="solid">
        <fgColor indexed="51"/>
        <bgColor indexed="64"/>
      </patternFill>
    </fill>
    <fill>
      <patternFill patternType="solid">
        <fgColor indexed="8"/>
        <bgColor indexed="64"/>
      </patternFill>
    </fill>
    <fill>
      <patternFill patternType="solid">
        <fgColor indexed="22"/>
        <bgColor indexed="64"/>
      </patternFill>
    </fill>
    <fill>
      <patternFill patternType="solid">
        <fgColor rgb="FF2E5090"/>
      </patternFill>
    </fill>
    <fill>
      <patternFill patternType="solid">
        <fgColor theme="4" tint="0.79998168889431442"/>
        <bgColor indexed="64"/>
      </patternFill>
    </fill>
  </fills>
  <borders count="19">
    <border>
      <left/>
      <right/>
      <top/>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FFFFFF"/>
      </left>
      <right style="thin">
        <color rgb="FFFFFFFF"/>
      </right>
      <top style="thin">
        <color rgb="FFFFFFFF"/>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74">
    <xf numFmtId="0" fontId="0" fillId="0" borderId="0" xfId="0"/>
    <xf numFmtId="0" fontId="2" fillId="0" borderId="0" xfId="0" applyFont="1"/>
    <xf numFmtId="0" fontId="4" fillId="0" borderId="0" xfId="0" applyFont="1" applyAlignment="1">
      <alignment horizontal="center"/>
    </xf>
    <xf numFmtId="165" fontId="4" fillId="0" borderId="0" xfId="0" applyNumberFormat="1" applyFont="1" applyAlignment="1">
      <alignment horizontal="center"/>
    </xf>
    <xf numFmtId="171" fontId="4" fillId="0" borderId="0" xfId="0" applyNumberFormat="1" applyFont="1" applyAlignment="1">
      <alignment horizontal="center"/>
    </xf>
    <xf numFmtId="0" fontId="0" fillId="0" borderId="0" xfId="0" applyAlignment="1">
      <alignment horizontal="left"/>
    </xf>
    <xf numFmtId="0" fontId="0" fillId="2" borderId="0" xfId="0" applyFill="1"/>
    <xf numFmtId="170" fontId="4" fillId="0" borderId="0" xfId="0" applyNumberFormat="1" applyFont="1" applyAlignment="1">
      <alignment horizontal="center"/>
    </xf>
    <xf numFmtId="171" fontId="4" fillId="0" borderId="0" xfId="0" applyNumberFormat="1" applyFont="1" applyAlignment="1" applyProtection="1">
      <alignment horizontal="center"/>
      <protection locked="0"/>
    </xf>
    <xf numFmtId="165" fontId="4" fillId="0" borderId="0" xfId="0" applyNumberFormat="1" applyFont="1" applyAlignment="1" applyProtection="1">
      <alignment horizontal="center"/>
      <protection locked="0"/>
    </xf>
    <xf numFmtId="0" fontId="4" fillId="0" borderId="0" xfId="0" applyFont="1" applyAlignment="1" applyProtection="1">
      <alignment horizontal="center"/>
      <protection locked="0"/>
    </xf>
    <xf numFmtId="166" fontId="4" fillId="0" borderId="0" xfId="0" applyNumberFormat="1" applyFont="1" applyAlignment="1" applyProtection="1">
      <alignment horizontal="center"/>
      <protection locked="0"/>
    </xf>
    <xf numFmtId="0" fontId="4" fillId="0" borderId="0" xfId="0" quotePrefix="1" applyFont="1" applyAlignment="1" applyProtection="1">
      <alignment horizontal="center"/>
      <protection locked="0"/>
    </xf>
    <xf numFmtId="171" fontId="4" fillId="3" borderId="0" xfId="0" applyNumberFormat="1" applyFont="1" applyFill="1" applyAlignment="1">
      <alignment horizontal="center"/>
    </xf>
    <xf numFmtId="0" fontId="4" fillId="0" borderId="0" xfId="0" applyFont="1" applyAlignment="1">
      <alignment horizontal="right"/>
    </xf>
    <xf numFmtId="0" fontId="0" fillId="0" borderId="0" xfId="0" applyAlignment="1">
      <alignment horizontal="right"/>
    </xf>
    <xf numFmtId="0" fontId="6" fillId="0" borderId="0" xfId="0" applyFont="1" applyAlignment="1">
      <alignment horizontal="center"/>
    </xf>
    <xf numFmtId="171" fontId="6" fillId="0" borderId="0" xfId="0" applyNumberFormat="1" applyFont="1" applyAlignment="1">
      <alignment horizontal="center"/>
    </xf>
    <xf numFmtId="165" fontId="6" fillId="0" borderId="0" xfId="0" applyNumberFormat="1" applyFont="1" applyAlignment="1">
      <alignment horizontal="center"/>
    </xf>
    <xf numFmtId="171" fontId="6" fillId="3" borderId="0" xfId="0" applyNumberFormat="1" applyFont="1" applyFill="1" applyAlignment="1">
      <alignment horizontal="center"/>
    </xf>
    <xf numFmtId="0" fontId="7" fillId="0" borderId="0" xfId="0" applyFont="1"/>
    <xf numFmtId="0" fontId="8" fillId="0" borderId="0" xfId="0" applyFont="1" applyAlignment="1">
      <alignment horizontal="center"/>
    </xf>
    <xf numFmtId="0" fontId="6" fillId="0" borderId="0" xfId="0" applyFont="1"/>
    <xf numFmtId="171" fontId="0" fillId="0" borderId="0" xfId="0" applyNumberFormat="1"/>
    <xf numFmtId="172" fontId="0" fillId="0" borderId="0" xfId="0" applyNumberFormat="1"/>
    <xf numFmtId="173" fontId="4" fillId="0" borderId="0" xfId="0" applyNumberFormat="1" applyFont="1" applyAlignment="1">
      <alignment horizontal="center"/>
    </xf>
    <xf numFmtId="173" fontId="0" fillId="0" borderId="0" xfId="0" applyNumberFormat="1"/>
    <xf numFmtId="0" fontId="4" fillId="0" borderId="0" xfId="0" applyFont="1" applyAlignment="1">
      <alignment horizontal="left"/>
    </xf>
    <xf numFmtId="0" fontId="8" fillId="0" borderId="0" xfId="0" applyFont="1" applyAlignment="1">
      <alignment horizontal="right"/>
    </xf>
    <xf numFmtId="0" fontId="3" fillId="0" borderId="0" xfId="0" applyFont="1"/>
    <xf numFmtId="0" fontId="0" fillId="4" borderId="1" xfId="0" applyFill="1" applyBorder="1"/>
    <xf numFmtId="0" fontId="8" fillId="0" borderId="0" xfId="0" applyFont="1"/>
    <xf numFmtId="0" fontId="0" fillId="0" borderId="2" xfId="0" applyBorder="1" applyAlignment="1">
      <alignment horizontal="center"/>
    </xf>
    <xf numFmtId="0" fontId="0" fillId="4" borderId="3" xfId="0" applyFill="1" applyBorder="1" applyAlignment="1">
      <alignment horizontal="center"/>
    </xf>
    <xf numFmtId="169" fontId="0" fillId="0" borderId="2" xfId="0" applyNumberFormat="1" applyBorder="1" applyAlignment="1">
      <alignment horizontal="center"/>
    </xf>
    <xf numFmtId="169" fontId="0" fillId="4" borderId="3" xfId="0" applyNumberFormat="1" applyFill="1" applyBorder="1" applyAlignment="1">
      <alignment horizontal="center"/>
    </xf>
    <xf numFmtId="172" fontId="0" fillId="0" borderId="2" xfId="0" applyNumberFormat="1" applyBorder="1" applyAlignment="1">
      <alignment horizontal="center"/>
    </xf>
    <xf numFmtId="168" fontId="0" fillId="4" borderId="3" xfId="0" applyNumberFormat="1" applyFill="1" applyBorder="1" applyAlignment="1">
      <alignment horizontal="center"/>
    </xf>
    <xf numFmtId="164" fontId="0" fillId="0" borderId="4" xfId="0" applyNumberFormat="1" applyBorder="1" applyAlignment="1">
      <alignment horizontal="center"/>
    </xf>
    <xf numFmtId="164" fontId="0" fillId="0" borderId="2" xfId="0" applyNumberFormat="1" applyBorder="1" applyAlignment="1">
      <alignment horizontal="center"/>
    </xf>
    <xf numFmtId="164" fontId="0" fillId="4" borderId="5" xfId="0" applyNumberFormat="1" applyFill="1" applyBorder="1" applyAlignment="1">
      <alignment horizontal="center"/>
    </xf>
    <xf numFmtId="164" fontId="0" fillId="4" borderId="3" xfId="0" applyNumberFormat="1" applyFill="1" applyBorder="1" applyAlignment="1">
      <alignment horizontal="center"/>
    </xf>
    <xf numFmtId="0" fontId="9" fillId="0" borderId="2" xfId="0" applyFont="1" applyBorder="1" applyAlignment="1">
      <alignment horizontal="center"/>
    </xf>
    <xf numFmtId="0" fontId="9" fillId="4" borderId="3" xfId="0" applyFont="1" applyFill="1" applyBorder="1" applyAlignment="1">
      <alignment horizontal="center"/>
    </xf>
    <xf numFmtId="165" fontId="0" fillId="0" borderId="0" xfId="0" applyNumberFormat="1"/>
    <xf numFmtId="166" fontId="0" fillId="0" borderId="0" xfId="0" applyNumberFormat="1"/>
    <xf numFmtId="0" fontId="4" fillId="0" borderId="0" xfId="0" applyFont="1"/>
    <xf numFmtId="0" fontId="10" fillId="5" borderId="6" xfId="0" applyFont="1" applyFill="1" applyBorder="1" applyAlignment="1">
      <alignment horizontal="center" vertical="center"/>
    </xf>
    <xf numFmtId="168" fontId="0" fillId="0" borderId="4" xfId="0" applyNumberFormat="1" applyBorder="1" applyAlignment="1">
      <alignment horizontal="center"/>
    </xf>
    <xf numFmtId="168" fontId="0" fillId="0" borderId="2" xfId="0" applyNumberFormat="1" applyBorder="1" applyAlignment="1">
      <alignment horizontal="center"/>
    </xf>
    <xf numFmtId="167" fontId="0" fillId="0" borderId="2" xfId="0" applyNumberFormat="1" applyBorder="1" applyAlignment="1">
      <alignment horizontal="center"/>
    </xf>
    <xf numFmtId="168" fontId="0" fillId="4" borderId="5" xfId="0" applyNumberFormat="1" applyFill="1" applyBorder="1" applyAlignment="1">
      <alignment horizontal="center"/>
    </xf>
    <xf numFmtId="167" fontId="0" fillId="4" borderId="3" xfId="0" applyNumberFormat="1" applyFill="1" applyBorder="1" applyAlignment="1">
      <alignment horizontal="center"/>
    </xf>
    <xf numFmtId="0" fontId="0" fillId="0" borderId="1" xfId="0" applyBorder="1"/>
    <xf numFmtId="0" fontId="11" fillId="0" borderId="0" xfId="0" applyFont="1"/>
    <xf numFmtId="172" fontId="4" fillId="0" borderId="0" xfId="0" applyNumberFormat="1" applyFont="1" applyAlignment="1">
      <alignment horizontal="center"/>
    </xf>
    <xf numFmtId="172" fontId="6" fillId="0" borderId="0" xfId="0" applyNumberFormat="1" applyFont="1" applyAlignment="1">
      <alignment horizontal="center"/>
    </xf>
    <xf numFmtId="172" fontId="4" fillId="0" borderId="0" xfId="0" applyNumberFormat="1" applyFont="1" applyAlignment="1" applyProtection="1">
      <alignment horizontal="center"/>
      <protection locked="0"/>
    </xf>
    <xf numFmtId="164" fontId="0" fillId="0" borderId="9" xfId="0" applyNumberFormat="1" applyBorder="1" applyAlignment="1">
      <alignment horizontal="right"/>
    </xf>
    <xf numFmtId="0" fontId="4" fillId="0" borderId="10" xfId="0" applyFont="1" applyBorder="1"/>
    <xf numFmtId="164" fontId="0" fillId="0" borderId="11" xfId="0" applyNumberFormat="1" applyBorder="1" applyAlignment="1">
      <alignment horizontal="right"/>
    </xf>
    <xf numFmtId="0" fontId="4" fillId="0" borderId="12" xfId="0" applyFont="1" applyBorder="1"/>
    <xf numFmtId="164" fontId="0" fillId="0" borderId="15" xfId="0" applyNumberFormat="1" applyBorder="1"/>
    <xf numFmtId="0" fontId="0" fillId="0" borderId="16" xfId="0" applyBorder="1"/>
    <xf numFmtId="172" fontId="0" fillId="0" borderId="15" xfId="0" applyNumberFormat="1" applyBorder="1"/>
    <xf numFmtId="169" fontId="0" fillId="0" borderId="15" xfId="0" applyNumberFormat="1" applyBorder="1" applyAlignment="1">
      <alignment horizontal="right"/>
    </xf>
    <xf numFmtId="2" fontId="0" fillId="0" borderId="17" xfId="0" applyNumberFormat="1" applyBorder="1" applyAlignment="1">
      <alignment horizontal="right"/>
    </xf>
    <xf numFmtId="0" fontId="0" fillId="0" borderId="18" xfId="0" applyBorder="1"/>
    <xf numFmtId="0" fontId="1" fillId="0" borderId="0" xfId="0" applyFont="1" applyAlignment="1">
      <alignment horizontal="left" vertical="center"/>
    </xf>
    <xf numFmtId="0" fontId="6" fillId="0" borderId="0" xfId="0" applyFont="1" applyAlignment="1">
      <alignment horizontal="center"/>
    </xf>
    <xf numFmtId="0" fontId="8" fillId="0" borderId="7" xfId="0" applyFont="1" applyBorder="1" applyAlignment="1">
      <alignment horizontal="center"/>
    </xf>
    <xf numFmtId="0" fontId="8" fillId="0" borderId="8" xfId="0" applyFont="1" applyBorder="1" applyAlignment="1">
      <alignment horizontal="center"/>
    </xf>
    <xf numFmtId="0" fontId="8" fillId="6" borderId="13" xfId="0" applyFont="1" applyFill="1" applyBorder="1" applyAlignment="1">
      <alignment horizontal="center"/>
    </xf>
    <xf numFmtId="0" fontId="8" fillId="6" borderId="14" xfId="0" applyFont="1"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28</xdr:col>
          <xdr:colOff>28575</xdr:colOff>
          <xdr:row>7</xdr:row>
          <xdr:rowOff>28575</xdr:rowOff>
        </xdr:from>
        <xdr:to>
          <xdr:col>29</xdr:col>
          <xdr:colOff>0</xdr:colOff>
          <xdr:row>8</xdr:row>
          <xdr:rowOff>133350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xdr:colOff>
          <xdr:row>1</xdr:row>
          <xdr:rowOff>38100</xdr:rowOff>
        </xdr:from>
        <xdr:to>
          <xdr:col>29</xdr:col>
          <xdr:colOff>0</xdr:colOff>
          <xdr:row>3</xdr:row>
          <xdr:rowOff>57150</xdr:rowOff>
        </xdr:to>
        <xdr:sp macro="" textlink="">
          <xdr:nvSpPr>
            <xdr:cNvPr id="1026" name="Import_NE"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xdr:colOff>
          <xdr:row>4</xdr:row>
          <xdr:rowOff>9525</xdr:rowOff>
        </xdr:from>
        <xdr:to>
          <xdr:col>29</xdr:col>
          <xdr:colOff>0</xdr:colOff>
          <xdr:row>5</xdr:row>
          <xdr:rowOff>57150</xdr:rowOff>
        </xdr:to>
        <xdr:sp macro="" textlink="">
          <xdr:nvSpPr>
            <xdr:cNvPr id="1027" name="Import_LatLong"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10</xdr:row>
          <xdr:rowOff>171450</xdr:rowOff>
        </xdr:from>
        <xdr:to>
          <xdr:col>28</xdr:col>
          <xdr:colOff>1866900</xdr:colOff>
          <xdr:row>12</xdr:row>
          <xdr:rowOff>76200</xdr:rowOff>
        </xdr:to>
        <xdr:sp macro="" textlink="">
          <xdr:nvSpPr>
            <xdr:cNvPr id="1028" name="StoreButton"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38100</xdr:colOff>
          <xdr:row>14</xdr:row>
          <xdr:rowOff>19050</xdr:rowOff>
        </xdr:from>
        <xdr:to>
          <xdr:col>28</xdr:col>
          <xdr:colOff>1847850</xdr:colOff>
          <xdr:row>15</xdr:row>
          <xdr:rowOff>114300</xdr:rowOff>
        </xdr:to>
        <xdr:sp macro="" textlink="">
          <xdr:nvSpPr>
            <xdr:cNvPr id="1029" name="ExportToPRJ"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28</xdr:col>
      <xdr:colOff>44823</xdr:colOff>
      <xdr:row>16</xdr:row>
      <xdr:rowOff>80682</xdr:rowOff>
    </xdr:from>
    <xdr:to>
      <xdr:col>30</xdr:col>
      <xdr:colOff>107576</xdr:colOff>
      <xdr:row>35</xdr:row>
      <xdr:rowOff>179294</xdr:rowOff>
    </xdr:to>
    <xdr:sp macro="" textlink="">
      <xdr:nvSpPr>
        <xdr:cNvPr id="2" name="TextBox 1">
          <a:extLst>
            <a:ext uri="{FF2B5EF4-FFF2-40B4-BE49-F238E27FC236}">
              <a16:creationId xmlns:a16="http://schemas.microsoft.com/office/drawing/2014/main" id="{1177B560-8EDE-BA1D-E4DA-8A539E5EA7F7}"/>
            </a:ext>
          </a:extLst>
        </xdr:cNvPr>
        <xdr:cNvSpPr txBox="1"/>
      </xdr:nvSpPr>
      <xdr:spPr>
        <a:xfrm>
          <a:off x="10685929" y="3254188"/>
          <a:ext cx="4849906" cy="37203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 worksheet</a:t>
          </a:r>
          <a:r>
            <a:rPr lang="en-US" sz="1100" baseline="0"/>
            <a:t> allows a user to create a Two parallel Lambert conic Conformal projection based on known Northing, Eastings and their equivalent Latitudes and Longitudes.  Local Coordinates are designed to work in Feet.  Longitudes are assumed West,  Geodetic coordinates should be entered in DD.MMSS format.  </a:t>
          </a:r>
        </a:p>
        <a:p>
          <a:endParaRPr lang="en-US" sz="1100" baseline="0"/>
        </a:p>
        <a:p>
          <a:r>
            <a:rPr lang="en-US" sz="1100" baseline="0"/>
            <a:t>Import N-E will allow a user to import a csv (comma delimited file).  Make sure the first column is the point, second in the Northing and third is the Easting.</a:t>
          </a:r>
        </a:p>
        <a:p>
          <a:endParaRPr lang="en-US" sz="1100" baseline="0"/>
        </a:p>
        <a:p>
          <a:r>
            <a:rPr lang="en-US" sz="1100" baseline="0"/>
            <a:t>Import Geodetic will allow a user to import a geodetic csv file. Format should be Point, Latitude (dd mm ss.ssssss), Longitude (ddd mm ss.ssssss), separated by commas.  There can be a N or W afterthe numbers, import wil ignore these.</a:t>
          </a:r>
        </a:p>
        <a:p>
          <a:endParaRPr lang="en-US" sz="1100" baseline="0"/>
        </a:p>
        <a:p>
          <a:r>
            <a:rPr lang="en-US" sz="1100" baseline="0"/>
            <a:t>To start the projection hit the 'MAKE ME A PROJECTION' button.  Parameters will be displayed to the left.  Validation will show root mean square values to determine if the projection is valid.</a:t>
          </a:r>
        </a:p>
        <a:p>
          <a:endParaRPr lang="en-US" sz="1100" baseline="0"/>
        </a:p>
        <a:p>
          <a:r>
            <a:rPr lang="en-US" sz="1100" baseline="0"/>
            <a:t>Store Projection will store the values in the 'Stored' worksheet.  The fields are designed for import into the 'Coordinate Coversion.xlsm' spreadsheet.</a:t>
          </a:r>
        </a:p>
        <a:p>
          <a:endParaRPr lang="en-US" sz="1100" baseline="0"/>
        </a:p>
        <a:p>
          <a:r>
            <a:rPr lang="en-US" sz="1100" baseline="0"/>
            <a:t>Export to PRJ, will create a ArcGIS compatible projection file for import into ESRI software.</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2F4607-9196-4B9E-AA36-E3A022DABD2E}">
  <sheetPr codeName="Sheet1"/>
  <dimension ref="A1:AE300"/>
  <sheetViews>
    <sheetView tabSelected="1" zoomScale="85" workbookViewId="0">
      <selection activeCell="C20" sqref="C20"/>
    </sheetView>
  </sheetViews>
  <sheetFormatPr defaultRowHeight="15" x14ac:dyDescent="0.2"/>
  <cols>
    <col min="1" max="1" width="12.6640625" style="2" customWidth="1"/>
    <col min="2" max="2" width="16" style="2" hidden="1" customWidth="1"/>
    <col min="3" max="3" width="13.5546875" style="4" customWidth="1"/>
    <col min="4" max="4" width="16.21875" style="4" hidden="1" customWidth="1"/>
    <col min="5" max="5" width="13" style="4" customWidth="1"/>
    <col min="6" max="6" width="11.21875" style="2" hidden="1" customWidth="1"/>
    <col min="7" max="7" width="17.33203125" style="55" customWidth="1"/>
    <col min="8" max="8" width="19.44140625" style="55" customWidth="1"/>
    <col min="9" max="9" width="21.6640625" style="4" hidden="1" customWidth="1"/>
    <col min="10" max="13" width="21.6640625" style="2" hidden="1" customWidth="1"/>
    <col min="14" max="14" width="16.5546875" style="4" hidden="1" customWidth="1"/>
    <col min="15" max="15" width="21.6640625" style="4" hidden="1" customWidth="1"/>
    <col min="16" max="16" width="18.109375" style="4" hidden="1" customWidth="1"/>
    <col min="17" max="17" width="1.88671875" style="13" customWidth="1"/>
    <col min="18" max="18" width="6.21875" customWidth="1"/>
    <col min="19" max="19" width="16.88671875" style="5" customWidth="1"/>
    <col min="20" max="20" width="24.77734375" customWidth="1"/>
    <col min="21" max="21" width="17.5546875" hidden="1" customWidth="1"/>
    <col min="22" max="23" width="8.88671875" hidden="1" customWidth="1"/>
    <col min="24" max="24" width="20.33203125" hidden="1" customWidth="1"/>
    <col min="25" max="25" width="20.109375" hidden="1" customWidth="1"/>
    <col min="27" max="27" width="10.88671875" hidden="1" customWidth="1"/>
    <col min="28" max="28" width="14.88671875" hidden="1" customWidth="1"/>
    <col min="29" max="29" width="22.44140625" customWidth="1"/>
    <col min="30" max="30" width="34.6640625" customWidth="1"/>
  </cols>
  <sheetData>
    <row r="1" spans="1:31" ht="24.75" customHeight="1" x14ac:dyDescent="0.25">
      <c r="A1" s="68" t="s">
        <v>24</v>
      </c>
      <c r="B1" s="68"/>
      <c r="C1" s="68"/>
      <c r="D1" s="68"/>
      <c r="E1" s="68"/>
      <c r="F1" s="68"/>
      <c r="G1" s="68"/>
      <c r="R1" s="1"/>
      <c r="AA1" s="22"/>
      <c r="AB1" s="22"/>
      <c r="AC1" s="22"/>
      <c r="AD1" s="22"/>
      <c r="AE1" s="22"/>
    </row>
    <row r="2" spans="1:31" s="22" customFormat="1" ht="18.75" x14ac:dyDescent="0.3">
      <c r="A2" s="16" t="s">
        <v>38</v>
      </c>
      <c r="B2" s="16"/>
      <c r="C2" s="17" t="s">
        <v>13</v>
      </c>
      <c r="D2" s="17"/>
      <c r="E2" s="17" t="s">
        <v>14</v>
      </c>
      <c r="F2" s="18"/>
      <c r="G2" s="56" t="s">
        <v>0</v>
      </c>
      <c r="H2" s="56" t="s">
        <v>1</v>
      </c>
      <c r="I2" s="17"/>
      <c r="J2" s="16" t="s">
        <v>10</v>
      </c>
      <c r="K2" s="16" t="s">
        <v>9</v>
      </c>
      <c r="L2" s="16" t="s">
        <v>8</v>
      </c>
      <c r="M2" s="16"/>
      <c r="N2" s="17" t="s">
        <v>11</v>
      </c>
      <c r="O2" s="17"/>
      <c r="P2" s="17" t="s">
        <v>12</v>
      </c>
      <c r="Q2" s="19"/>
      <c r="R2" s="20"/>
      <c r="S2" s="21" t="s">
        <v>37</v>
      </c>
      <c r="T2" s="28" t="s">
        <v>36</v>
      </c>
      <c r="U2" s="69" t="s">
        <v>2</v>
      </c>
      <c r="V2" s="69"/>
      <c r="W2" s="69"/>
      <c r="X2" s="69"/>
      <c r="AD2" s="22" t="s">
        <v>62</v>
      </c>
    </row>
    <row r="3" spans="1:31" ht="18" hidden="1" x14ac:dyDescent="0.25">
      <c r="F3" s="3"/>
      <c r="R3" s="1"/>
    </row>
    <row r="4" spans="1:31" s="2" customFormat="1" ht="16.5" customHeight="1" x14ac:dyDescent="0.2">
      <c r="A4" s="10">
        <v>180</v>
      </c>
      <c r="B4" s="10"/>
      <c r="C4" s="9">
        <v>2850.4049</v>
      </c>
      <c r="D4" s="8"/>
      <c r="E4" s="9">
        <v>9484.4433000000008</v>
      </c>
      <c r="F4" s="9"/>
      <c r="G4" s="57">
        <v>45.095886047800001</v>
      </c>
      <c r="H4" s="57">
        <v>118.0206300893</v>
      </c>
      <c r="I4" s="4"/>
      <c r="J4" s="2">
        <f t="shared" ref="J4:J67" si="0">0.5*(LN((1+SIN(RADIANS(hmstohdd(G4))))/(1-SIN(RADIANS(hmstohdd(G4)))))-(LN((1+0.0818191910428153*SIN(RADIANS(hmstohdd(G4))))/(1-0.0818191910428153*SIN(RADIANS(hmstohdd(G4)))))*0.0818191910428153))</f>
        <v>0.88073282919488005</v>
      </c>
      <c r="K4" s="2">
        <f>38912349.5578/EXP(0.709186016884*J4)</f>
        <v>20836541.797951411</v>
      </c>
      <c r="L4" s="2">
        <f>0.709186016884*(2.10312174865317-RADIANS(hmstohdd(H4)))</f>
        <v>3.0509825884605744E-2</v>
      </c>
      <c r="M4" s="7"/>
      <c r="N4" s="4">
        <f>IF(J4&lt;&gt;0,21383283.1243-(K4*COS(L4)),"")</f>
        <v>556438.41610468924</v>
      </c>
      <c r="O4" s="4"/>
      <c r="P4" s="4">
        <f>IF(J4&lt;&gt;0,8202099.7375+(K4*SIN(L4)),"")</f>
        <v>8837720.377892714</v>
      </c>
      <c r="Q4" s="13"/>
      <c r="R4" s="14" t="s">
        <v>3</v>
      </c>
      <c r="S4" s="14">
        <f t="array" ref="S4:S7">Computations!K13:K16</f>
        <v>0.99931081004365296</v>
      </c>
      <c r="T4" s="15">
        <f t="array" ref="T4:T7">X11:X14</f>
        <v>0.99977422489327106</v>
      </c>
      <c r="U4">
        <f>TAN(RADIANS(-S10))</f>
        <v>3.025966132945879E-2</v>
      </c>
      <c r="V4" t="s">
        <v>16</v>
      </c>
      <c r="X4" s="25">
        <f>U11-547607.5011</f>
        <v>11352.793244379456</v>
      </c>
      <c r="Y4" s="27" t="s">
        <v>25</v>
      </c>
      <c r="AA4" s="2">
        <f t="shared" ref="AA4:AA67" si="1">(hmstohdd(G4)-45.1687259619)*(111123.3583+(hmstohdd(G4)-45.1687259619)*(9.77067+(hmstohdd(G4)-45.1687259619)*(5.62487+(hmstohdd(G4)-45.1687259619)*(0.024544*(hmstohdd(G4)-45.1687259619)))))</f>
        <v>-264.01005573253531</v>
      </c>
      <c r="AB4" s="2">
        <f>IF(H4&lt;&gt;0,0.999894582577+0.0000000000000122939*AA4^2+6.35E-22*AA4^3,"")</f>
        <v>0.99989458343388926</v>
      </c>
    </row>
    <row r="5" spans="1:31" ht="16.5" customHeight="1" x14ac:dyDescent="0.2">
      <c r="A5" s="10">
        <v>200</v>
      </c>
      <c r="B5" s="10"/>
      <c r="C5" s="9">
        <v>8054.7961999999998</v>
      </c>
      <c r="D5" s="8"/>
      <c r="E5" s="9">
        <v>17510.600999999999</v>
      </c>
      <c r="F5" s="9"/>
      <c r="G5" s="57">
        <v>45.105023922100003</v>
      </c>
      <c r="H5" s="57">
        <v>118.0014287492</v>
      </c>
      <c r="J5" s="2">
        <f t="shared" si="0"/>
        <v>0.88108498930753765</v>
      </c>
      <c r="K5" s="2">
        <f t="shared" ref="K5:K68" si="2">38912349.5578/EXP(0.709186016884*J5)</f>
        <v>20831338.583342623</v>
      </c>
      <c r="L5" s="2">
        <f t="shared" ref="L5:L68" si="3">0.709186016884*(2.10312174865317-RADIANS(hmstohdd(H5)))</f>
        <v>3.0894953813786308E-2</v>
      </c>
      <c r="N5" s="4">
        <f t="shared" ref="N5:N68" si="4">IF(J5&lt;&gt;0,21383283.1243-(K5*COS(L5)),"")</f>
        <v>561885.48749196157</v>
      </c>
      <c r="P5" s="4">
        <f t="shared" ref="P5:P68" si="5">IF(J5&lt;&gt;0,8202099.7375+(K5*SIN(L5)),"")</f>
        <v>8845580.602626361</v>
      </c>
      <c r="R5" s="14" t="s">
        <v>4</v>
      </c>
      <c r="S5" s="15">
        <v>-3.0238806674788066E-2</v>
      </c>
      <c r="T5" s="15">
        <v>3.0252829451192551E-2</v>
      </c>
      <c r="U5">
        <v>20835675.623244286</v>
      </c>
      <c r="V5" t="s">
        <v>15</v>
      </c>
      <c r="X5" s="26">
        <f>ATAN(U8/(20835675.62-X4))</f>
        <v>3.0250430681074025E-2</v>
      </c>
      <c r="Y5" s="5" t="s">
        <v>8</v>
      </c>
      <c r="AA5" s="2">
        <f t="shared" si="1"/>
        <v>1321.9297445305008</v>
      </c>
      <c r="AB5" s="2">
        <f t="shared" ref="AB5:AB68" si="6">IF(H5&lt;&gt;0,0.999894582577+0.0000000000000122939*AA5^2+6.35E-22*AA5^3,"")</f>
        <v>0.99989460406203567</v>
      </c>
      <c r="AD5" s="46" t="s">
        <v>63</v>
      </c>
    </row>
    <row r="6" spans="1:31" x14ac:dyDescent="0.2">
      <c r="A6" s="10">
        <v>5913</v>
      </c>
      <c r="B6" s="10"/>
      <c r="C6" s="9">
        <v>-7787.1563999999998</v>
      </c>
      <c r="D6" s="8"/>
      <c r="E6" s="9">
        <v>4045.5988000000002</v>
      </c>
      <c r="F6" s="9"/>
      <c r="G6" s="57">
        <v>45.081383047799996</v>
      </c>
      <c r="H6" s="57">
        <v>118.03221254330001</v>
      </c>
      <c r="J6" s="2">
        <f t="shared" si="0"/>
        <v>0.88001320896881619</v>
      </c>
      <c r="K6" s="2">
        <f t="shared" si="2"/>
        <v>20847178.328495111</v>
      </c>
      <c r="L6" s="2">
        <f t="shared" si="3"/>
        <v>3.0249123613175548E-2</v>
      </c>
      <c r="N6" s="4">
        <f t="shared" si="4"/>
        <v>545641.75146550685</v>
      </c>
      <c r="P6" s="4">
        <f t="shared" si="5"/>
        <v>8832612.4472946189</v>
      </c>
      <c r="R6" s="14" t="s">
        <v>5</v>
      </c>
      <c r="S6" s="15">
        <v>8808761.1460037865</v>
      </c>
      <c r="T6" s="15">
        <v>-8827138.3099045735</v>
      </c>
      <c r="U6" s="23">
        <f>AVERAGE(N4:N300)-U12</f>
        <v>11352.793261061306</v>
      </c>
      <c r="V6" t="s">
        <v>29</v>
      </c>
      <c r="X6" s="24">
        <f>hddtohms(DEGREES(2.103121749-(X5/0.709186016884)))</f>
        <v>118.03217453474286</v>
      </c>
      <c r="Y6" s="5" t="s">
        <v>1</v>
      </c>
      <c r="AA6" s="2">
        <f t="shared" si="1"/>
        <v>-3506.024539615516</v>
      </c>
      <c r="AB6" s="2">
        <f t="shared" si="6"/>
        <v>0.99989473366881043</v>
      </c>
      <c r="AD6" s="46" t="s">
        <v>70</v>
      </c>
    </row>
    <row r="7" spans="1:31" x14ac:dyDescent="0.2">
      <c r="A7" s="10">
        <v>5921</v>
      </c>
      <c r="B7" s="10"/>
      <c r="C7" s="9">
        <v>-8039.1863000000003</v>
      </c>
      <c r="D7" s="8"/>
      <c r="E7" s="9">
        <v>14914.625</v>
      </c>
      <c r="F7" s="9"/>
      <c r="G7" s="57">
        <v>45.081136690599998</v>
      </c>
      <c r="H7" s="57">
        <v>118.00505298340001</v>
      </c>
      <c r="J7" s="2">
        <f t="shared" si="0"/>
        <v>0.87999633408681688</v>
      </c>
      <c r="K7" s="2">
        <f t="shared" si="2"/>
        <v>20847427.817142624</v>
      </c>
      <c r="L7" s="2">
        <f t="shared" si="3"/>
        <v>3.0770344276012131E-2</v>
      </c>
      <c r="N7" s="4">
        <f t="shared" si="4"/>
        <v>545723.84764716029</v>
      </c>
      <c r="P7" s="4">
        <f t="shared" si="5"/>
        <v>8843481.0460453574</v>
      </c>
      <c r="R7" s="14" t="s">
        <v>6</v>
      </c>
      <c r="S7" s="15">
        <v>673192.00412425399</v>
      </c>
      <c r="T7" s="15">
        <v>-406550.06550132984</v>
      </c>
      <c r="U7" s="23">
        <f>U5-U6</f>
        <v>20824322.829983223</v>
      </c>
      <c r="V7" t="s">
        <v>30</v>
      </c>
      <c r="X7">
        <f>(X4-(U8*TAN(0.5*X5)))*0.3048</f>
        <v>555.07408864795832</v>
      </c>
      <c r="Y7" s="5" t="s">
        <v>26</v>
      </c>
      <c r="AA7" s="2">
        <f t="shared" si="1"/>
        <v>-3582.0686787713835</v>
      </c>
      <c r="AB7" s="2">
        <f t="shared" si="6"/>
        <v>0.99989474029350056</v>
      </c>
    </row>
    <row r="8" spans="1:31" x14ac:dyDescent="0.2">
      <c r="A8" s="10">
        <v>6109</v>
      </c>
      <c r="B8" s="10"/>
      <c r="C8" s="9">
        <v>21242.420399999999</v>
      </c>
      <c r="D8" s="8"/>
      <c r="E8" s="9">
        <v>-961.94439999999997</v>
      </c>
      <c r="F8" s="9"/>
      <c r="G8" s="57">
        <v>45.1300370294</v>
      </c>
      <c r="H8" s="57">
        <v>118.04322633720001</v>
      </c>
      <c r="J8" s="2">
        <f t="shared" si="0"/>
        <v>0.88197733130563105</v>
      </c>
      <c r="K8" s="2">
        <f t="shared" si="2"/>
        <v>20818159.923032101</v>
      </c>
      <c r="L8" s="2">
        <f t="shared" si="3"/>
        <v>3.0007973188646467E-2</v>
      </c>
      <c r="N8" s="4">
        <f t="shared" si="4"/>
        <v>574495.65016945079</v>
      </c>
      <c r="P8" s="4">
        <f t="shared" si="5"/>
        <v>8826716.770094784</v>
      </c>
      <c r="R8" s="14"/>
      <c r="S8" s="15"/>
      <c r="U8">
        <f>U4*U7</f>
        <v>630136.95625060913</v>
      </c>
      <c r="V8" t="s">
        <v>17</v>
      </c>
      <c r="X8" s="24">
        <f>hddtohms(45.1687259619+X7*(0.000008999007999+X7*(-0.0000000000000071202+X7*(-3.6863E-20+(-1.3188E-27*X7)))))</f>
        <v>45.102539587310929</v>
      </c>
      <c r="Y8" s="5" t="s">
        <v>0</v>
      </c>
      <c r="AA8" s="2">
        <f t="shared" si="1"/>
        <v>5338.7853761125425</v>
      </c>
      <c r="AB8" s="2">
        <f t="shared" si="6"/>
        <v>0.99989493308210187</v>
      </c>
      <c r="AD8" s="46" t="s">
        <v>64</v>
      </c>
    </row>
    <row r="9" spans="1:31" x14ac:dyDescent="0.2">
      <c r="A9" s="10">
        <v>6321</v>
      </c>
      <c r="B9" s="10"/>
      <c r="C9" s="9">
        <v>18607.360700000001</v>
      </c>
      <c r="D9" s="8"/>
      <c r="E9" s="9">
        <v>14789.414000000001</v>
      </c>
      <c r="F9" s="10"/>
      <c r="G9" s="57">
        <v>45.123441265699995</v>
      </c>
      <c r="H9" s="57">
        <v>118.0052266071</v>
      </c>
      <c r="J9" s="2">
        <f t="shared" si="0"/>
        <v>0.88179928758800741</v>
      </c>
      <c r="K9" s="2">
        <f t="shared" si="2"/>
        <v>20820788.717165947</v>
      </c>
      <c r="L9" s="2">
        <f t="shared" si="3"/>
        <v>3.0764374692423244E-2</v>
      </c>
      <c r="N9" s="4">
        <f t="shared" si="4"/>
        <v>572346.51396521926</v>
      </c>
      <c r="P9" s="4">
        <f t="shared" si="5"/>
        <v>8842537.2484971844</v>
      </c>
      <c r="R9" s="14" t="s">
        <v>7</v>
      </c>
      <c r="S9" s="15">
        <f>SQRT(S4^2+S5^2)</f>
        <v>0.99976821338709165</v>
      </c>
      <c r="T9" s="15">
        <f>SQRT(T4^2+T5^2)</f>
        <v>1.0002318403503978</v>
      </c>
      <c r="U9">
        <v>8202099.7375328084</v>
      </c>
      <c r="V9" t="s">
        <v>18</v>
      </c>
      <c r="AA9" s="2">
        <f t="shared" si="1"/>
        <v>4537.5289302513038</v>
      </c>
      <c r="AB9" s="2">
        <f t="shared" si="6"/>
        <v>0.99989483575750648</v>
      </c>
    </row>
    <row r="10" spans="1:31" x14ac:dyDescent="0.2">
      <c r="A10" s="12">
        <v>7513</v>
      </c>
      <c r="B10" s="12"/>
      <c r="C10" s="9">
        <v>2765.6536000000001</v>
      </c>
      <c r="D10" s="8"/>
      <c r="E10" s="9">
        <v>4168.1922000000004</v>
      </c>
      <c r="F10" s="10"/>
      <c r="G10" s="57">
        <v>45.095800521800001</v>
      </c>
      <c r="H10" s="57">
        <v>118.032048655</v>
      </c>
      <c r="J10" s="2">
        <f t="shared" si="0"/>
        <v>0.8807269678245655</v>
      </c>
      <c r="K10" s="2">
        <f t="shared" si="2"/>
        <v>20836628.411507271</v>
      </c>
      <c r="L10" s="2">
        <f t="shared" si="3"/>
        <v>3.0254758471240407E-2</v>
      </c>
      <c r="N10" s="4">
        <f t="shared" si="4"/>
        <v>556190.39356666803</v>
      </c>
      <c r="P10" s="4">
        <f t="shared" si="5"/>
        <v>8832410.7279379461</v>
      </c>
      <c r="R10" s="14" t="s">
        <v>44</v>
      </c>
      <c r="S10" s="15">
        <f>DEGREES(ASIN(S5/S9))</f>
        <v>-1.7332220062101267</v>
      </c>
      <c r="T10" s="15">
        <f>DEGREES(ASIN(T5/T9))</f>
        <v>1.7332220062101267</v>
      </c>
      <c r="U10">
        <f>U8+U9</f>
        <v>8832236.6937834173</v>
      </c>
      <c r="V10" t="s">
        <v>19</v>
      </c>
      <c r="AA10" s="2">
        <f t="shared" si="1"/>
        <v>-290.40986734878493</v>
      </c>
      <c r="AB10" s="2">
        <f t="shared" si="6"/>
        <v>0.9998945836138261</v>
      </c>
    </row>
    <row r="11" spans="1:31" x14ac:dyDescent="0.2">
      <c r="A11" s="10"/>
      <c r="B11" s="10"/>
      <c r="C11" s="9"/>
      <c r="D11" s="8"/>
      <c r="E11" s="9"/>
      <c r="F11" s="11"/>
      <c r="G11" s="57"/>
      <c r="H11" s="57"/>
      <c r="J11" s="2">
        <f t="shared" si="0"/>
        <v>0</v>
      </c>
      <c r="K11" s="2">
        <f t="shared" si="2"/>
        <v>38912349.557800002</v>
      </c>
      <c r="L11" s="2">
        <f t="shared" si="3"/>
        <v>1.4915045359494545</v>
      </c>
      <c r="N11" s="4" t="str">
        <f t="shared" si="4"/>
        <v/>
      </c>
      <c r="P11" s="4" t="str">
        <f t="shared" si="5"/>
        <v/>
      </c>
      <c r="R11" s="14" t="s">
        <v>42</v>
      </c>
      <c r="S11" s="15">
        <f>S6</f>
        <v>8808761.1460037865</v>
      </c>
      <c r="T11" s="15">
        <f>T6</f>
        <v>-8827138.3099045735</v>
      </c>
      <c r="U11" s="23">
        <f>U6+U12</f>
        <v>558960.29434437945</v>
      </c>
      <c r="V11" t="s">
        <v>31</v>
      </c>
      <c r="X11">
        <f>S4/(S4^2+S5^2)</f>
        <v>0.99977422489327106</v>
      </c>
      <c r="Y11" t="s">
        <v>32</v>
      </c>
      <c r="AA11" s="2">
        <f t="shared" si="1"/>
        <v>-10132324.891605169</v>
      </c>
      <c r="AB11" s="2" t="str">
        <f t="shared" si="6"/>
        <v/>
      </c>
      <c r="AD11" s="46" t="s">
        <v>65</v>
      </c>
    </row>
    <row r="12" spans="1:31" ht="15.75" thickBot="1" x14ac:dyDescent="0.25">
      <c r="A12" s="10"/>
      <c r="B12" s="10"/>
      <c r="C12" s="9"/>
      <c r="D12" s="8"/>
      <c r="E12" s="9"/>
      <c r="F12" s="10"/>
      <c r="G12" s="57"/>
      <c r="H12" s="57"/>
      <c r="J12" s="2">
        <f t="shared" si="0"/>
        <v>0</v>
      </c>
      <c r="K12" s="2">
        <f t="shared" si="2"/>
        <v>38912349.557800002</v>
      </c>
      <c r="L12" s="2">
        <f t="shared" si="3"/>
        <v>1.4915045359494545</v>
      </c>
      <c r="N12" s="4" t="str">
        <f t="shared" si="4"/>
        <v/>
      </c>
      <c r="P12" s="4" t="str">
        <f t="shared" si="5"/>
        <v/>
      </c>
      <c r="R12" s="14" t="s">
        <v>43</v>
      </c>
      <c r="S12" s="15">
        <f>S7</f>
        <v>673192.00412425399</v>
      </c>
      <c r="T12" s="15">
        <f>T7</f>
        <v>-406550.06550132984</v>
      </c>
      <c r="U12">
        <v>547607.50108331814</v>
      </c>
      <c r="X12">
        <f>-S5/(S4^2+S5^2)</f>
        <v>3.0252829451192551E-2</v>
      </c>
      <c r="Y12" t="s">
        <v>33</v>
      </c>
      <c r="AA12" s="2">
        <f t="shared" si="1"/>
        <v>-10132324.891605169</v>
      </c>
      <c r="AB12" s="2" t="str">
        <f t="shared" si="6"/>
        <v/>
      </c>
      <c r="AD12" s="54" t="s">
        <v>66</v>
      </c>
    </row>
    <row r="13" spans="1:31" ht="18" x14ac:dyDescent="0.25">
      <c r="A13" s="10"/>
      <c r="B13" s="10"/>
      <c r="C13" s="9"/>
      <c r="D13" s="8"/>
      <c r="E13" s="9"/>
      <c r="F13" s="10"/>
      <c r="G13" s="57"/>
      <c r="H13" s="57"/>
      <c r="J13" s="2">
        <f t="shared" si="0"/>
        <v>0</v>
      </c>
      <c r="K13" s="2">
        <f t="shared" si="2"/>
        <v>38912349.557800002</v>
      </c>
      <c r="L13" s="2">
        <f t="shared" si="3"/>
        <v>1.4915045359494545</v>
      </c>
      <c r="N13" s="4" t="str">
        <f t="shared" si="4"/>
        <v/>
      </c>
      <c r="P13" s="4" t="str">
        <f t="shared" si="5"/>
        <v/>
      </c>
      <c r="R13" s="29"/>
      <c r="S13" s="72" t="s">
        <v>39</v>
      </c>
      <c r="T13" s="73"/>
      <c r="X13">
        <f>-S6*X11-S7*X12</f>
        <v>-8827138.3099045735</v>
      </c>
      <c r="Y13" t="s">
        <v>34</v>
      </c>
      <c r="AA13" s="2">
        <f t="shared" si="1"/>
        <v>-10132324.891605169</v>
      </c>
      <c r="AB13" s="2" t="str">
        <f t="shared" si="6"/>
        <v/>
      </c>
      <c r="AD13" s="46" t="s">
        <v>67</v>
      </c>
    </row>
    <row r="14" spans="1:31" ht="18" x14ac:dyDescent="0.25">
      <c r="A14" s="10"/>
      <c r="B14" s="10"/>
      <c r="C14" s="9"/>
      <c r="D14" s="8"/>
      <c r="E14" s="9"/>
      <c r="F14" s="10"/>
      <c r="G14" s="57"/>
      <c r="H14" s="57"/>
      <c r="J14" s="2">
        <f t="shared" si="0"/>
        <v>0</v>
      </c>
      <c r="K14" s="2">
        <f t="shared" si="2"/>
        <v>38912349.557800002</v>
      </c>
      <c r="L14" s="2">
        <f t="shared" si="3"/>
        <v>1.4915045359494545</v>
      </c>
      <c r="N14" s="4" t="str">
        <f t="shared" si="4"/>
        <v/>
      </c>
      <c r="P14" s="4" t="str">
        <f t="shared" si="5"/>
        <v/>
      </c>
      <c r="R14" s="1"/>
      <c r="S14" s="62">
        <f>X11*U11-X12*U10+X14</f>
        <v>-114916.12084665772</v>
      </c>
      <c r="T14" s="63" t="s">
        <v>20</v>
      </c>
      <c r="X14">
        <f>S6*X12-S7*X11</f>
        <v>-406550.06550132984</v>
      </c>
      <c r="Y14" t="s">
        <v>35</v>
      </c>
      <c r="AA14" s="2">
        <f t="shared" si="1"/>
        <v>-10132324.891605169</v>
      </c>
      <c r="AB14" s="2" t="str">
        <f t="shared" si="6"/>
        <v/>
      </c>
    </row>
    <row r="15" spans="1:31" ht="18" x14ac:dyDescent="0.25">
      <c r="A15" s="10"/>
      <c r="B15" s="10"/>
      <c r="C15" s="9"/>
      <c r="D15" s="8"/>
      <c r="E15" s="9"/>
      <c r="F15" s="10"/>
      <c r="G15" s="57"/>
      <c r="H15" s="57"/>
      <c r="J15" s="2">
        <f t="shared" si="0"/>
        <v>0</v>
      </c>
      <c r="K15" s="2">
        <f t="shared" si="2"/>
        <v>38912349.557800002</v>
      </c>
      <c r="L15" s="2">
        <f t="shared" si="3"/>
        <v>1.4915045359494545</v>
      </c>
      <c r="N15" s="4" t="str">
        <f t="shared" si="4"/>
        <v/>
      </c>
      <c r="P15" s="4" t="str">
        <f t="shared" si="5"/>
        <v/>
      </c>
      <c r="R15" s="1"/>
      <c r="S15" s="62">
        <f>U11*X12+U10*X11+X13</f>
        <v>20014.415151437744</v>
      </c>
      <c r="T15" s="63" t="s">
        <v>21</v>
      </c>
      <c r="AA15" s="2">
        <f t="shared" si="1"/>
        <v>-10132324.891605169</v>
      </c>
      <c r="AB15" s="2" t="str">
        <f t="shared" si="6"/>
        <v/>
      </c>
      <c r="AD15" s="46" t="s">
        <v>68</v>
      </c>
    </row>
    <row r="16" spans="1:31" ht="18" x14ac:dyDescent="0.25">
      <c r="A16" s="10"/>
      <c r="B16" s="10"/>
      <c r="C16" s="9"/>
      <c r="D16" s="8"/>
      <c r="E16" s="9"/>
      <c r="F16" s="10"/>
      <c r="G16" s="57"/>
      <c r="H16" s="57"/>
      <c r="J16" s="2">
        <f t="shared" si="0"/>
        <v>0</v>
      </c>
      <c r="K16" s="2">
        <f t="shared" si="2"/>
        <v>38912349.557800002</v>
      </c>
      <c r="L16" s="2">
        <f t="shared" si="3"/>
        <v>1.4915045359494545</v>
      </c>
      <c r="N16" s="4" t="str">
        <f t="shared" si="4"/>
        <v/>
      </c>
      <c r="P16" s="4" t="str">
        <f t="shared" si="5"/>
        <v/>
      </c>
      <c r="R16" s="1"/>
      <c r="S16" s="64">
        <f>hddtohms(hmstohdd(MAX(G4:G300)-(hmstohdd(MAX(G4:G300))-hmstohdd(MIN(G4:G300)))/6))</f>
        <v>45.120657242918519</v>
      </c>
      <c r="T16" s="63" t="s">
        <v>22</v>
      </c>
      <c r="AA16" s="2">
        <f t="shared" si="1"/>
        <v>-10132324.891605169</v>
      </c>
      <c r="AB16" s="2" t="str">
        <f t="shared" si="6"/>
        <v/>
      </c>
    </row>
    <row r="17" spans="1:28" ht="18" x14ac:dyDescent="0.25">
      <c r="A17" s="10"/>
      <c r="B17" s="10"/>
      <c r="C17" s="9"/>
      <c r="D17" s="8"/>
      <c r="E17" s="9"/>
      <c r="F17" s="10"/>
      <c r="G17" s="57"/>
      <c r="H17" s="57"/>
      <c r="J17" s="2">
        <f t="shared" si="0"/>
        <v>0</v>
      </c>
      <c r="K17" s="2">
        <f t="shared" si="2"/>
        <v>38912349.557800002</v>
      </c>
      <c r="L17" s="2">
        <f t="shared" si="3"/>
        <v>1.4915045359494545</v>
      </c>
      <c r="N17" s="4" t="str">
        <f t="shared" si="4"/>
        <v/>
      </c>
      <c r="P17" s="4" t="str">
        <f t="shared" si="5"/>
        <v/>
      </c>
      <c r="R17" s="1"/>
      <c r="S17" s="64">
        <f>hddtohms(hmstohdd(MIN(G4:G300)+(hmstohdd(MAX(G4:G300))-hmstohdd(MIN(G4:G300)))/6))</f>
        <v>45.094516477081484</v>
      </c>
      <c r="T17" s="63" t="s">
        <v>23</v>
      </c>
      <c r="AA17" s="2">
        <f t="shared" si="1"/>
        <v>-10132324.891605169</v>
      </c>
      <c r="AB17" s="2" t="str">
        <f t="shared" si="6"/>
        <v/>
      </c>
    </row>
    <row r="18" spans="1:28" x14ac:dyDescent="0.2">
      <c r="A18" s="10"/>
      <c r="B18" s="10"/>
      <c r="C18" s="9"/>
      <c r="D18" s="8"/>
      <c r="E18" s="9"/>
      <c r="F18" s="10"/>
      <c r="G18" s="57"/>
      <c r="H18" s="57"/>
      <c r="J18" s="2">
        <f t="shared" si="0"/>
        <v>0</v>
      </c>
      <c r="K18" s="2">
        <f t="shared" si="2"/>
        <v>38912349.557800002</v>
      </c>
      <c r="L18" s="2">
        <f t="shared" si="3"/>
        <v>1.4915045359494545</v>
      </c>
      <c r="N18" s="4" t="str">
        <f t="shared" si="4"/>
        <v/>
      </c>
      <c r="P18" s="4" t="str">
        <f t="shared" si="5"/>
        <v/>
      </c>
      <c r="S18" s="64">
        <f>X8</f>
        <v>45.102539587310929</v>
      </c>
      <c r="T18" s="63" t="s">
        <v>27</v>
      </c>
      <c r="AA18" s="2">
        <f t="shared" si="1"/>
        <v>-10132324.891605169</v>
      </c>
      <c r="AB18" s="2" t="str">
        <f t="shared" si="6"/>
        <v/>
      </c>
    </row>
    <row r="19" spans="1:28" x14ac:dyDescent="0.2">
      <c r="A19" s="10"/>
      <c r="B19" s="10"/>
      <c r="C19" s="9"/>
      <c r="D19" s="8"/>
      <c r="E19" s="9"/>
      <c r="F19" s="10"/>
      <c r="G19" s="57"/>
      <c r="H19" s="57"/>
      <c r="J19" s="2">
        <f t="shared" si="0"/>
        <v>0</v>
      </c>
      <c r="K19" s="2">
        <f t="shared" si="2"/>
        <v>38912349.557800002</v>
      </c>
      <c r="L19" s="2">
        <f t="shared" si="3"/>
        <v>1.4915045359494545</v>
      </c>
      <c r="N19" s="4" t="str">
        <f t="shared" si="4"/>
        <v/>
      </c>
      <c r="P19" s="4" t="str">
        <f t="shared" si="5"/>
        <v/>
      </c>
      <c r="S19" s="64">
        <f>X6</f>
        <v>118.03217453474286</v>
      </c>
      <c r="T19" s="63" t="s">
        <v>28</v>
      </c>
      <c r="AA19" s="2">
        <f t="shared" si="1"/>
        <v>-10132324.891605169</v>
      </c>
      <c r="AB19" s="2" t="str">
        <f t="shared" si="6"/>
        <v/>
      </c>
    </row>
    <row r="20" spans="1:28" x14ac:dyDescent="0.2">
      <c r="A20" s="10"/>
      <c r="B20" s="10"/>
      <c r="C20" s="9"/>
      <c r="D20" s="8"/>
      <c r="E20" s="9"/>
      <c r="F20" s="10"/>
      <c r="G20" s="57"/>
      <c r="H20" s="57"/>
      <c r="J20" s="2">
        <f t="shared" si="0"/>
        <v>0</v>
      </c>
      <c r="K20" s="2">
        <f t="shared" si="2"/>
        <v>38912349.557800002</v>
      </c>
      <c r="L20" s="2">
        <f t="shared" si="3"/>
        <v>1.4915045359494545</v>
      </c>
      <c r="N20" s="4" t="str">
        <f t="shared" si="4"/>
        <v/>
      </c>
      <c r="P20" s="4" t="str">
        <f t="shared" si="5"/>
        <v/>
      </c>
      <c r="S20" s="65">
        <f>T9*AVERAGE(AB4:AB300)</f>
        <v>1.0001265322144774</v>
      </c>
      <c r="T20" s="63" t="s">
        <v>40</v>
      </c>
      <c r="AA20" s="2">
        <f t="shared" si="1"/>
        <v>-10132324.891605169</v>
      </c>
      <c r="AB20" s="2" t="str">
        <f t="shared" si="6"/>
        <v/>
      </c>
    </row>
    <row r="21" spans="1:28" ht="15.75" thickBot="1" x14ac:dyDescent="0.25">
      <c r="A21" s="10"/>
      <c r="B21" s="10"/>
      <c r="C21" s="9"/>
      <c r="D21" s="8"/>
      <c r="E21" s="9"/>
      <c r="F21" s="10"/>
      <c r="G21" s="57"/>
      <c r="H21" s="57"/>
      <c r="J21" s="2">
        <f t="shared" si="0"/>
        <v>0</v>
      </c>
      <c r="K21" s="2">
        <f t="shared" si="2"/>
        <v>38912349.557800002</v>
      </c>
      <c r="L21" s="2">
        <f t="shared" si="3"/>
        <v>1.4915045359494545</v>
      </c>
      <c r="N21" s="4" t="str">
        <f t="shared" si="4"/>
        <v/>
      </c>
      <c r="P21" s="4" t="str">
        <f t="shared" si="5"/>
        <v/>
      </c>
      <c r="S21" s="66">
        <f>(S20*6371000-6371000)/0.3048</f>
        <v>2644.8055722945055</v>
      </c>
      <c r="T21" s="67" t="s">
        <v>41</v>
      </c>
      <c r="AA21" s="2">
        <f t="shared" si="1"/>
        <v>-10132324.891605169</v>
      </c>
      <c r="AB21" s="2" t="str">
        <f t="shared" si="6"/>
        <v/>
      </c>
    </row>
    <row r="22" spans="1:28" ht="15.75" thickBot="1" x14ac:dyDescent="0.25">
      <c r="A22" s="10"/>
      <c r="B22" s="10"/>
      <c r="C22" s="9"/>
      <c r="D22" s="8"/>
      <c r="E22" s="9"/>
      <c r="F22" s="10"/>
      <c r="G22" s="57"/>
      <c r="H22" s="57"/>
      <c r="J22" s="2">
        <f t="shared" si="0"/>
        <v>0</v>
      </c>
      <c r="K22" s="2">
        <f t="shared" si="2"/>
        <v>38912349.557800002</v>
      </c>
      <c r="L22" s="2">
        <f t="shared" si="3"/>
        <v>1.4915045359494545</v>
      </c>
      <c r="N22" s="4" t="str">
        <f t="shared" si="4"/>
        <v/>
      </c>
      <c r="P22" s="4" t="str">
        <f t="shared" si="5"/>
        <v/>
      </c>
      <c r="AA22" s="2">
        <f t="shared" si="1"/>
        <v>-10132324.891605169</v>
      </c>
      <c r="AB22" s="2" t="str">
        <f t="shared" si="6"/>
        <v/>
      </c>
    </row>
    <row r="23" spans="1:28" x14ac:dyDescent="0.2">
      <c r="A23" s="10"/>
      <c r="B23" s="10"/>
      <c r="C23" s="9"/>
      <c r="D23" s="8"/>
      <c r="E23" s="9"/>
      <c r="F23" s="10"/>
      <c r="G23" s="57"/>
      <c r="H23" s="57"/>
      <c r="J23" s="2">
        <f t="shared" si="0"/>
        <v>0</v>
      </c>
      <c r="K23" s="2">
        <f t="shared" si="2"/>
        <v>38912349.557800002</v>
      </c>
      <c r="L23" s="2">
        <f t="shared" si="3"/>
        <v>1.4915045359494545</v>
      </c>
      <c r="N23" s="4" t="str">
        <f t="shared" si="4"/>
        <v/>
      </c>
      <c r="P23" s="4" t="str">
        <f t="shared" si="5"/>
        <v/>
      </c>
      <c r="S23" s="70" t="s">
        <v>69</v>
      </c>
      <c r="T23" s="71"/>
      <c r="AA23" s="2">
        <f t="shared" si="1"/>
        <v>-10132324.891605169</v>
      </c>
      <c r="AB23" s="2" t="str">
        <f t="shared" si="6"/>
        <v/>
      </c>
    </row>
    <row r="24" spans="1:28" x14ac:dyDescent="0.2">
      <c r="A24" s="10"/>
      <c r="B24" s="10"/>
      <c r="C24" s="9"/>
      <c r="D24" s="8"/>
      <c r="E24" s="9"/>
      <c r="F24" s="10"/>
      <c r="G24" s="57"/>
      <c r="H24" s="57"/>
      <c r="J24" s="2">
        <f t="shared" si="0"/>
        <v>0</v>
      </c>
      <c r="K24" s="2">
        <f t="shared" si="2"/>
        <v>38912349.557800002</v>
      </c>
      <c r="L24" s="2">
        <f t="shared" si="3"/>
        <v>1.4915045359494545</v>
      </c>
      <c r="N24" s="4" t="str">
        <f t="shared" si="4"/>
        <v/>
      </c>
      <c r="P24" s="4" t="str">
        <f t="shared" si="5"/>
        <v/>
      </c>
      <c r="S24" s="58">
        <f>Validation!J5</f>
        <v>3389201.9138594121</v>
      </c>
      <c r="T24" s="59" t="s">
        <v>55</v>
      </c>
      <c r="AA24" s="2">
        <f t="shared" si="1"/>
        <v>-10132324.891605169</v>
      </c>
      <c r="AB24" s="2" t="str">
        <f t="shared" si="6"/>
        <v/>
      </c>
    </row>
    <row r="25" spans="1:28" x14ac:dyDescent="0.2">
      <c r="A25" s="10"/>
      <c r="B25" s="10"/>
      <c r="C25" s="9"/>
      <c r="D25" s="8"/>
      <c r="E25" s="9"/>
      <c r="F25" s="10"/>
      <c r="G25" s="57"/>
      <c r="H25" s="57"/>
      <c r="J25" s="2">
        <f t="shared" si="0"/>
        <v>0</v>
      </c>
      <c r="K25" s="2">
        <f t="shared" si="2"/>
        <v>38912349.557800002</v>
      </c>
      <c r="L25" s="2">
        <f t="shared" si="3"/>
        <v>1.4915045359494545</v>
      </c>
      <c r="N25" s="4" t="str">
        <f t="shared" si="4"/>
        <v/>
      </c>
      <c r="P25" s="4" t="str">
        <f t="shared" si="5"/>
        <v/>
      </c>
      <c r="S25" s="58">
        <f>Validation!J6</f>
        <v>16553.397260615147</v>
      </c>
      <c r="T25" s="59" t="s">
        <v>56</v>
      </c>
      <c r="AA25" s="2">
        <f t="shared" si="1"/>
        <v>-10132324.891605169</v>
      </c>
      <c r="AB25" s="2" t="str">
        <f t="shared" si="6"/>
        <v/>
      </c>
    </row>
    <row r="26" spans="1:28" ht="15.75" thickBot="1" x14ac:dyDescent="0.25">
      <c r="A26" s="10"/>
      <c r="B26" s="10"/>
      <c r="C26" s="9"/>
      <c r="D26" s="8"/>
      <c r="E26" s="9"/>
      <c r="F26" s="10"/>
      <c r="G26" s="57"/>
      <c r="H26" s="57"/>
      <c r="J26" s="2">
        <f t="shared" si="0"/>
        <v>0</v>
      </c>
      <c r="K26" s="2">
        <f t="shared" si="2"/>
        <v>38912349.557800002</v>
      </c>
      <c r="L26" s="2">
        <f t="shared" si="3"/>
        <v>1.4915045359494545</v>
      </c>
      <c r="N26" s="4" t="str">
        <f t="shared" si="4"/>
        <v/>
      </c>
      <c r="P26" s="4" t="str">
        <f t="shared" si="5"/>
        <v/>
      </c>
      <c r="S26" s="60">
        <f>Validation!J7</f>
        <v>3389242.3383212313</v>
      </c>
      <c r="T26" s="61" t="s">
        <v>57</v>
      </c>
      <c r="AA26" s="2">
        <f t="shared" si="1"/>
        <v>-10132324.891605169</v>
      </c>
      <c r="AB26" s="2" t="str">
        <f t="shared" si="6"/>
        <v/>
      </c>
    </row>
    <row r="27" spans="1:28" x14ac:dyDescent="0.2">
      <c r="A27" s="10"/>
      <c r="B27" s="10"/>
      <c r="C27" s="9"/>
      <c r="D27" s="8"/>
      <c r="E27" s="9"/>
      <c r="F27" s="10"/>
      <c r="G27" s="57"/>
      <c r="H27" s="57"/>
      <c r="J27" s="2">
        <f t="shared" si="0"/>
        <v>0</v>
      </c>
      <c r="K27" s="2">
        <f t="shared" si="2"/>
        <v>38912349.557800002</v>
      </c>
      <c r="L27" s="2">
        <f t="shared" si="3"/>
        <v>1.4915045359494545</v>
      </c>
      <c r="N27" s="4" t="str">
        <f t="shared" si="4"/>
        <v/>
      </c>
      <c r="P27" s="4" t="str">
        <f t="shared" si="5"/>
        <v/>
      </c>
      <c r="AA27" s="2">
        <f t="shared" si="1"/>
        <v>-10132324.891605169</v>
      </c>
      <c r="AB27" s="2" t="str">
        <f t="shared" si="6"/>
        <v/>
      </c>
    </row>
    <row r="28" spans="1:28" x14ac:dyDescent="0.2">
      <c r="A28" s="10"/>
      <c r="B28" s="10"/>
      <c r="C28" s="9"/>
      <c r="D28" s="8"/>
      <c r="E28" s="9"/>
      <c r="F28" s="10"/>
      <c r="G28" s="57"/>
      <c r="H28" s="57"/>
      <c r="J28" s="2">
        <f t="shared" si="0"/>
        <v>0</v>
      </c>
      <c r="K28" s="2">
        <f t="shared" si="2"/>
        <v>38912349.557800002</v>
      </c>
      <c r="L28" s="2">
        <f t="shared" si="3"/>
        <v>1.4915045359494545</v>
      </c>
      <c r="N28" s="4" t="str">
        <f t="shared" si="4"/>
        <v/>
      </c>
      <c r="P28" s="4" t="str">
        <f t="shared" si="5"/>
        <v/>
      </c>
      <c r="AA28" s="2">
        <f t="shared" si="1"/>
        <v>-10132324.891605169</v>
      </c>
      <c r="AB28" s="2" t="str">
        <f t="shared" si="6"/>
        <v/>
      </c>
    </row>
    <row r="29" spans="1:28" x14ac:dyDescent="0.2">
      <c r="A29" s="10"/>
      <c r="B29" s="10"/>
      <c r="C29" s="9"/>
      <c r="D29" s="8"/>
      <c r="E29" s="9"/>
      <c r="F29" s="10"/>
      <c r="G29" s="57"/>
      <c r="H29" s="57"/>
      <c r="J29" s="2">
        <f t="shared" si="0"/>
        <v>0</v>
      </c>
      <c r="K29" s="2">
        <f t="shared" si="2"/>
        <v>38912349.557800002</v>
      </c>
      <c r="L29" s="2">
        <f t="shared" si="3"/>
        <v>1.4915045359494545</v>
      </c>
      <c r="N29" s="4" t="str">
        <f t="shared" si="4"/>
        <v/>
      </c>
      <c r="P29" s="4" t="str">
        <f t="shared" si="5"/>
        <v/>
      </c>
      <c r="AA29" s="2">
        <f t="shared" si="1"/>
        <v>-10132324.891605169</v>
      </c>
      <c r="AB29" s="2" t="str">
        <f t="shared" si="6"/>
        <v/>
      </c>
    </row>
    <row r="30" spans="1:28" x14ac:dyDescent="0.2">
      <c r="A30" s="10"/>
      <c r="B30" s="10"/>
      <c r="C30" s="9"/>
      <c r="D30" s="8"/>
      <c r="E30" s="9"/>
      <c r="F30" s="10"/>
      <c r="G30" s="57"/>
      <c r="H30" s="57"/>
      <c r="J30" s="2">
        <f t="shared" si="0"/>
        <v>0</v>
      </c>
      <c r="K30" s="2">
        <f t="shared" si="2"/>
        <v>38912349.557800002</v>
      </c>
      <c r="L30" s="2">
        <f t="shared" si="3"/>
        <v>1.4915045359494545</v>
      </c>
      <c r="N30" s="4" t="str">
        <f t="shared" si="4"/>
        <v/>
      </c>
      <c r="P30" s="4" t="str">
        <f t="shared" si="5"/>
        <v/>
      </c>
      <c r="AA30" s="2">
        <f t="shared" si="1"/>
        <v>-10132324.891605169</v>
      </c>
      <c r="AB30" s="2" t="str">
        <f t="shared" si="6"/>
        <v/>
      </c>
    </row>
    <row r="31" spans="1:28" x14ac:dyDescent="0.2">
      <c r="A31" s="10"/>
      <c r="B31" s="10"/>
      <c r="C31" s="9"/>
      <c r="D31" s="8"/>
      <c r="E31" s="9"/>
      <c r="F31" s="10"/>
      <c r="G31" s="57"/>
      <c r="H31" s="57"/>
      <c r="J31" s="2">
        <f t="shared" si="0"/>
        <v>0</v>
      </c>
      <c r="K31" s="2">
        <f t="shared" si="2"/>
        <v>38912349.557800002</v>
      </c>
      <c r="L31" s="2">
        <f t="shared" si="3"/>
        <v>1.4915045359494545</v>
      </c>
      <c r="N31" s="4" t="str">
        <f t="shared" si="4"/>
        <v/>
      </c>
      <c r="P31" s="4" t="str">
        <f t="shared" si="5"/>
        <v/>
      </c>
      <c r="AA31" s="2">
        <f t="shared" si="1"/>
        <v>-10132324.891605169</v>
      </c>
      <c r="AB31" s="2" t="str">
        <f t="shared" si="6"/>
        <v/>
      </c>
    </row>
    <row r="32" spans="1:28" x14ac:dyDescent="0.2">
      <c r="A32" s="10"/>
      <c r="B32" s="10"/>
      <c r="C32" s="9"/>
      <c r="D32" s="8"/>
      <c r="E32" s="9"/>
      <c r="F32" s="10"/>
      <c r="G32" s="57"/>
      <c r="H32" s="57"/>
      <c r="J32" s="2">
        <f t="shared" si="0"/>
        <v>0</v>
      </c>
      <c r="K32" s="2">
        <f t="shared" si="2"/>
        <v>38912349.557800002</v>
      </c>
      <c r="L32" s="2">
        <f t="shared" si="3"/>
        <v>1.4915045359494545</v>
      </c>
      <c r="N32" s="4" t="str">
        <f t="shared" si="4"/>
        <v/>
      </c>
      <c r="P32" s="4" t="str">
        <f t="shared" si="5"/>
        <v/>
      </c>
      <c r="AA32" s="2">
        <f t="shared" si="1"/>
        <v>-10132324.891605169</v>
      </c>
      <c r="AB32" s="2" t="str">
        <f t="shared" si="6"/>
        <v/>
      </c>
    </row>
    <row r="33" spans="1:28" x14ac:dyDescent="0.2">
      <c r="A33" s="10"/>
      <c r="B33" s="10"/>
      <c r="C33" s="9"/>
      <c r="D33" s="8"/>
      <c r="E33" s="9"/>
      <c r="F33" s="10"/>
      <c r="G33" s="57"/>
      <c r="H33" s="57"/>
      <c r="J33" s="2">
        <f t="shared" si="0"/>
        <v>0</v>
      </c>
      <c r="K33" s="2">
        <f t="shared" si="2"/>
        <v>38912349.557800002</v>
      </c>
      <c r="L33" s="2">
        <f t="shared" si="3"/>
        <v>1.4915045359494545</v>
      </c>
      <c r="N33" s="4" t="str">
        <f t="shared" si="4"/>
        <v/>
      </c>
      <c r="P33" s="4" t="str">
        <f t="shared" si="5"/>
        <v/>
      </c>
      <c r="AA33" s="2">
        <f t="shared" si="1"/>
        <v>-10132324.891605169</v>
      </c>
      <c r="AB33" s="2" t="str">
        <f t="shared" si="6"/>
        <v/>
      </c>
    </row>
    <row r="34" spans="1:28" x14ac:dyDescent="0.2">
      <c r="A34" s="10"/>
      <c r="B34" s="10"/>
      <c r="C34" s="9"/>
      <c r="D34" s="8"/>
      <c r="E34" s="9"/>
      <c r="F34" s="10"/>
      <c r="G34" s="57"/>
      <c r="H34" s="57"/>
      <c r="J34" s="2">
        <f t="shared" si="0"/>
        <v>0</v>
      </c>
      <c r="K34" s="2">
        <f t="shared" si="2"/>
        <v>38912349.557800002</v>
      </c>
      <c r="L34" s="2">
        <f t="shared" si="3"/>
        <v>1.4915045359494545</v>
      </c>
      <c r="N34" s="4" t="str">
        <f t="shared" si="4"/>
        <v/>
      </c>
      <c r="P34" s="4" t="str">
        <f t="shared" si="5"/>
        <v/>
      </c>
      <c r="AA34" s="2">
        <f t="shared" si="1"/>
        <v>-10132324.891605169</v>
      </c>
      <c r="AB34" s="2" t="str">
        <f t="shared" si="6"/>
        <v/>
      </c>
    </row>
    <row r="35" spans="1:28" x14ac:dyDescent="0.2">
      <c r="A35" s="10"/>
      <c r="B35" s="10"/>
      <c r="C35" s="9"/>
      <c r="D35" s="8"/>
      <c r="E35" s="9"/>
      <c r="F35" s="10"/>
      <c r="G35" s="57"/>
      <c r="H35" s="57"/>
      <c r="J35" s="2">
        <f t="shared" si="0"/>
        <v>0</v>
      </c>
      <c r="K35" s="2">
        <f t="shared" si="2"/>
        <v>38912349.557800002</v>
      </c>
      <c r="L35" s="2">
        <f t="shared" si="3"/>
        <v>1.4915045359494545</v>
      </c>
      <c r="N35" s="4" t="str">
        <f t="shared" si="4"/>
        <v/>
      </c>
      <c r="P35" s="4" t="str">
        <f t="shared" si="5"/>
        <v/>
      </c>
      <c r="AA35" s="2">
        <f t="shared" si="1"/>
        <v>-10132324.891605169</v>
      </c>
      <c r="AB35" s="2" t="str">
        <f t="shared" si="6"/>
        <v/>
      </c>
    </row>
    <row r="36" spans="1:28" x14ac:dyDescent="0.2">
      <c r="A36" s="10"/>
      <c r="B36" s="10"/>
      <c r="C36" s="9"/>
      <c r="D36" s="8"/>
      <c r="E36" s="9"/>
      <c r="F36" s="10"/>
      <c r="G36" s="57"/>
      <c r="H36" s="57"/>
      <c r="J36" s="2">
        <f t="shared" si="0"/>
        <v>0</v>
      </c>
      <c r="K36" s="2">
        <f t="shared" si="2"/>
        <v>38912349.557800002</v>
      </c>
      <c r="L36" s="2">
        <f t="shared" si="3"/>
        <v>1.4915045359494545</v>
      </c>
      <c r="N36" s="4" t="str">
        <f t="shared" si="4"/>
        <v/>
      </c>
      <c r="P36" s="4" t="str">
        <f t="shared" si="5"/>
        <v/>
      </c>
      <c r="AA36" s="2">
        <f t="shared" si="1"/>
        <v>-10132324.891605169</v>
      </c>
      <c r="AB36" s="2" t="str">
        <f t="shared" si="6"/>
        <v/>
      </c>
    </row>
    <row r="37" spans="1:28" x14ac:dyDescent="0.2">
      <c r="A37" s="10"/>
      <c r="B37" s="10"/>
      <c r="C37" s="9"/>
      <c r="D37" s="8"/>
      <c r="E37" s="9"/>
      <c r="F37" s="10"/>
      <c r="G37" s="57"/>
      <c r="H37" s="57"/>
      <c r="J37" s="2">
        <f t="shared" si="0"/>
        <v>0</v>
      </c>
      <c r="K37" s="2">
        <f t="shared" si="2"/>
        <v>38912349.557800002</v>
      </c>
      <c r="L37" s="2">
        <f t="shared" si="3"/>
        <v>1.4915045359494545</v>
      </c>
      <c r="N37" s="4" t="str">
        <f t="shared" si="4"/>
        <v/>
      </c>
      <c r="P37" s="4" t="str">
        <f t="shared" si="5"/>
        <v/>
      </c>
      <c r="AA37" s="2">
        <f t="shared" si="1"/>
        <v>-10132324.891605169</v>
      </c>
      <c r="AB37" s="2" t="str">
        <f t="shared" si="6"/>
        <v/>
      </c>
    </row>
    <row r="38" spans="1:28" x14ac:dyDescent="0.2">
      <c r="A38" s="10"/>
      <c r="B38" s="10"/>
      <c r="C38" s="9"/>
      <c r="D38" s="8"/>
      <c r="E38" s="9"/>
      <c r="F38" s="10"/>
      <c r="G38" s="57"/>
      <c r="H38" s="57"/>
      <c r="J38" s="2">
        <f t="shared" si="0"/>
        <v>0</v>
      </c>
      <c r="K38" s="2">
        <f t="shared" si="2"/>
        <v>38912349.557800002</v>
      </c>
      <c r="L38" s="2">
        <f t="shared" si="3"/>
        <v>1.4915045359494545</v>
      </c>
      <c r="N38" s="4" t="str">
        <f t="shared" si="4"/>
        <v/>
      </c>
      <c r="P38" s="4" t="str">
        <f t="shared" si="5"/>
        <v/>
      </c>
      <c r="AA38" s="2">
        <f t="shared" si="1"/>
        <v>-10132324.891605169</v>
      </c>
      <c r="AB38" s="2" t="str">
        <f t="shared" si="6"/>
        <v/>
      </c>
    </row>
    <row r="39" spans="1:28" x14ac:dyDescent="0.2">
      <c r="A39" s="10"/>
      <c r="B39" s="10"/>
      <c r="C39" s="9"/>
      <c r="D39" s="8"/>
      <c r="E39" s="9"/>
      <c r="F39" s="10"/>
      <c r="G39" s="57"/>
      <c r="H39" s="57"/>
      <c r="J39" s="2">
        <f t="shared" si="0"/>
        <v>0</v>
      </c>
      <c r="K39" s="2">
        <f t="shared" si="2"/>
        <v>38912349.557800002</v>
      </c>
      <c r="L39" s="2">
        <f t="shared" si="3"/>
        <v>1.4915045359494545</v>
      </c>
      <c r="N39" s="4" t="str">
        <f t="shared" si="4"/>
        <v/>
      </c>
      <c r="P39" s="4" t="str">
        <f t="shared" si="5"/>
        <v/>
      </c>
      <c r="AA39" s="2">
        <f t="shared" si="1"/>
        <v>-10132324.891605169</v>
      </c>
      <c r="AB39" s="2" t="str">
        <f t="shared" si="6"/>
        <v/>
      </c>
    </row>
    <row r="40" spans="1:28" x14ac:dyDescent="0.2">
      <c r="A40" s="10"/>
      <c r="B40" s="10"/>
      <c r="C40" s="9"/>
      <c r="D40" s="8"/>
      <c r="E40" s="9"/>
      <c r="F40" s="10"/>
      <c r="G40" s="57"/>
      <c r="H40" s="57"/>
      <c r="J40" s="2">
        <f t="shared" si="0"/>
        <v>0</v>
      </c>
      <c r="K40" s="2">
        <f t="shared" si="2"/>
        <v>38912349.557800002</v>
      </c>
      <c r="L40" s="2">
        <f t="shared" si="3"/>
        <v>1.4915045359494545</v>
      </c>
      <c r="N40" s="4" t="str">
        <f t="shared" si="4"/>
        <v/>
      </c>
      <c r="P40" s="4" t="str">
        <f t="shared" si="5"/>
        <v/>
      </c>
      <c r="AA40" s="2">
        <f t="shared" si="1"/>
        <v>-10132324.891605169</v>
      </c>
      <c r="AB40" s="2" t="str">
        <f t="shared" si="6"/>
        <v/>
      </c>
    </row>
    <row r="41" spans="1:28" x14ac:dyDescent="0.2">
      <c r="A41" s="10"/>
      <c r="B41" s="10"/>
      <c r="C41" s="9"/>
      <c r="D41" s="8"/>
      <c r="E41" s="9"/>
      <c r="F41" s="10"/>
      <c r="G41" s="57"/>
      <c r="H41" s="57"/>
      <c r="J41" s="2">
        <f t="shared" si="0"/>
        <v>0</v>
      </c>
      <c r="K41" s="2">
        <f t="shared" si="2"/>
        <v>38912349.557800002</v>
      </c>
      <c r="L41" s="2">
        <f t="shared" si="3"/>
        <v>1.4915045359494545</v>
      </c>
      <c r="N41" s="4" t="str">
        <f t="shared" si="4"/>
        <v/>
      </c>
      <c r="P41" s="4" t="str">
        <f t="shared" si="5"/>
        <v/>
      </c>
      <c r="AA41" s="2">
        <f t="shared" si="1"/>
        <v>-10132324.891605169</v>
      </c>
      <c r="AB41" s="2" t="str">
        <f t="shared" si="6"/>
        <v/>
      </c>
    </row>
    <row r="42" spans="1:28" x14ac:dyDescent="0.2">
      <c r="A42" s="10"/>
      <c r="B42" s="10"/>
      <c r="C42" s="9"/>
      <c r="D42" s="8"/>
      <c r="E42" s="9"/>
      <c r="F42" s="10"/>
      <c r="G42" s="57"/>
      <c r="H42" s="57"/>
      <c r="J42" s="2">
        <f t="shared" si="0"/>
        <v>0</v>
      </c>
      <c r="K42" s="2">
        <f t="shared" si="2"/>
        <v>38912349.557800002</v>
      </c>
      <c r="L42" s="2">
        <f t="shared" si="3"/>
        <v>1.4915045359494545</v>
      </c>
      <c r="N42" s="4" t="str">
        <f t="shared" si="4"/>
        <v/>
      </c>
      <c r="P42" s="4" t="str">
        <f t="shared" si="5"/>
        <v/>
      </c>
      <c r="AA42" s="2">
        <f t="shared" si="1"/>
        <v>-10132324.891605169</v>
      </c>
      <c r="AB42" s="2" t="str">
        <f t="shared" si="6"/>
        <v/>
      </c>
    </row>
    <row r="43" spans="1:28" x14ac:dyDescent="0.2">
      <c r="A43" s="10"/>
      <c r="B43" s="10"/>
      <c r="C43" s="9"/>
      <c r="D43" s="8"/>
      <c r="E43" s="9"/>
      <c r="F43" s="10"/>
      <c r="G43" s="57"/>
      <c r="H43" s="57"/>
      <c r="J43" s="2">
        <f t="shared" si="0"/>
        <v>0</v>
      </c>
      <c r="K43" s="2">
        <f t="shared" si="2"/>
        <v>38912349.557800002</v>
      </c>
      <c r="L43" s="2">
        <f t="shared" si="3"/>
        <v>1.4915045359494545</v>
      </c>
      <c r="N43" s="4" t="str">
        <f t="shared" si="4"/>
        <v/>
      </c>
      <c r="P43" s="4" t="str">
        <f t="shared" si="5"/>
        <v/>
      </c>
      <c r="AA43" s="2">
        <f t="shared" si="1"/>
        <v>-10132324.891605169</v>
      </c>
      <c r="AB43" s="2" t="str">
        <f t="shared" si="6"/>
        <v/>
      </c>
    </row>
    <row r="44" spans="1:28" x14ac:dyDescent="0.2">
      <c r="A44" s="10"/>
      <c r="B44" s="10"/>
      <c r="C44" s="9"/>
      <c r="D44" s="8"/>
      <c r="E44" s="9"/>
      <c r="F44" s="10"/>
      <c r="G44" s="57"/>
      <c r="H44" s="57"/>
      <c r="J44" s="2">
        <f t="shared" si="0"/>
        <v>0</v>
      </c>
      <c r="K44" s="2">
        <f t="shared" si="2"/>
        <v>38912349.557800002</v>
      </c>
      <c r="L44" s="2">
        <f t="shared" si="3"/>
        <v>1.4915045359494545</v>
      </c>
      <c r="N44" s="4" t="str">
        <f t="shared" si="4"/>
        <v/>
      </c>
      <c r="P44" s="4" t="str">
        <f t="shared" si="5"/>
        <v/>
      </c>
      <c r="AA44" s="2">
        <f t="shared" si="1"/>
        <v>-10132324.891605169</v>
      </c>
      <c r="AB44" s="2" t="str">
        <f t="shared" si="6"/>
        <v/>
      </c>
    </row>
    <row r="45" spans="1:28" x14ac:dyDescent="0.2">
      <c r="A45" s="10"/>
      <c r="B45" s="10"/>
      <c r="C45" s="9"/>
      <c r="D45" s="8"/>
      <c r="E45" s="9"/>
      <c r="F45" s="10"/>
      <c r="G45" s="57"/>
      <c r="H45" s="57"/>
      <c r="J45" s="2">
        <f t="shared" si="0"/>
        <v>0</v>
      </c>
      <c r="K45" s="2">
        <f t="shared" si="2"/>
        <v>38912349.557800002</v>
      </c>
      <c r="L45" s="2">
        <f t="shared" si="3"/>
        <v>1.4915045359494545</v>
      </c>
      <c r="N45" s="4" t="str">
        <f t="shared" si="4"/>
        <v/>
      </c>
      <c r="P45" s="4" t="str">
        <f t="shared" si="5"/>
        <v/>
      </c>
      <c r="AA45" s="2">
        <f t="shared" si="1"/>
        <v>-10132324.891605169</v>
      </c>
      <c r="AB45" s="2" t="str">
        <f t="shared" si="6"/>
        <v/>
      </c>
    </row>
    <row r="46" spans="1:28" x14ac:dyDescent="0.2">
      <c r="A46" s="10"/>
      <c r="B46" s="10"/>
      <c r="C46" s="9"/>
      <c r="D46" s="8"/>
      <c r="E46" s="9"/>
      <c r="F46" s="10"/>
      <c r="G46" s="57"/>
      <c r="H46" s="57"/>
      <c r="J46" s="2">
        <f t="shared" si="0"/>
        <v>0</v>
      </c>
      <c r="K46" s="2">
        <f t="shared" si="2"/>
        <v>38912349.557800002</v>
      </c>
      <c r="L46" s="2">
        <f t="shared" si="3"/>
        <v>1.4915045359494545</v>
      </c>
      <c r="N46" s="4" t="str">
        <f t="shared" si="4"/>
        <v/>
      </c>
      <c r="P46" s="4" t="str">
        <f t="shared" si="5"/>
        <v/>
      </c>
      <c r="AA46" s="2">
        <f t="shared" si="1"/>
        <v>-10132324.891605169</v>
      </c>
      <c r="AB46" s="2" t="str">
        <f t="shared" si="6"/>
        <v/>
      </c>
    </row>
    <row r="47" spans="1:28" x14ac:dyDescent="0.2">
      <c r="A47" s="10"/>
      <c r="B47" s="10"/>
      <c r="C47" s="9"/>
      <c r="D47" s="8"/>
      <c r="E47" s="9"/>
      <c r="F47" s="10"/>
      <c r="G47" s="57"/>
      <c r="H47" s="57"/>
      <c r="J47" s="2">
        <f t="shared" si="0"/>
        <v>0</v>
      </c>
      <c r="K47" s="2">
        <f t="shared" si="2"/>
        <v>38912349.557800002</v>
      </c>
      <c r="L47" s="2">
        <f t="shared" si="3"/>
        <v>1.4915045359494545</v>
      </c>
      <c r="N47" s="4" t="str">
        <f t="shared" si="4"/>
        <v/>
      </c>
      <c r="P47" s="4" t="str">
        <f t="shared" si="5"/>
        <v/>
      </c>
      <c r="AA47" s="2">
        <f t="shared" si="1"/>
        <v>-10132324.891605169</v>
      </c>
      <c r="AB47" s="2" t="str">
        <f t="shared" si="6"/>
        <v/>
      </c>
    </row>
    <row r="48" spans="1:28" x14ac:dyDescent="0.2">
      <c r="A48" s="10"/>
      <c r="B48" s="10"/>
      <c r="C48" s="9"/>
      <c r="D48" s="8"/>
      <c r="E48" s="9"/>
      <c r="F48" s="10"/>
      <c r="G48" s="57"/>
      <c r="H48" s="57"/>
      <c r="J48" s="2">
        <f t="shared" si="0"/>
        <v>0</v>
      </c>
      <c r="K48" s="2">
        <f t="shared" si="2"/>
        <v>38912349.557800002</v>
      </c>
      <c r="L48" s="2">
        <f t="shared" si="3"/>
        <v>1.4915045359494545</v>
      </c>
      <c r="N48" s="4" t="str">
        <f t="shared" si="4"/>
        <v/>
      </c>
      <c r="P48" s="4" t="str">
        <f t="shared" si="5"/>
        <v/>
      </c>
      <c r="AA48" s="2">
        <f t="shared" si="1"/>
        <v>-10132324.891605169</v>
      </c>
      <c r="AB48" s="2" t="str">
        <f t="shared" si="6"/>
        <v/>
      </c>
    </row>
    <row r="49" spans="1:28" x14ac:dyDescent="0.2">
      <c r="A49" s="10"/>
      <c r="B49" s="10"/>
      <c r="C49" s="9"/>
      <c r="D49" s="8"/>
      <c r="E49" s="9"/>
      <c r="F49" s="10"/>
      <c r="G49" s="57"/>
      <c r="H49" s="57"/>
      <c r="J49" s="2">
        <f t="shared" si="0"/>
        <v>0</v>
      </c>
      <c r="K49" s="2">
        <f t="shared" si="2"/>
        <v>38912349.557800002</v>
      </c>
      <c r="L49" s="2">
        <f t="shared" si="3"/>
        <v>1.4915045359494545</v>
      </c>
      <c r="N49" s="4" t="str">
        <f t="shared" si="4"/>
        <v/>
      </c>
      <c r="P49" s="4" t="str">
        <f t="shared" si="5"/>
        <v/>
      </c>
      <c r="AA49" s="2">
        <f t="shared" si="1"/>
        <v>-10132324.891605169</v>
      </c>
      <c r="AB49" s="2" t="str">
        <f t="shared" si="6"/>
        <v/>
      </c>
    </row>
    <row r="50" spans="1:28" x14ac:dyDescent="0.2">
      <c r="A50" s="10"/>
      <c r="B50" s="10"/>
      <c r="C50" s="9"/>
      <c r="D50" s="8"/>
      <c r="E50" s="9"/>
      <c r="F50" s="10"/>
      <c r="G50" s="57"/>
      <c r="H50" s="57"/>
      <c r="J50" s="2">
        <f t="shared" si="0"/>
        <v>0</v>
      </c>
      <c r="K50" s="2">
        <f t="shared" si="2"/>
        <v>38912349.557800002</v>
      </c>
      <c r="L50" s="2">
        <f t="shared" si="3"/>
        <v>1.4915045359494545</v>
      </c>
      <c r="N50" s="4" t="str">
        <f t="shared" si="4"/>
        <v/>
      </c>
      <c r="P50" s="4" t="str">
        <f t="shared" si="5"/>
        <v/>
      </c>
      <c r="AA50" s="2">
        <f t="shared" si="1"/>
        <v>-10132324.891605169</v>
      </c>
      <c r="AB50" s="2" t="str">
        <f t="shared" si="6"/>
        <v/>
      </c>
    </row>
    <row r="51" spans="1:28" x14ac:dyDescent="0.2">
      <c r="A51" s="10"/>
      <c r="B51" s="10"/>
      <c r="C51" s="9"/>
      <c r="D51" s="8"/>
      <c r="E51" s="9"/>
      <c r="F51" s="10"/>
      <c r="G51" s="57"/>
      <c r="H51" s="57"/>
      <c r="J51" s="2">
        <f t="shared" si="0"/>
        <v>0</v>
      </c>
      <c r="K51" s="2">
        <f t="shared" si="2"/>
        <v>38912349.557800002</v>
      </c>
      <c r="L51" s="2">
        <f t="shared" si="3"/>
        <v>1.4915045359494545</v>
      </c>
      <c r="N51" s="4" t="str">
        <f t="shared" si="4"/>
        <v/>
      </c>
      <c r="P51" s="4" t="str">
        <f t="shared" si="5"/>
        <v/>
      </c>
      <c r="AA51" s="2">
        <f t="shared" si="1"/>
        <v>-10132324.891605169</v>
      </c>
      <c r="AB51" s="2" t="str">
        <f t="shared" si="6"/>
        <v/>
      </c>
    </row>
    <row r="52" spans="1:28" x14ac:dyDescent="0.2">
      <c r="A52" s="10"/>
      <c r="B52" s="10"/>
      <c r="C52" s="9"/>
      <c r="D52" s="8"/>
      <c r="E52" s="9"/>
      <c r="F52" s="10"/>
      <c r="G52" s="57"/>
      <c r="H52" s="57"/>
      <c r="J52" s="2">
        <f t="shared" si="0"/>
        <v>0</v>
      </c>
      <c r="K52" s="2">
        <f t="shared" si="2"/>
        <v>38912349.557800002</v>
      </c>
      <c r="L52" s="2">
        <f t="shared" si="3"/>
        <v>1.4915045359494545</v>
      </c>
      <c r="N52" s="4" t="str">
        <f t="shared" si="4"/>
        <v/>
      </c>
      <c r="P52" s="4" t="str">
        <f t="shared" si="5"/>
        <v/>
      </c>
      <c r="AA52" s="2">
        <f t="shared" si="1"/>
        <v>-10132324.891605169</v>
      </c>
      <c r="AB52" s="2" t="str">
        <f t="shared" si="6"/>
        <v/>
      </c>
    </row>
    <row r="53" spans="1:28" x14ac:dyDescent="0.2">
      <c r="A53" s="10"/>
      <c r="B53" s="10"/>
      <c r="C53" s="9"/>
      <c r="D53" s="8"/>
      <c r="E53" s="9"/>
      <c r="F53" s="10"/>
      <c r="G53" s="57"/>
      <c r="H53" s="57"/>
      <c r="J53" s="2">
        <f t="shared" si="0"/>
        <v>0</v>
      </c>
      <c r="K53" s="2">
        <f t="shared" si="2"/>
        <v>38912349.557800002</v>
      </c>
      <c r="L53" s="2">
        <f t="shared" si="3"/>
        <v>1.4915045359494545</v>
      </c>
      <c r="N53" s="4" t="str">
        <f t="shared" si="4"/>
        <v/>
      </c>
      <c r="P53" s="4" t="str">
        <f t="shared" si="5"/>
        <v/>
      </c>
      <c r="AA53" s="2">
        <f t="shared" si="1"/>
        <v>-10132324.891605169</v>
      </c>
      <c r="AB53" s="2" t="str">
        <f t="shared" si="6"/>
        <v/>
      </c>
    </row>
    <row r="54" spans="1:28" x14ac:dyDescent="0.2">
      <c r="A54" s="10"/>
      <c r="B54" s="10"/>
      <c r="C54" s="9"/>
      <c r="D54" s="8"/>
      <c r="E54" s="9"/>
      <c r="F54" s="10"/>
      <c r="G54" s="57"/>
      <c r="H54" s="57"/>
      <c r="J54" s="2">
        <f t="shared" si="0"/>
        <v>0</v>
      </c>
      <c r="K54" s="2">
        <f t="shared" si="2"/>
        <v>38912349.557800002</v>
      </c>
      <c r="L54" s="2">
        <f t="shared" si="3"/>
        <v>1.4915045359494545</v>
      </c>
      <c r="N54" s="4" t="str">
        <f t="shared" si="4"/>
        <v/>
      </c>
      <c r="P54" s="4" t="str">
        <f t="shared" si="5"/>
        <v/>
      </c>
      <c r="AA54" s="2">
        <f t="shared" si="1"/>
        <v>-10132324.891605169</v>
      </c>
      <c r="AB54" s="2" t="str">
        <f t="shared" si="6"/>
        <v/>
      </c>
    </row>
    <row r="55" spans="1:28" x14ac:dyDescent="0.2">
      <c r="A55" s="10"/>
      <c r="B55" s="10"/>
      <c r="C55" s="9"/>
      <c r="D55" s="8"/>
      <c r="E55" s="9"/>
      <c r="F55" s="10"/>
      <c r="G55" s="57"/>
      <c r="H55" s="57"/>
      <c r="J55" s="2">
        <f t="shared" si="0"/>
        <v>0</v>
      </c>
      <c r="K55" s="2">
        <f t="shared" si="2"/>
        <v>38912349.557800002</v>
      </c>
      <c r="L55" s="2">
        <f t="shared" si="3"/>
        <v>1.4915045359494545</v>
      </c>
      <c r="N55" s="4" t="str">
        <f t="shared" si="4"/>
        <v/>
      </c>
      <c r="P55" s="4" t="str">
        <f t="shared" si="5"/>
        <v/>
      </c>
      <c r="AA55" s="2">
        <f t="shared" si="1"/>
        <v>-10132324.891605169</v>
      </c>
      <c r="AB55" s="2" t="str">
        <f t="shared" si="6"/>
        <v/>
      </c>
    </row>
    <row r="56" spans="1:28" x14ac:dyDescent="0.2">
      <c r="A56" s="10"/>
      <c r="B56" s="10"/>
      <c r="C56" s="9"/>
      <c r="D56" s="8"/>
      <c r="E56" s="9"/>
      <c r="F56" s="10"/>
      <c r="G56" s="57"/>
      <c r="H56" s="57"/>
      <c r="J56" s="2">
        <f t="shared" si="0"/>
        <v>0</v>
      </c>
      <c r="K56" s="2">
        <f t="shared" si="2"/>
        <v>38912349.557800002</v>
      </c>
      <c r="L56" s="2">
        <f t="shared" si="3"/>
        <v>1.4915045359494545</v>
      </c>
      <c r="N56" s="4" t="str">
        <f t="shared" si="4"/>
        <v/>
      </c>
      <c r="P56" s="4" t="str">
        <f t="shared" si="5"/>
        <v/>
      </c>
      <c r="AA56" s="2">
        <f t="shared" si="1"/>
        <v>-10132324.891605169</v>
      </c>
      <c r="AB56" s="2" t="str">
        <f t="shared" si="6"/>
        <v/>
      </c>
    </row>
    <row r="57" spans="1:28" x14ac:dyDescent="0.2">
      <c r="A57" s="10"/>
      <c r="B57" s="10"/>
      <c r="C57" s="9"/>
      <c r="D57" s="8"/>
      <c r="E57" s="9"/>
      <c r="F57" s="10"/>
      <c r="G57" s="57"/>
      <c r="H57" s="57"/>
      <c r="J57" s="2">
        <f t="shared" si="0"/>
        <v>0</v>
      </c>
      <c r="K57" s="2">
        <f t="shared" si="2"/>
        <v>38912349.557800002</v>
      </c>
      <c r="L57" s="2">
        <f t="shared" si="3"/>
        <v>1.4915045359494545</v>
      </c>
      <c r="N57" s="4" t="str">
        <f t="shared" si="4"/>
        <v/>
      </c>
      <c r="P57" s="4" t="str">
        <f t="shared" si="5"/>
        <v/>
      </c>
      <c r="AA57" s="2">
        <f t="shared" si="1"/>
        <v>-10132324.891605169</v>
      </c>
      <c r="AB57" s="2" t="str">
        <f t="shared" si="6"/>
        <v/>
      </c>
    </row>
    <row r="58" spans="1:28" x14ac:dyDescent="0.2">
      <c r="A58" s="10"/>
      <c r="B58" s="10"/>
      <c r="C58" s="9"/>
      <c r="D58" s="8"/>
      <c r="E58" s="9"/>
      <c r="F58" s="10"/>
      <c r="G58" s="57"/>
      <c r="H58" s="57"/>
      <c r="J58" s="2">
        <f t="shared" si="0"/>
        <v>0</v>
      </c>
      <c r="K58" s="2">
        <f t="shared" si="2"/>
        <v>38912349.557800002</v>
      </c>
      <c r="L58" s="2">
        <f t="shared" si="3"/>
        <v>1.4915045359494545</v>
      </c>
      <c r="N58" s="4" t="str">
        <f t="shared" si="4"/>
        <v/>
      </c>
      <c r="P58" s="4" t="str">
        <f t="shared" si="5"/>
        <v/>
      </c>
      <c r="AA58" s="2">
        <f t="shared" si="1"/>
        <v>-10132324.891605169</v>
      </c>
      <c r="AB58" s="2" t="str">
        <f t="shared" si="6"/>
        <v/>
      </c>
    </row>
    <row r="59" spans="1:28" x14ac:dyDescent="0.2">
      <c r="A59" s="10"/>
      <c r="B59" s="10"/>
      <c r="C59" s="9"/>
      <c r="D59" s="8"/>
      <c r="E59" s="9"/>
      <c r="F59" s="10"/>
      <c r="G59" s="57"/>
      <c r="H59" s="57"/>
      <c r="J59" s="2">
        <f t="shared" si="0"/>
        <v>0</v>
      </c>
      <c r="K59" s="2">
        <f t="shared" si="2"/>
        <v>38912349.557800002</v>
      </c>
      <c r="L59" s="2">
        <f t="shared" si="3"/>
        <v>1.4915045359494545</v>
      </c>
      <c r="N59" s="4" t="str">
        <f t="shared" si="4"/>
        <v/>
      </c>
      <c r="P59" s="4" t="str">
        <f t="shared" si="5"/>
        <v/>
      </c>
      <c r="AA59" s="2">
        <f t="shared" si="1"/>
        <v>-10132324.891605169</v>
      </c>
      <c r="AB59" s="2" t="str">
        <f t="shared" si="6"/>
        <v/>
      </c>
    </row>
    <row r="60" spans="1:28" x14ac:dyDescent="0.2">
      <c r="A60" s="10"/>
      <c r="B60" s="10"/>
      <c r="C60" s="9"/>
      <c r="D60" s="8"/>
      <c r="E60" s="9"/>
      <c r="F60" s="10"/>
      <c r="G60" s="57"/>
      <c r="H60" s="57"/>
      <c r="J60" s="2">
        <f t="shared" si="0"/>
        <v>0</v>
      </c>
      <c r="K60" s="2">
        <f t="shared" si="2"/>
        <v>38912349.557800002</v>
      </c>
      <c r="L60" s="2">
        <f t="shared" si="3"/>
        <v>1.4915045359494545</v>
      </c>
      <c r="N60" s="4" t="str">
        <f t="shared" si="4"/>
        <v/>
      </c>
      <c r="P60" s="4" t="str">
        <f t="shared" si="5"/>
        <v/>
      </c>
      <c r="AA60" s="2">
        <f t="shared" si="1"/>
        <v>-10132324.891605169</v>
      </c>
      <c r="AB60" s="2" t="str">
        <f t="shared" si="6"/>
        <v/>
      </c>
    </row>
    <row r="61" spans="1:28" x14ac:dyDescent="0.2">
      <c r="A61" s="10"/>
      <c r="B61" s="10"/>
      <c r="C61" s="9"/>
      <c r="D61" s="8"/>
      <c r="E61" s="9"/>
      <c r="F61" s="10"/>
      <c r="G61" s="57"/>
      <c r="H61" s="57"/>
      <c r="J61" s="2">
        <f t="shared" si="0"/>
        <v>0</v>
      </c>
      <c r="K61" s="2">
        <f t="shared" si="2"/>
        <v>38912349.557800002</v>
      </c>
      <c r="L61" s="2">
        <f t="shared" si="3"/>
        <v>1.4915045359494545</v>
      </c>
      <c r="N61" s="4" t="str">
        <f t="shared" si="4"/>
        <v/>
      </c>
      <c r="P61" s="4" t="str">
        <f t="shared" si="5"/>
        <v/>
      </c>
      <c r="AA61" s="2">
        <f t="shared" si="1"/>
        <v>-10132324.891605169</v>
      </c>
      <c r="AB61" s="2" t="str">
        <f t="shared" si="6"/>
        <v/>
      </c>
    </row>
    <row r="62" spans="1:28" x14ac:dyDescent="0.2">
      <c r="A62" s="10"/>
      <c r="B62" s="10"/>
      <c r="C62" s="9"/>
      <c r="D62" s="8"/>
      <c r="E62" s="9"/>
      <c r="F62" s="10"/>
      <c r="G62" s="57"/>
      <c r="H62" s="57"/>
      <c r="J62" s="2">
        <f t="shared" si="0"/>
        <v>0</v>
      </c>
      <c r="K62" s="2">
        <f t="shared" si="2"/>
        <v>38912349.557800002</v>
      </c>
      <c r="L62" s="2">
        <f t="shared" si="3"/>
        <v>1.4915045359494545</v>
      </c>
      <c r="N62" s="4" t="str">
        <f t="shared" si="4"/>
        <v/>
      </c>
      <c r="P62" s="4" t="str">
        <f t="shared" si="5"/>
        <v/>
      </c>
      <c r="AA62" s="2">
        <f t="shared" si="1"/>
        <v>-10132324.891605169</v>
      </c>
      <c r="AB62" s="2" t="str">
        <f t="shared" si="6"/>
        <v/>
      </c>
    </row>
    <row r="63" spans="1:28" x14ac:dyDescent="0.2">
      <c r="A63" s="10"/>
      <c r="B63" s="10"/>
      <c r="C63" s="9"/>
      <c r="D63" s="8"/>
      <c r="E63" s="9"/>
      <c r="F63" s="10"/>
      <c r="G63" s="57"/>
      <c r="H63" s="57"/>
      <c r="J63" s="2">
        <f t="shared" si="0"/>
        <v>0</v>
      </c>
      <c r="K63" s="2">
        <f t="shared" si="2"/>
        <v>38912349.557800002</v>
      </c>
      <c r="L63" s="2">
        <f t="shared" si="3"/>
        <v>1.4915045359494545</v>
      </c>
      <c r="N63" s="4" t="str">
        <f t="shared" si="4"/>
        <v/>
      </c>
      <c r="P63" s="4" t="str">
        <f t="shared" si="5"/>
        <v/>
      </c>
      <c r="AA63" s="2">
        <f t="shared" si="1"/>
        <v>-10132324.891605169</v>
      </c>
      <c r="AB63" s="2" t="str">
        <f t="shared" si="6"/>
        <v/>
      </c>
    </row>
    <row r="64" spans="1:28" x14ac:dyDescent="0.2">
      <c r="A64" s="10"/>
      <c r="B64" s="10"/>
      <c r="C64" s="9"/>
      <c r="D64" s="8"/>
      <c r="E64" s="9"/>
      <c r="F64" s="10"/>
      <c r="G64" s="57"/>
      <c r="H64" s="57"/>
      <c r="J64" s="2">
        <f t="shared" si="0"/>
        <v>0</v>
      </c>
      <c r="K64" s="2">
        <f t="shared" si="2"/>
        <v>38912349.557800002</v>
      </c>
      <c r="L64" s="2">
        <f t="shared" si="3"/>
        <v>1.4915045359494545</v>
      </c>
      <c r="N64" s="4" t="str">
        <f t="shared" si="4"/>
        <v/>
      </c>
      <c r="P64" s="4" t="str">
        <f t="shared" si="5"/>
        <v/>
      </c>
      <c r="AA64" s="2">
        <f t="shared" si="1"/>
        <v>-10132324.891605169</v>
      </c>
      <c r="AB64" s="2" t="str">
        <f t="shared" si="6"/>
        <v/>
      </c>
    </row>
    <row r="65" spans="1:28" x14ac:dyDescent="0.2">
      <c r="A65" s="10"/>
      <c r="B65" s="10"/>
      <c r="C65" s="9"/>
      <c r="D65" s="8"/>
      <c r="E65" s="9"/>
      <c r="F65" s="10"/>
      <c r="G65" s="57"/>
      <c r="H65" s="57"/>
      <c r="J65" s="2">
        <f t="shared" si="0"/>
        <v>0</v>
      </c>
      <c r="K65" s="2">
        <f t="shared" si="2"/>
        <v>38912349.557800002</v>
      </c>
      <c r="L65" s="2">
        <f t="shared" si="3"/>
        <v>1.4915045359494545</v>
      </c>
      <c r="N65" s="4" t="str">
        <f t="shared" si="4"/>
        <v/>
      </c>
      <c r="P65" s="4" t="str">
        <f t="shared" si="5"/>
        <v/>
      </c>
      <c r="AA65" s="2">
        <f t="shared" si="1"/>
        <v>-10132324.891605169</v>
      </c>
      <c r="AB65" s="2" t="str">
        <f t="shared" si="6"/>
        <v/>
      </c>
    </row>
    <row r="66" spans="1:28" x14ac:dyDescent="0.2">
      <c r="A66" s="10"/>
      <c r="B66" s="10"/>
      <c r="C66" s="9"/>
      <c r="D66" s="8"/>
      <c r="E66" s="9"/>
      <c r="F66" s="10"/>
      <c r="G66" s="57"/>
      <c r="H66" s="57"/>
      <c r="J66" s="2">
        <f t="shared" si="0"/>
        <v>0</v>
      </c>
      <c r="K66" s="2">
        <f t="shared" si="2"/>
        <v>38912349.557800002</v>
      </c>
      <c r="L66" s="2">
        <f t="shared" si="3"/>
        <v>1.4915045359494545</v>
      </c>
      <c r="N66" s="4" t="str">
        <f t="shared" si="4"/>
        <v/>
      </c>
      <c r="P66" s="4" t="str">
        <f t="shared" si="5"/>
        <v/>
      </c>
      <c r="AA66" s="2">
        <f t="shared" si="1"/>
        <v>-10132324.891605169</v>
      </c>
      <c r="AB66" s="2" t="str">
        <f t="shared" si="6"/>
        <v/>
      </c>
    </row>
    <row r="67" spans="1:28" x14ac:dyDescent="0.2">
      <c r="A67" s="10"/>
      <c r="B67" s="10"/>
      <c r="C67" s="9"/>
      <c r="D67" s="8"/>
      <c r="E67" s="9"/>
      <c r="F67" s="10"/>
      <c r="G67" s="57"/>
      <c r="H67" s="57"/>
      <c r="J67" s="2">
        <f t="shared" si="0"/>
        <v>0</v>
      </c>
      <c r="K67" s="2">
        <f t="shared" si="2"/>
        <v>38912349.557800002</v>
      </c>
      <c r="L67" s="2">
        <f t="shared" si="3"/>
        <v>1.4915045359494545</v>
      </c>
      <c r="N67" s="4" t="str">
        <f t="shared" si="4"/>
        <v/>
      </c>
      <c r="P67" s="4" t="str">
        <f t="shared" si="5"/>
        <v/>
      </c>
      <c r="AA67" s="2">
        <f t="shared" si="1"/>
        <v>-10132324.891605169</v>
      </c>
      <c r="AB67" s="2" t="str">
        <f t="shared" si="6"/>
        <v/>
      </c>
    </row>
    <row r="68" spans="1:28" x14ac:dyDescent="0.2">
      <c r="A68" s="10"/>
      <c r="B68" s="10"/>
      <c r="C68" s="9"/>
      <c r="D68" s="8"/>
      <c r="E68" s="9"/>
      <c r="F68" s="10"/>
      <c r="G68" s="57"/>
      <c r="H68" s="57"/>
      <c r="J68" s="2">
        <f t="shared" ref="J68:J131" si="7">0.5*(LN((1+SIN(RADIANS(hmstohdd(G68))))/(1-SIN(RADIANS(hmstohdd(G68)))))-(LN((1+0.0818191910428153*SIN(RADIANS(hmstohdd(G68))))/(1-0.0818191910428153*SIN(RADIANS(hmstohdd(G68)))))*0.0818191910428153))</f>
        <v>0</v>
      </c>
      <c r="K68" s="2">
        <f t="shared" si="2"/>
        <v>38912349.557800002</v>
      </c>
      <c r="L68" s="2">
        <f t="shared" si="3"/>
        <v>1.4915045359494545</v>
      </c>
      <c r="N68" s="4" t="str">
        <f t="shared" si="4"/>
        <v/>
      </c>
      <c r="P68" s="4" t="str">
        <f t="shared" si="5"/>
        <v/>
      </c>
      <c r="AA68" s="2">
        <f t="shared" ref="AA68:AA131" si="8">(hmstohdd(G68)-45.1687259619)*(111123.3583+(hmstohdd(G68)-45.1687259619)*(9.77067+(hmstohdd(G68)-45.1687259619)*(5.62487+(hmstohdd(G68)-45.1687259619)*(0.024544*(hmstohdd(G68)-45.1687259619)))))</f>
        <v>-10132324.891605169</v>
      </c>
      <c r="AB68" s="2" t="str">
        <f t="shared" si="6"/>
        <v/>
      </c>
    </row>
    <row r="69" spans="1:28" x14ac:dyDescent="0.2">
      <c r="A69" s="10"/>
      <c r="B69" s="10"/>
      <c r="C69" s="9"/>
      <c r="D69" s="8"/>
      <c r="E69" s="9"/>
      <c r="F69" s="10"/>
      <c r="G69" s="57"/>
      <c r="H69" s="57"/>
      <c r="J69" s="2">
        <f t="shared" si="7"/>
        <v>0</v>
      </c>
      <c r="K69" s="2">
        <f t="shared" ref="K69:K132" si="9">38912349.5578/EXP(0.709186016884*J69)</f>
        <v>38912349.557800002</v>
      </c>
      <c r="L69" s="2">
        <f t="shared" ref="L69:L132" si="10">0.709186016884*(2.10312174865317-RADIANS(hmstohdd(H69)))</f>
        <v>1.4915045359494545</v>
      </c>
      <c r="N69" s="4" t="str">
        <f t="shared" ref="N69:N132" si="11">IF(J69&lt;&gt;0,21383283.1243-(K69*COS(L69)),"")</f>
        <v/>
      </c>
      <c r="P69" s="4" t="str">
        <f t="shared" ref="P69:P132" si="12">IF(J69&lt;&gt;0,8202099.7375+(K69*SIN(L69)),"")</f>
        <v/>
      </c>
      <c r="AA69" s="2">
        <f t="shared" si="8"/>
        <v>-10132324.891605169</v>
      </c>
      <c r="AB69" s="2" t="str">
        <f t="shared" ref="AB69:AB132" si="13">IF(H69&lt;&gt;0,0.999894582577+0.0000000000000122939*AA69^2+6.35E-22*AA69^3,"")</f>
        <v/>
      </c>
    </row>
    <row r="70" spans="1:28" x14ac:dyDescent="0.2">
      <c r="A70" s="10"/>
      <c r="B70" s="10"/>
      <c r="C70" s="9"/>
      <c r="D70" s="8"/>
      <c r="E70" s="9"/>
      <c r="F70" s="10"/>
      <c r="G70" s="57"/>
      <c r="H70" s="57"/>
      <c r="J70" s="2">
        <f t="shared" si="7"/>
        <v>0</v>
      </c>
      <c r="K70" s="2">
        <f t="shared" si="9"/>
        <v>38912349.557800002</v>
      </c>
      <c r="L70" s="2">
        <f t="shared" si="10"/>
        <v>1.4915045359494545</v>
      </c>
      <c r="N70" s="4" t="str">
        <f t="shared" si="11"/>
        <v/>
      </c>
      <c r="P70" s="4" t="str">
        <f t="shared" si="12"/>
        <v/>
      </c>
      <c r="AA70" s="2">
        <f t="shared" si="8"/>
        <v>-10132324.891605169</v>
      </c>
      <c r="AB70" s="2" t="str">
        <f t="shared" si="13"/>
        <v/>
      </c>
    </row>
    <row r="71" spans="1:28" x14ac:dyDescent="0.2">
      <c r="A71" s="10"/>
      <c r="B71" s="10"/>
      <c r="C71" s="9"/>
      <c r="D71" s="8"/>
      <c r="E71" s="9"/>
      <c r="F71" s="10"/>
      <c r="G71" s="57"/>
      <c r="H71" s="57"/>
      <c r="J71" s="2">
        <f t="shared" si="7"/>
        <v>0</v>
      </c>
      <c r="K71" s="2">
        <f t="shared" si="9"/>
        <v>38912349.557800002</v>
      </c>
      <c r="L71" s="2">
        <f t="shared" si="10"/>
        <v>1.4915045359494545</v>
      </c>
      <c r="N71" s="4" t="str">
        <f t="shared" si="11"/>
        <v/>
      </c>
      <c r="P71" s="4" t="str">
        <f t="shared" si="12"/>
        <v/>
      </c>
      <c r="AA71" s="2">
        <f t="shared" si="8"/>
        <v>-10132324.891605169</v>
      </c>
      <c r="AB71" s="2" t="str">
        <f t="shared" si="13"/>
        <v/>
      </c>
    </row>
    <row r="72" spans="1:28" x14ac:dyDescent="0.2">
      <c r="A72" s="10"/>
      <c r="B72" s="10"/>
      <c r="C72" s="9"/>
      <c r="D72" s="8"/>
      <c r="E72" s="9"/>
      <c r="F72" s="10"/>
      <c r="G72" s="57"/>
      <c r="H72" s="57"/>
      <c r="J72" s="2">
        <f t="shared" si="7"/>
        <v>0</v>
      </c>
      <c r="K72" s="2">
        <f t="shared" si="9"/>
        <v>38912349.557800002</v>
      </c>
      <c r="L72" s="2">
        <f t="shared" si="10"/>
        <v>1.4915045359494545</v>
      </c>
      <c r="N72" s="4" t="str">
        <f t="shared" si="11"/>
        <v/>
      </c>
      <c r="P72" s="4" t="str">
        <f t="shared" si="12"/>
        <v/>
      </c>
      <c r="AA72" s="2">
        <f t="shared" si="8"/>
        <v>-10132324.891605169</v>
      </c>
      <c r="AB72" s="2" t="str">
        <f t="shared" si="13"/>
        <v/>
      </c>
    </row>
    <row r="73" spans="1:28" x14ac:dyDescent="0.2">
      <c r="A73" s="10"/>
      <c r="B73" s="10"/>
      <c r="C73" s="9"/>
      <c r="D73" s="8"/>
      <c r="E73" s="9"/>
      <c r="F73" s="10"/>
      <c r="G73" s="57"/>
      <c r="H73" s="57"/>
      <c r="J73" s="2">
        <f t="shared" si="7"/>
        <v>0</v>
      </c>
      <c r="K73" s="2">
        <f t="shared" si="9"/>
        <v>38912349.557800002</v>
      </c>
      <c r="L73" s="2">
        <f t="shared" si="10"/>
        <v>1.4915045359494545</v>
      </c>
      <c r="N73" s="4" t="str">
        <f t="shared" si="11"/>
        <v/>
      </c>
      <c r="P73" s="4" t="str">
        <f t="shared" si="12"/>
        <v/>
      </c>
      <c r="AA73" s="2">
        <f t="shared" si="8"/>
        <v>-10132324.891605169</v>
      </c>
      <c r="AB73" s="2" t="str">
        <f t="shared" si="13"/>
        <v/>
      </c>
    </row>
    <row r="74" spans="1:28" x14ac:dyDescent="0.2">
      <c r="A74" s="10"/>
      <c r="B74" s="10"/>
      <c r="C74" s="9"/>
      <c r="D74" s="8"/>
      <c r="E74" s="9"/>
      <c r="F74" s="10"/>
      <c r="G74" s="57"/>
      <c r="H74" s="57"/>
      <c r="J74" s="2">
        <f t="shared" si="7"/>
        <v>0</v>
      </c>
      <c r="K74" s="2">
        <f t="shared" si="9"/>
        <v>38912349.557800002</v>
      </c>
      <c r="L74" s="2">
        <f t="shared" si="10"/>
        <v>1.4915045359494545</v>
      </c>
      <c r="N74" s="4" t="str">
        <f t="shared" si="11"/>
        <v/>
      </c>
      <c r="P74" s="4" t="str">
        <f t="shared" si="12"/>
        <v/>
      </c>
      <c r="AA74" s="2">
        <f t="shared" si="8"/>
        <v>-10132324.891605169</v>
      </c>
      <c r="AB74" s="2" t="str">
        <f t="shared" si="13"/>
        <v/>
      </c>
    </row>
    <row r="75" spans="1:28" x14ac:dyDescent="0.2">
      <c r="A75" s="10"/>
      <c r="B75" s="10"/>
      <c r="C75" s="9"/>
      <c r="D75" s="8"/>
      <c r="E75" s="9"/>
      <c r="F75" s="10"/>
      <c r="G75" s="57"/>
      <c r="H75" s="57"/>
      <c r="J75" s="2">
        <f t="shared" si="7"/>
        <v>0</v>
      </c>
      <c r="K75" s="2">
        <f t="shared" si="9"/>
        <v>38912349.557800002</v>
      </c>
      <c r="L75" s="2">
        <f t="shared" si="10"/>
        <v>1.4915045359494545</v>
      </c>
      <c r="N75" s="4" t="str">
        <f t="shared" si="11"/>
        <v/>
      </c>
      <c r="P75" s="4" t="str">
        <f t="shared" si="12"/>
        <v/>
      </c>
      <c r="AA75" s="2">
        <f t="shared" si="8"/>
        <v>-10132324.891605169</v>
      </c>
      <c r="AB75" s="2" t="str">
        <f t="shared" si="13"/>
        <v/>
      </c>
    </row>
    <row r="76" spans="1:28" x14ac:dyDescent="0.2">
      <c r="A76" s="10"/>
      <c r="B76" s="10"/>
      <c r="C76" s="9"/>
      <c r="D76" s="8"/>
      <c r="E76" s="9"/>
      <c r="F76" s="10"/>
      <c r="G76" s="57"/>
      <c r="H76" s="57"/>
      <c r="J76" s="2">
        <f t="shared" si="7"/>
        <v>0</v>
      </c>
      <c r="K76" s="2">
        <f t="shared" si="9"/>
        <v>38912349.557800002</v>
      </c>
      <c r="L76" s="2">
        <f t="shared" si="10"/>
        <v>1.4915045359494545</v>
      </c>
      <c r="N76" s="4" t="str">
        <f t="shared" si="11"/>
        <v/>
      </c>
      <c r="P76" s="4" t="str">
        <f t="shared" si="12"/>
        <v/>
      </c>
      <c r="AA76" s="2">
        <f t="shared" si="8"/>
        <v>-10132324.891605169</v>
      </c>
      <c r="AB76" s="2" t="str">
        <f t="shared" si="13"/>
        <v/>
      </c>
    </row>
    <row r="77" spans="1:28" x14ac:dyDescent="0.2">
      <c r="A77" s="10"/>
      <c r="B77" s="10"/>
      <c r="C77" s="9"/>
      <c r="D77" s="8"/>
      <c r="E77" s="9"/>
      <c r="F77" s="10"/>
      <c r="G77" s="57"/>
      <c r="H77" s="57"/>
      <c r="J77" s="2">
        <f t="shared" si="7"/>
        <v>0</v>
      </c>
      <c r="K77" s="2">
        <f t="shared" si="9"/>
        <v>38912349.557800002</v>
      </c>
      <c r="L77" s="2">
        <f t="shared" si="10"/>
        <v>1.4915045359494545</v>
      </c>
      <c r="N77" s="4" t="str">
        <f t="shared" si="11"/>
        <v/>
      </c>
      <c r="P77" s="4" t="str">
        <f t="shared" si="12"/>
        <v/>
      </c>
      <c r="AA77" s="2">
        <f t="shared" si="8"/>
        <v>-10132324.891605169</v>
      </c>
      <c r="AB77" s="2" t="str">
        <f t="shared" si="13"/>
        <v/>
      </c>
    </row>
    <row r="78" spans="1:28" x14ac:dyDescent="0.2">
      <c r="A78" s="10"/>
      <c r="B78" s="10"/>
      <c r="C78" s="9"/>
      <c r="D78" s="8"/>
      <c r="E78" s="9"/>
      <c r="F78" s="10"/>
      <c r="G78" s="57"/>
      <c r="H78" s="57"/>
      <c r="J78" s="2">
        <f t="shared" si="7"/>
        <v>0</v>
      </c>
      <c r="K78" s="2">
        <f t="shared" si="9"/>
        <v>38912349.557800002</v>
      </c>
      <c r="L78" s="2">
        <f t="shared" si="10"/>
        <v>1.4915045359494545</v>
      </c>
      <c r="N78" s="4" t="str">
        <f t="shared" si="11"/>
        <v/>
      </c>
      <c r="P78" s="4" t="str">
        <f t="shared" si="12"/>
        <v/>
      </c>
      <c r="AA78" s="2">
        <f t="shared" si="8"/>
        <v>-10132324.891605169</v>
      </c>
      <c r="AB78" s="2" t="str">
        <f t="shared" si="13"/>
        <v/>
      </c>
    </row>
    <row r="79" spans="1:28" x14ac:dyDescent="0.2">
      <c r="A79" s="10"/>
      <c r="B79" s="10"/>
      <c r="C79" s="9"/>
      <c r="D79" s="8"/>
      <c r="E79" s="9"/>
      <c r="F79" s="10"/>
      <c r="G79" s="57"/>
      <c r="H79" s="57"/>
      <c r="J79" s="2">
        <f t="shared" si="7"/>
        <v>0</v>
      </c>
      <c r="K79" s="2">
        <f t="shared" si="9"/>
        <v>38912349.557800002</v>
      </c>
      <c r="L79" s="2">
        <f t="shared" si="10"/>
        <v>1.4915045359494545</v>
      </c>
      <c r="N79" s="4" t="str">
        <f t="shared" si="11"/>
        <v/>
      </c>
      <c r="P79" s="4" t="str">
        <f t="shared" si="12"/>
        <v/>
      </c>
      <c r="AA79" s="2">
        <f t="shared" si="8"/>
        <v>-10132324.891605169</v>
      </c>
      <c r="AB79" s="2" t="str">
        <f t="shared" si="13"/>
        <v/>
      </c>
    </row>
    <row r="80" spans="1:28" x14ac:dyDescent="0.2">
      <c r="A80" s="10"/>
      <c r="B80" s="10"/>
      <c r="C80" s="9"/>
      <c r="D80" s="8"/>
      <c r="E80" s="9"/>
      <c r="F80" s="10"/>
      <c r="G80" s="57"/>
      <c r="H80" s="57"/>
      <c r="J80" s="2">
        <f t="shared" si="7"/>
        <v>0</v>
      </c>
      <c r="K80" s="2">
        <f t="shared" si="9"/>
        <v>38912349.557800002</v>
      </c>
      <c r="L80" s="2">
        <f t="shared" si="10"/>
        <v>1.4915045359494545</v>
      </c>
      <c r="N80" s="4" t="str">
        <f t="shared" si="11"/>
        <v/>
      </c>
      <c r="P80" s="4" t="str">
        <f t="shared" si="12"/>
        <v/>
      </c>
      <c r="AA80" s="2">
        <f t="shared" si="8"/>
        <v>-10132324.891605169</v>
      </c>
      <c r="AB80" s="2" t="str">
        <f t="shared" si="13"/>
        <v/>
      </c>
    </row>
    <row r="81" spans="1:28" x14ac:dyDescent="0.2">
      <c r="A81" s="10"/>
      <c r="B81" s="10"/>
      <c r="C81" s="9"/>
      <c r="D81" s="8"/>
      <c r="E81" s="9"/>
      <c r="F81" s="10"/>
      <c r="G81" s="57"/>
      <c r="H81" s="57"/>
      <c r="J81" s="2">
        <f t="shared" si="7"/>
        <v>0</v>
      </c>
      <c r="K81" s="2">
        <f t="shared" si="9"/>
        <v>38912349.557800002</v>
      </c>
      <c r="L81" s="2">
        <f t="shared" si="10"/>
        <v>1.4915045359494545</v>
      </c>
      <c r="N81" s="4" t="str">
        <f t="shared" si="11"/>
        <v/>
      </c>
      <c r="P81" s="4" t="str">
        <f t="shared" si="12"/>
        <v/>
      </c>
      <c r="AA81" s="2">
        <f t="shared" si="8"/>
        <v>-10132324.891605169</v>
      </c>
      <c r="AB81" s="2" t="str">
        <f t="shared" si="13"/>
        <v/>
      </c>
    </row>
    <row r="82" spans="1:28" x14ac:dyDescent="0.2">
      <c r="A82" s="10"/>
      <c r="B82" s="10"/>
      <c r="C82" s="9"/>
      <c r="D82" s="8"/>
      <c r="E82" s="9"/>
      <c r="F82" s="10"/>
      <c r="G82" s="57"/>
      <c r="H82" s="57"/>
      <c r="J82" s="2">
        <f t="shared" si="7"/>
        <v>0</v>
      </c>
      <c r="K82" s="2">
        <f t="shared" si="9"/>
        <v>38912349.557800002</v>
      </c>
      <c r="L82" s="2">
        <f t="shared" si="10"/>
        <v>1.4915045359494545</v>
      </c>
      <c r="N82" s="4" t="str">
        <f t="shared" si="11"/>
        <v/>
      </c>
      <c r="P82" s="4" t="str">
        <f t="shared" si="12"/>
        <v/>
      </c>
      <c r="AA82" s="2">
        <f t="shared" si="8"/>
        <v>-10132324.891605169</v>
      </c>
      <c r="AB82" s="2" t="str">
        <f t="shared" si="13"/>
        <v/>
      </c>
    </row>
    <row r="83" spans="1:28" x14ac:dyDescent="0.2">
      <c r="A83" s="10"/>
      <c r="B83" s="10"/>
      <c r="C83" s="9"/>
      <c r="D83" s="8"/>
      <c r="E83" s="9"/>
      <c r="F83" s="10"/>
      <c r="G83" s="57"/>
      <c r="H83" s="57"/>
      <c r="J83" s="2">
        <f t="shared" si="7"/>
        <v>0</v>
      </c>
      <c r="K83" s="2">
        <f t="shared" si="9"/>
        <v>38912349.557800002</v>
      </c>
      <c r="L83" s="2">
        <f t="shared" si="10"/>
        <v>1.4915045359494545</v>
      </c>
      <c r="N83" s="4" t="str">
        <f t="shared" si="11"/>
        <v/>
      </c>
      <c r="P83" s="4" t="str">
        <f t="shared" si="12"/>
        <v/>
      </c>
      <c r="AA83" s="2">
        <f t="shared" si="8"/>
        <v>-10132324.891605169</v>
      </c>
      <c r="AB83" s="2" t="str">
        <f t="shared" si="13"/>
        <v/>
      </c>
    </row>
    <row r="84" spans="1:28" x14ac:dyDescent="0.2">
      <c r="A84" s="10"/>
      <c r="B84" s="10"/>
      <c r="C84" s="9"/>
      <c r="D84" s="8"/>
      <c r="E84" s="9"/>
      <c r="F84" s="10"/>
      <c r="G84" s="57"/>
      <c r="H84" s="57"/>
      <c r="J84" s="2">
        <f t="shared" si="7"/>
        <v>0</v>
      </c>
      <c r="K84" s="2">
        <f t="shared" si="9"/>
        <v>38912349.557800002</v>
      </c>
      <c r="L84" s="2">
        <f t="shared" si="10"/>
        <v>1.4915045359494545</v>
      </c>
      <c r="N84" s="4" t="str">
        <f t="shared" si="11"/>
        <v/>
      </c>
      <c r="P84" s="4" t="str">
        <f t="shared" si="12"/>
        <v/>
      </c>
      <c r="AA84" s="2">
        <f t="shared" si="8"/>
        <v>-10132324.891605169</v>
      </c>
      <c r="AB84" s="2" t="str">
        <f t="shared" si="13"/>
        <v/>
      </c>
    </row>
    <row r="85" spans="1:28" x14ac:dyDescent="0.2">
      <c r="A85" s="10"/>
      <c r="B85" s="10"/>
      <c r="C85" s="9"/>
      <c r="D85" s="8"/>
      <c r="E85" s="9"/>
      <c r="F85" s="10"/>
      <c r="G85" s="57"/>
      <c r="H85" s="57"/>
      <c r="J85" s="2">
        <f t="shared" si="7"/>
        <v>0</v>
      </c>
      <c r="K85" s="2">
        <f t="shared" si="9"/>
        <v>38912349.557800002</v>
      </c>
      <c r="L85" s="2">
        <f t="shared" si="10"/>
        <v>1.4915045359494545</v>
      </c>
      <c r="N85" s="4" t="str">
        <f t="shared" si="11"/>
        <v/>
      </c>
      <c r="P85" s="4" t="str">
        <f t="shared" si="12"/>
        <v/>
      </c>
      <c r="AA85" s="2">
        <f t="shared" si="8"/>
        <v>-10132324.891605169</v>
      </c>
      <c r="AB85" s="2" t="str">
        <f t="shared" si="13"/>
        <v/>
      </c>
    </row>
    <row r="86" spans="1:28" x14ac:dyDescent="0.2">
      <c r="A86" s="10"/>
      <c r="B86" s="10"/>
      <c r="C86" s="9"/>
      <c r="D86" s="8"/>
      <c r="E86" s="9"/>
      <c r="F86" s="10"/>
      <c r="G86" s="57"/>
      <c r="H86" s="57"/>
      <c r="J86" s="2">
        <f t="shared" si="7"/>
        <v>0</v>
      </c>
      <c r="K86" s="2">
        <f t="shared" si="9"/>
        <v>38912349.557800002</v>
      </c>
      <c r="L86" s="2">
        <f t="shared" si="10"/>
        <v>1.4915045359494545</v>
      </c>
      <c r="N86" s="4" t="str">
        <f t="shared" si="11"/>
        <v/>
      </c>
      <c r="P86" s="4" t="str">
        <f t="shared" si="12"/>
        <v/>
      </c>
      <c r="AA86" s="2">
        <f t="shared" si="8"/>
        <v>-10132324.891605169</v>
      </c>
      <c r="AB86" s="2" t="str">
        <f t="shared" si="13"/>
        <v/>
      </c>
    </row>
    <row r="87" spans="1:28" x14ac:dyDescent="0.2">
      <c r="A87" s="10"/>
      <c r="B87" s="10"/>
      <c r="C87" s="9"/>
      <c r="D87" s="8"/>
      <c r="E87" s="9"/>
      <c r="F87" s="10"/>
      <c r="G87" s="57"/>
      <c r="H87" s="57"/>
      <c r="J87" s="2">
        <f t="shared" si="7"/>
        <v>0</v>
      </c>
      <c r="K87" s="2">
        <f t="shared" si="9"/>
        <v>38912349.557800002</v>
      </c>
      <c r="L87" s="2">
        <f t="shared" si="10"/>
        <v>1.4915045359494545</v>
      </c>
      <c r="N87" s="4" t="str">
        <f t="shared" si="11"/>
        <v/>
      </c>
      <c r="P87" s="4" t="str">
        <f t="shared" si="12"/>
        <v/>
      </c>
      <c r="AA87" s="2">
        <f t="shared" si="8"/>
        <v>-10132324.891605169</v>
      </c>
      <c r="AB87" s="2" t="str">
        <f t="shared" si="13"/>
        <v/>
      </c>
    </row>
    <row r="88" spans="1:28" x14ac:dyDescent="0.2">
      <c r="A88" s="10"/>
      <c r="B88" s="10"/>
      <c r="C88" s="9"/>
      <c r="D88" s="8"/>
      <c r="E88" s="9"/>
      <c r="F88" s="10"/>
      <c r="G88" s="57"/>
      <c r="H88" s="57"/>
      <c r="J88" s="2">
        <f t="shared" si="7"/>
        <v>0</v>
      </c>
      <c r="K88" s="2">
        <f t="shared" si="9"/>
        <v>38912349.557800002</v>
      </c>
      <c r="L88" s="2">
        <f t="shared" si="10"/>
        <v>1.4915045359494545</v>
      </c>
      <c r="N88" s="4" t="str">
        <f t="shared" si="11"/>
        <v/>
      </c>
      <c r="P88" s="4" t="str">
        <f t="shared" si="12"/>
        <v/>
      </c>
      <c r="AA88" s="2">
        <f t="shared" si="8"/>
        <v>-10132324.891605169</v>
      </c>
      <c r="AB88" s="2" t="str">
        <f t="shared" si="13"/>
        <v/>
      </c>
    </row>
    <row r="89" spans="1:28" x14ac:dyDescent="0.2">
      <c r="A89" s="10"/>
      <c r="B89" s="10"/>
      <c r="C89" s="9"/>
      <c r="D89" s="8"/>
      <c r="E89" s="9"/>
      <c r="F89" s="10"/>
      <c r="G89" s="57"/>
      <c r="H89" s="57"/>
      <c r="J89" s="2">
        <f t="shared" si="7"/>
        <v>0</v>
      </c>
      <c r="K89" s="2">
        <f t="shared" si="9"/>
        <v>38912349.557800002</v>
      </c>
      <c r="L89" s="2">
        <f t="shared" si="10"/>
        <v>1.4915045359494545</v>
      </c>
      <c r="N89" s="4" t="str">
        <f t="shared" si="11"/>
        <v/>
      </c>
      <c r="P89" s="4" t="str">
        <f t="shared" si="12"/>
        <v/>
      </c>
      <c r="AA89" s="2">
        <f t="shared" si="8"/>
        <v>-10132324.891605169</v>
      </c>
      <c r="AB89" s="2" t="str">
        <f t="shared" si="13"/>
        <v/>
      </c>
    </row>
    <row r="90" spans="1:28" x14ac:dyDescent="0.2">
      <c r="A90" s="10"/>
      <c r="B90" s="10"/>
      <c r="C90" s="9"/>
      <c r="D90" s="8"/>
      <c r="E90" s="9"/>
      <c r="F90" s="10"/>
      <c r="G90" s="57"/>
      <c r="H90" s="57"/>
      <c r="J90" s="2">
        <f t="shared" si="7"/>
        <v>0</v>
      </c>
      <c r="K90" s="2">
        <f t="shared" si="9"/>
        <v>38912349.557800002</v>
      </c>
      <c r="L90" s="2">
        <f t="shared" si="10"/>
        <v>1.4915045359494545</v>
      </c>
      <c r="N90" s="4" t="str">
        <f t="shared" si="11"/>
        <v/>
      </c>
      <c r="P90" s="4" t="str">
        <f t="shared" si="12"/>
        <v/>
      </c>
      <c r="AA90" s="2">
        <f t="shared" si="8"/>
        <v>-10132324.891605169</v>
      </c>
      <c r="AB90" s="2" t="str">
        <f t="shared" si="13"/>
        <v/>
      </c>
    </row>
    <row r="91" spans="1:28" x14ac:dyDescent="0.2">
      <c r="A91" s="10"/>
      <c r="B91" s="10"/>
      <c r="C91" s="9"/>
      <c r="D91" s="8"/>
      <c r="E91" s="9"/>
      <c r="F91" s="10"/>
      <c r="G91" s="57"/>
      <c r="H91" s="57"/>
      <c r="J91" s="2">
        <f t="shared" si="7"/>
        <v>0</v>
      </c>
      <c r="K91" s="2">
        <f t="shared" si="9"/>
        <v>38912349.557800002</v>
      </c>
      <c r="L91" s="2">
        <f t="shared" si="10"/>
        <v>1.4915045359494545</v>
      </c>
      <c r="N91" s="4" t="str">
        <f t="shared" si="11"/>
        <v/>
      </c>
      <c r="P91" s="4" t="str">
        <f t="shared" si="12"/>
        <v/>
      </c>
      <c r="AA91" s="2">
        <f t="shared" si="8"/>
        <v>-10132324.891605169</v>
      </c>
      <c r="AB91" s="2" t="str">
        <f t="shared" si="13"/>
        <v/>
      </c>
    </row>
    <row r="92" spans="1:28" x14ac:dyDescent="0.2">
      <c r="A92" s="10"/>
      <c r="B92" s="10"/>
      <c r="C92" s="9"/>
      <c r="D92" s="8"/>
      <c r="E92" s="9"/>
      <c r="F92" s="10"/>
      <c r="G92" s="57"/>
      <c r="H92" s="57"/>
      <c r="J92" s="2">
        <f t="shared" si="7"/>
        <v>0</v>
      </c>
      <c r="K92" s="2">
        <f t="shared" si="9"/>
        <v>38912349.557800002</v>
      </c>
      <c r="L92" s="2">
        <f t="shared" si="10"/>
        <v>1.4915045359494545</v>
      </c>
      <c r="N92" s="4" t="str">
        <f t="shared" si="11"/>
        <v/>
      </c>
      <c r="P92" s="4" t="str">
        <f t="shared" si="12"/>
        <v/>
      </c>
      <c r="AA92" s="2">
        <f t="shared" si="8"/>
        <v>-10132324.891605169</v>
      </c>
      <c r="AB92" s="2" t="str">
        <f t="shared" si="13"/>
        <v/>
      </c>
    </row>
    <row r="93" spans="1:28" x14ac:dyDescent="0.2">
      <c r="A93" s="10"/>
      <c r="B93" s="10"/>
      <c r="C93" s="9"/>
      <c r="D93" s="8"/>
      <c r="E93" s="9"/>
      <c r="F93" s="10"/>
      <c r="G93" s="57"/>
      <c r="H93" s="57"/>
      <c r="J93" s="2">
        <f t="shared" si="7"/>
        <v>0</v>
      </c>
      <c r="K93" s="2">
        <f t="shared" si="9"/>
        <v>38912349.557800002</v>
      </c>
      <c r="L93" s="2">
        <f t="shared" si="10"/>
        <v>1.4915045359494545</v>
      </c>
      <c r="N93" s="4" t="str">
        <f t="shared" si="11"/>
        <v/>
      </c>
      <c r="P93" s="4" t="str">
        <f t="shared" si="12"/>
        <v/>
      </c>
      <c r="AA93" s="2">
        <f t="shared" si="8"/>
        <v>-10132324.891605169</v>
      </c>
      <c r="AB93" s="2" t="str">
        <f t="shared" si="13"/>
        <v/>
      </c>
    </row>
    <row r="94" spans="1:28" x14ac:dyDescent="0.2">
      <c r="A94" s="10"/>
      <c r="B94" s="10"/>
      <c r="C94" s="9"/>
      <c r="D94" s="8"/>
      <c r="E94" s="9"/>
      <c r="F94" s="10"/>
      <c r="G94" s="57"/>
      <c r="H94" s="57"/>
      <c r="J94" s="2">
        <f t="shared" si="7"/>
        <v>0</v>
      </c>
      <c r="K94" s="2">
        <f t="shared" si="9"/>
        <v>38912349.557800002</v>
      </c>
      <c r="L94" s="2">
        <f t="shared" si="10"/>
        <v>1.4915045359494545</v>
      </c>
      <c r="N94" s="4" t="str">
        <f t="shared" si="11"/>
        <v/>
      </c>
      <c r="P94" s="4" t="str">
        <f t="shared" si="12"/>
        <v/>
      </c>
      <c r="AA94" s="2">
        <f t="shared" si="8"/>
        <v>-10132324.891605169</v>
      </c>
      <c r="AB94" s="2" t="str">
        <f t="shared" si="13"/>
        <v/>
      </c>
    </row>
    <row r="95" spans="1:28" x14ac:dyDescent="0.2">
      <c r="A95" s="10"/>
      <c r="B95" s="10"/>
      <c r="C95" s="9"/>
      <c r="D95" s="8"/>
      <c r="E95" s="9"/>
      <c r="F95" s="10"/>
      <c r="G95" s="57"/>
      <c r="H95" s="57"/>
      <c r="J95" s="2">
        <f t="shared" si="7"/>
        <v>0</v>
      </c>
      <c r="K95" s="2">
        <f t="shared" si="9"/>
        <v>38912349.557800002</v>
      </c>
      <c r="L95" s="2">
        <f t="shared" si="10"/>
        <v>1.4915045359494545</v>
      </c>
      <c r="N95" s="4" t="str">
        <f t="shared" si="11"/>
        <v/>
      </c>
      <c r="P95" s="4" t="str">
        <f t="shared" si="12"/>
        <v/>
      </c>
      <c r="AA95" s="2">
        <f t="shared" si="8"/>
        <v>-10132324.891605169</v>
      </c>
      <c r="AB95" s="2" t="str">
        <f t="shared" si="13"/>
        <v/>
      </c>
    </row>
    <row r="96" spans="1:28" x14ac:dyDescent="0.2">
      <c r="A96" s="10"/>
      <c r="B96" s="10"/>
      <c r="C96" s="9"/>
      <c r="D96" s="8"/>
      <c r="E96" s="9"/>
      <c r="F96" s="10"/>
      <c r="G96" s="57"/>
      <c r="H96" s="57"/>
      <c r="J96" s="2">
        <f t="shared" si="7"/>
        <v>0</v>
      </c>
      <c r="K96" s="2">
        <f t="shared" si="9"/>
        <v>38912349.557800002</v>
      </c>
      <c r="L96" s="2">
        <f t="shared" si="10"/>
        <v>1.4915045359494545</v>
      </c>
      <c r="N96" s="4" t="str">
        <f t="shared" si="11"/>
        <v/>
      </c>
      <c r="P96" s="4" t="str">
        <f t="shared" si="12"/>
        <v/>
      </c>
      <c r="AA96" s="2">
        <f t="shared" si="8"/>
        <v>-10132324.891605169</v>
      </c>
      <c r="AB96" s="2" t="str">
        <f t="shared" si="13"/>
        <v/>
      </c>
    </row>
    <row r="97" spans="1:28" x14ac:dyDescent="0.2">
      <c r="A97" s="10"/>
      <c r="B97" s="10"/>
      <c r="C97" s="9"/>
      <c r="D97" s="8"/>
      <c r="E97" s="9"/>
      <c r="F97" s="10"/>
      <c r="G97" s="57"/>
      <c r="H97" s="57"/>
      <c r="J97" s="2">
        <f t="shared" si="7"/>
        <v>0</v>
      </c>
      <c r="K97" s="2">
        <f t="shared" si="9"/>
        <v>38912349.557800002</v>
      </c>
      <c r="L97" s="2">
        <f t="shared" si="10"/>
        <v>1.4915045359494545</v>
      </c>
      <c r="N97" s="4" t="str">
        <f t="shared" si="11"/>
        <v/>
      </c>
      <c r="P97" s="4" t="str">
        <f t="shared" si="12"/>
        <v/>
      </c>
      <c r="AA97" s="2">
        <f t="shared" si="8"/>
        <v>-10132324.891605169</v>
      </c>
      <c r="AB97" s="2" t="str">
        <f t="shared" si="13"/>
        <v/>
      </c>
    </row>
    <row r="98" spans="1:28" x14ac:dyDescent="0.2">
      <c r="A98" s="10"/>
      <c r="B98" s="10"/>
      <c r="C98" s="9"/>
      <c r="D98" s="8"/>
      <c r="E98" s="9"/>
      <c r="F98" s="10"/>
      <c r="G98" s="57"/>
      <c r="H98" s="57"/>
      <c r="J98" s="2">
        <f t="shared" si="7"/>
        <v>0</v>
      </c>
      <c r="K98" s="2">
        <f t="shared" si="9"/>
        <v>38912349.557800002</v>
      </c>
      <c r="L98" s="2">
        <f t="shared" si="10"/>
        <v>1.4915045359494545</v>
      </c>
      <c r="N98" s="4" t="str">
        <f t="shared" si="11"/>
        <v/>
      </c>
      <c r="P98" s="4" t="str">
        <f t="shared" si="12"/>
        <v/>
      </c>
      <c r="AA98" s="2">
        <f t="shared" si="8"/>
        <v>-10132324.891605169</v>
      </c>
      <c r="AB98" s="2" t="str">
        <f t="shared" si="13"/>
        <v/>
      </c>
    </row>
    <row r="99" spans="1:28" x14ac:dyDescent="0.2">
      <c r="A99" s="10"/>
      <c r="B99" s="10"/>
      <c r="C99" s="9"/>
      <c r="D99" s="8"/>
      <c r="E99" s="9"/>
      <c r="F99" s="10"/>
      <c r="G99" s="57"/>
      <c r="H99" s="57"/>
      <c r="J99" s="2">
        <f t="shared" si="7"/>
        <v>0</v>
      </c>
      <c r="K99" s="2">
        <f t="shared" si="9"/>
        <v>38912349.557800002</v>
      </c>
      <c r="L99" s="2">
        <f t="shared" si="10"/>
        <v>1.4915045359494545</v>
      </c>
      <c r="N99" s="4" t="str">
        <f t="shared" si="11"/>
        <v/>
      </c>
      <c r="P99" s="4" t="str">
        <f t="shared" si="12"/>
        <v/>
      </c>
      <c r="AA99" s="2">
        <f t="shared" si="8"/>
        <v>-10132324.891605169</v>
      </c>
      <c r="AB99" s="2" t="str">
        <f t="shared" si="13"/>
        <v/>
      </c>
    </row>
    <row r="100" spans="1:28" x14ac:dyDescent="0.2">
      <c r="A100" s="10"/>
      <c r="B100" s="10"/>
      <c r="C100" s="9"/>
      <c r="D100" s="8"/>
      <c r="E100" s="9"/>
      <c r="F100" s="10"/>
      <c r="G100" s="57"/>
      <c r="H100" s="57"/>
      <c r="J100" s="2">
        <f t="shared" si="7"/>
        <v>0</v>
      </c>
      <c r="K100" s="2">
        <f t="shared" si="9"/>
        <v>38912349.557800002</v>
      </c>
      <c r="L100" s="2">
        <f t="shared" si="10"/>
        <v>1.4915045359494545</v>
      </c>
      <c r="N100" s="4" t="str">
        <f t="shared" si="11"/>
        <v/>
      </c>
      <c r="P100" s="4" t="str">
        <f t="shared" si="12"/>
        <v/>
      </c>
      <c r="AA100" s="2">
        <f t="shared" si="8"/>
        <v>-10132324.891605169</v>
      </c>
      <c r="AB100" s="2" t="str">
        <f t="shared" si="13"/>
        <v/>
      </c>
    </row>
    <row r="101" spans="1:28" x14ac:dyDescent="0.2">
      <c r="A101" s="10"/>
      <c r="B101" s="10"/>
      <c r="C101" s="9"/>
      <c r="D101" s="8"/>
      <c r="E101" s="9"/>
      <c r="F101" s="10"/>
      <c r="G101" s="57"/>
      <c r="H101" s="57"/>
      <c r="J101" s="2">
        <f t="shared" si="7"/>
        <v>0</v>
      </c>
      <c r="K101" s="2">
        <f t="shared" si="9"/>
        <v>38912349.557800002</v>
      </c>
      <c r="L101" s="2">
        <f t="shared" si="10"/>
        <v>1.4915045359494545</v>
      </c>
      <c r="N101" s="4" t="str">
        <f t="shared" si="11"/>
        <v/>
      </c>
      <c r="P101" s="4" t="str">
        <f t="shared" si="12"/>
        <v/>
      </c>
      <c r="AA101" s="2">
        <f t="shared" si="8"/>
        <v>-10132324.891605169</v>
      </c>
      <c r="AB101" s="2" t="str">
        <f t="shared" si="13"/>
        <v/>
      </c>
    </row>
    <row r="102" spans="1:28" x14ac:dyDescent="0.2">
      <c r="A102" s="10"/>
      <c r="B102" s="10"/>
      <c r="C102" s="9"/>
      <c r="D102" s="8"/>
      <c r="E102" s="9"/>
      <c r="F102" s="10"/>
      <c r="G102" s="57"/>
      <c r="H102" s="57"/>
      <c r="J102" s="2">
        <f t="shared" si="7"/>
        <v>0</v>
      </c>
      <c r="K102" s="2">
        <f t="shared" si="9"/>
        <v>38912349.557800002</v>
      </c>
      <c r="L102" s="2">
        <f t="shared" si="10"/>
        <v>1.4915045359494545</v>
      </c>
      <c r="N102" s="4" t="str">
        <f t="shared" si="11"/>
        <v/>
      </c>
      <c r="P102" s="4" t="str">
        <f t="shared" si="12"/>
        <v/>
      </c>
      <c r="AA102" s="2">
        <f t="shared" si="8"/>
        <v>-10132324.891605169</v>
      </c>
      <c r="AB102" s="2" t="str">
        <f t="shared" si="13"/>
        <v/>
      </c>
    </row>
    <row r="103" spans="1:28" x14ac:dyDescent="0.2">
      <c r="A103" s="10"/>
      <c r="B103" s="10"/>
      <c r="C103" s="9"/>
      <c r="D103" s="8"/>
      <c r="E103" s="9"/>
      <c r="F103" s="10"/>
      <c r="G103" s="57"/>
      <c r="H103" s="57"/>
      <c r="J103" s="2">
        <f t="shared" si="7"/>
        <v>0</v>
      </c>
      <c r="K103" s="2">
        <f t="shared" si="9"/>
        <v>38912349.557800002</v>
      </c>
      <c r="L103" s="2">
        <f t="shared" si="10"/>
        <v>1.4915045359494545</v>
      </c>
      <c r="N103" s="4" t="str">
        <f t="shared" si="11"/>
        <v/>
      </c>
      <c r="P103" s="4" t="str">
        <f t="shared" si="12"/>
        <v/>
      </c>
      <c r="AA103" s="2">
        <f t="shared" si="8"/>
        <v>-10132324.891605169</v>
      </c>
      <c r="AB103" s="2" t="str">
        <f t="shared" si="13"/>
        <v/>
      </c>
    </row>
    <row r="104" spans="1:28" x14ac:dyDescent="0.2">
      <c r="A104" s="10"/>
      <c r="B104" s="10"/>
      <c r="C104" s="9"/>
      <c r="D104" s="8"/>
      <c r="E104" s="9"/>
      <c r="F104" s="10"/>
      <c r="G104" s="57"/>
      <c r="H104" s="57"/>
      <c r="J104" s="2">
        <f t="shared" si="7"/>
        <v>0</v>
      </c>
      <c r="K104" s="2">
        <f t="shared" si="9"/>
        <v>38912349.557800002</v>
      </c>
      <c r="L104" s="2">
        <f t="shared" si="10"/>
        <v>1.4915045359494545</v>
      </c>
      <c r="N104" s="4" t="str">
        <f t="shared" si="11"/>
        <v/>
      </c>
      <c r="P104" s="4" t="str">
        <f t="shared" si="12"/>
        <v/>
      </c>
      <c r="AA104" s="2">
        <f t="shared" si="8"/>
        <v>-10132324.891605169</v>
      </c>
      <c r="AB104" s="2" t="str">
        <f t="shared" si="13"/>
        <v/>
      </c>
    </row>
    <row r="105" spans="1:28" x14ac:dyDescent="0.2">
      <c r="A105" s="10"/>
      <c r="B105" s="10"/>
      <c r="C105" s="9"/>
      <c r="D105" s="8"/>
      <c r="E105" s="9"/>
      <c r="F105" s="10"/>
      <c r="G105" s="57"/>
      <c r="H105" s="57"/>
      <c r="J105" s="2">
        <f t="shared" si="7"/>
        <v>0</v>
      </c>
      <c r="K105" s="2">
        <f t="shared" si="9"/>
        <v>38912349.557800002</v>
      </c>
      <c r="L105" s="2">
        <f t="shared" si="10"/>
        <v>1.4915045359494545</v>
      </c>
      <c r="N105" s="4" t="str">
        <f t="shared" si="11"/>
        <v/>
      </c>
      <c r="P105" s="4" t="str">
        <f t="shared" si="12"/>
        <v/>
      </c>
      <c r="AA105" s="2">
        <f t="shared" si="8"/>
        <v>-10132324.891605169</v>
      </c>
      <c r="AB105" s="2" t="str">
        <f t="shared" si="13"/>
        <v/>
      </c>
    </row>
    <row r="106" spans="1:28" x14ac:dyDescent="0.2">
      <c r="A106" s="10"/>
      <c r="B106" s="10"/>
      <c r="C106" s="9"/>
      <c r="D106" s="8"/>
      <c r="E106" s="9"/>
      <c r="F106" s="10"/>
      <c r="G106" s="57"/>
      <c r="H106" s="57"/>
      <c r="J106" s="2">
        <f t="shared" si="7"/>
        <v>0</v>
      </c>
      <c r="K106" s="2">
        <f t="shared" si="9"/>
        <v>38912349.557800002</v>
      </c>
      <c r="L106" s="2">
        <f t="shared" si="10"/>
        <v>1.4915045359494545</v>
      </c>
      <c r="N106" s="4" t="str">
        <f t="shared" si="11"/>
        <v/>
      </c>
      <c r="P106" s="4" t="str">
        <f t="shared" si="12"/>
        <v/>
      </c>
      <c r="AA106" s="2">
        <f t="shared" si="8"/>
        <v>-10132324.891605169</v>
      </c>
      <c r="AB106" s="2" t="str">
        <f t="shared" si="13"/>
        <v/>
      </c>
    </row>
    <row r="107" spans="1:28" x14ac:dyDescent="0.2">
      <c r="A107" s="10"/>
      <c r="B107" s="10"/>
      <c r="C107" s="9"/>
      <c r="D107" s="8"/>
      <c r="E107" s="9"/>
      <c r="F107" s="10"/>
      <c r="G107" s="57"/>
      <c r="H107" s="57"/>
      <c r="J107" s="2">
        <f t="shared" si="7"/>
        <v>0</v>
      </c>
      <c r="K107" s="2">
        <f t="shared" si="9"/>
        <v>38912349.557800002</v>
      </c>
      <c r="L107" s="2">
        <f t="shared" si="10"/>
        <v>1.4915045359494545</v>
      </c>
      <c r="N107" s="4" t="str">
        <f t="shared" si="11"/>
        <v/>
      </c>
      <c r="P107" s="4" t="str">
        <f t="shared" si="12"/>
        <v/>
      </c>
      <c r="AA107" s="2">
        <f t="shared" si="8"/>
        <v>-10132324.891605169</v>
      </c>
      <c r="AB107" s="2" t="str">
        <f t="shared" si="13"/>
        <v/>
      </c>
    </row>
    <row r="108" spans="1:28" x14ac:dyDescent="0.2">
      <c r="A108" s="10"/>
      <c r="B108" s="10"/>
      <c r="C108" s="9"/>
      <c r="D108" s="8"/>
      <c r="E108" s="9"/>
      <c r="F108" s="10"/>
      <c r="G108" s="57"/>
      <c r="H108" s="57"/>
      <c r="J108" s="2">
        <f t="shared" si="7"/>
        <v>0</v>
      </c>
      <c r="K108" s="2">
        <f t="shared" si="9"/>
        <v>38912349.557800002</v>
      </c>
      <c r="L108" s="2">
        <f t="shared" si="10"/>
        <v>1.4915045359494545</v>
      </c>
      <c r="N108" s="4" t="str">
        <f t="shared" si="11"/>
        <v/>
      </c>
      <c r="P108" s="4" t="str">
        <f t="shared" si="12"/>
        <v/>
      </c>
      <c r="AA108" s="2">
        <f t="shared" si="8"/>
        <v>-10132324.891605169</v>
      </c>
      <c r="AB108" s="2" t="str">
        <f t="shared" si="13"/>
        <v/>
      </c>
    </row>
    <row r="109" spans="1:28" x14ac:dyDescent="0.2">
      <c r="A109" s="10"/>
      <c r="B109" s="10"/>
      <c r="C109" s="9"/>
      <c r="D109" s="8"/>
      <c r="E109" s="9"/>
      <c r="F109" s="10"/>
      <c r="G109" s="57"/>
      <c r="H109" s="57"/>
      <c r="J109" s="2">
        <f t="shared" si="7"/>
        <v>0</v>
      </c>
      <c r="K109" s="2">
        <f t="shared" si="9"/>
        <v>38912349.557800002</v>
      </c>
      <c r="L109" s="2">
        <f t="shared" si="10"/>
        <v>1.4915045359494545</v>
      </c>
      <c r="N109" s="4" t="str">
        <f t="shared" si="11"/>
        <v/>
      </c>
      <c r="P109" s="4" t="str">
        <f t="shared" si="12"/>
        <v/>
      </c>
      <c r="AA109" s="2">
        <f t="shared" si="8"/>
        <v>-10132324.891605169</v>
      </c>
      <c r="AB109" s="2" t="str">
        <f t="shared" si="13"/>
        <v/>
      </c>
    </row>
    <row r="110" spans="1:28" x14ac:dyDescent="0.2">
      <c r="A110" s="10"/>
      <c r="B110" s="10"/>
      <c r="C110" s="9"/>
      <c r="D110" s="8"/>
      <c r="E110" s="9"/>
      <c r="F110" s="10"/>
      <c r="G110" s="57"/>
      <c r="H110" s="57"/>
      <c r="J110" s="2">
        <f t="shared" si="7"/>
        <v>0</v>
      </c>
      <c r="K110" s="2">
        <f t="shared" si="9"/>
        <v>38912349.557800002</v>
      </c>
      <c r="L110" s="2">
        <f t="shared" si="10"/>
        <v>1.4915045359494545</v>
      </c>
      <c r="N110" s="4" t="str">
        <f t="shared" si="11"/>
        <v/>
      </c>
      <c r="P110" s="4" t="str">
        <f t="shared" si="12"/>
        <v/>
      </c>
      <c r="AA110" s="2">
        <f t="shared" si="8"/>
        <v>-10132324.891605169</v>
      </c>
      <c r="AB110" s="2" t="str">
        <f t="shared" si="13"/>
        <v/>
      </c>
    </row>
    <row r="111" spans="1:28" x14ac:dyDescent="0.2">
      <c r="A111" s="10"/>
      <c r="B111" s="10"/>
      <c r="C111" s="9"/>
      <c r="D111" s="8"/>
      <c r="E111" s="9"/>
      <c r="F111" s="10"/>
      <c r="G111" s="57"/>
      <c r="H111" s="57"/>
      <c r="J111" s="2">
        <f t="shared" si="7"/>
        <v>0</v>
      </c>
      <c r="K111" s="2">
        <f t="shared" si="9"/>
        <v>38912349.557800002</v>
      </c>
      <c r="L111" s="2">
        <f t="shared" si="10"/>
        <v>1.4915045359494545</v>
      </c>
      <c r="N111" s="4" t="str">
        <f t="shared" si="11"/>
        <v/>
      </c>
      <c r="P111" s="4" t="str">
        <f t="shared" si="12"/>
        <v/>
      </c>
      <c r="AA111" s="2">
        <f t="shared" si="8"/>
        <v>-10132324.891605169</v>
      </c>
      <c r="AB111" s="2" t="str">
        <f t="shared" si="13"/>
        <v/>
      </c>
    </row>
    <row r="112" spans="1:28" x14ac:dyDescent="0.2">
      <c r="A112" s="10"/>
      <c r="B112" s="10"/>
      <c r="C112" s="9"/>
      <c r="D112" s="8"/>
      <c r="E112" s="9"/>
      <c r="F112" s="10"/>
      <c r="G112" s="57"/>
      <c r="H112" s="57"/>
      <c r="J112" s="2">
        <f t="shared" si="7"/>
        <v>0</v>
      </c>
      <c r="K112" s="2">
        <f t="shared" si="9"/>
        <v>38912349.557800002</v>
      </c>
      <c r="L112" s="2">
        <f t="shared" si="10"/>
        <v>1.4915045359494545</v>
      </c>
      <c r="N112" s="4" t="str">
        <f t="shared" si="11"/>
        <v/>
      </c>
      <c r="P112" s="4" t="str">
        <f t="shared" si="12"/>
        <v/>
      </c>
      <c r="AA112" s="2">
        <f t="shared" si="8"/>
        <v>-10132324.891605169</v>
      </c>
      <c r="AB112" s="2" t="str">
        <f t="shared" si="13"/>
        <v/>
      </c>
    </row>
    <row r="113" spans="1:28" x14ac:dyDescent="0.2">
      <c r="A113" s="10"/>
      <c r="B113" s="10"/>
      <c r="C113" s="9"/>
      <c r="D113" s="8"/>
      <c r="E113" s="9"/>
      <c r="F113" s="10"/>
      <c r="G113" s="57"/>
      <c r="H113" s="57"/>
      <c r="J113" s="2">
        <f t="shared" si="7"/>
        <v>0</v>
      </c>
      <c r="K113" s="2">
        <f t="shared" si="9"/>
        <v>38912349.557800002</v>
      </c>
      <c r="L113" s="2">
        <f t="shared" si="10"/>
        <v>1.4915045359494545</v>
      </c>
      <c r="N113" s="4" t="str">
        <f t="shared" si="11"/>
        <v/>
      </c>
      <c r="P113" s="4" t="str">
        <f t="shared" si="12"/>
        <v/>
      </c>
      <c r="AA113" s="2">
        <f t="shared" si="8"/>
        <v>-10132324.891605169</v>
      </c>
      <c r="AB113" s="2" t="str">
        <f t="shared" si="13"/>
        <v/>
      </c>
    </row>
    <row r="114" spans="1:28" x14ac:dyDescent="0.2">
      <c r="A114" s="10"/>
      <c r="B114" s="10"/>
      <c r="C114" s="9"/>
      <c r="D114" s="8"/>
      <c r="E114" s="9"/>
      <c r="F114" s="10"/>
      <c r="G114" s="57"/>
      <c r="H114" s="57"/>
      <c r="J114" s="2">
        <f t="shared" si="7"/>
        <v>0</v>
      </c>
      <c r="K114" s="2">
        <f t="shared" si="9"/>
        <v>38912349.557800002</v>
      </c>
      <c r="L114" s="2">
        <f t="shared" si="10"/>
        <v>1.4915045359494545</v>
      </c>
      <c r="N114" s="4" t="str">
        <f t="shared" si="11"/>
        <v/>
      </c>
      <c r="P114" s="4" t="str">
        <f t="shared" si="12"/>
        <v/>
      </c>
      <c r="AA114" s="2">
        <f t="shared" si="8"/>
        <v>-10132324.891605169</v>
      </c>
      <c r="AB114" s="2" t="str">
        <f t="shared" si="13"/>
        <v/>
      </c>
    </row>
    <row r="115" spans="1:28" x14ac:dyDescent="0.2">
      <c r="A115" s="10"/>
      <c r="B115" s="10"/>
      <c r="C115" s="9"/>
      <c r="D115" s="8"/>
      <c r="E115" s="9"/>
      <c r="F115" s="10"/>
      <c r="G115" s="57"/>
      <c r="H115" s="57"/>
      <c r="J115" s="2">
        <f t="shared" si="7"/>
        <v>0</v>
      </c>
      <c r="K115" s="2">
        <f t="shared" si="9"/>
        <v>38912349.557800002</v>
      </c>
      <c r="L115" s="2">
        <f t="shared" si="10"/>
        <v>1.4915045359494545</v>
      </c>
      <c r="N115" s="4" t="str">
        <f t="shared" si="11"/>
        <v/>
      </c>
      <c r="P115" s="4" t="str">
        <f t="shared" si="12"/>
        <v/>
      </c>
      <c r="AA115" s="2">
        <f t="shared" si="8"/>
        <v>-10132324.891605169</v>
      </c>
      <c r="AB115" s="2" t="str">
        <f t="shared" si="13"/>
        <v/>
      </c>
    </row>
    <row r="116" spans="1:28" x14ac:dyDescent="0.2">
      <c r="A116" s="10"/>
      <c r="B116" s="10"/>
      <c r="C116" s="9"/>
      <c r="D116" s="8"/>
      <c r="E116" s="9"/>
      <c r="F116" s="10"/>
      <c r="G116" s="57"/>
      <c r="H116" s="57"/>
      <c r="J116" s="2">
        <f t="shared" si="7"/>
        <v>0</v>
      </c>
      <c r="K116" s="2">
        <f t="shared" si="9"/>
        <v>38912349.557800002</v>
      </c>
      <c r="L116" s="2">
        <f t="shared" si="10"/>
        <v>1.4915045359494545</v>
      </c>
      <c r="N116" s="4" t="str">
        <f t="shared" si="11"/>
        <v/>
      </c>
      <c r="P116" s="4" t="str">
        <f t="shared" si="12"/>
        <v/>
      </c>
      <c r="AA116" s="2">
        <f t="shared" si="8"/>
        <v>-10132324.891605169</v>
      </c>
      <c r="AB116" s="2" t="str">
        <f t="shared" si="13"/>
        <v/>
      </c>
    </row>
    <row r="117" spans="1:28" x14ac:dyDescent="0.2">
      <c r="A117" s="10"/>
      <c r="B117" s="10"/>
      <c r="C117" s="9"/>
      <c r="D117" s="8"/>
      <c r="E117" s="9"/>
      <c r="F117" s="10"/>
      <c r="G117" s="57"/>
      <c r="H117" s="57"/>
      <c r="J117" s="2">
        <f t="shared" si="7"/>
        <v>0</v>
      </c>
      <c r="K117" s="2">
        <f t="shared" si="9"/>
        <v>38912349.557800002</v>
      </c>
      <c r="L117" s="2">
        <f t="shared" si="10"/>
        <v>1.4915045359494545</v>
      </c>
      <c r="N117" s="4" t="str">
        <f t="shared" si="11"/>
        <v/>
      </c>
      <c r="P117" s="4" t="str">
        <f t="shared" si="12"/>
        <v/>
      </c>
      <c r="AA117" s="2">
        <f t="shared" si="8"/>
        <v>-10132324.891605169</v>
      </c>
      <c r="AB117" s="2" t="str">
        <f t="shared" si="13"/>
        <v/>
      </c>
    </row>
    <row r="118" spans="1:28" x14ac:dyDescent="0.2">
      <c r="A118" s="10"/>
      <c r="B118" s="10"/>
      <c r="C118" s="9"/>
      <c r="D118" s="8"/>
      <c r="E118" s="9"/>
      <c r="F118" s="10"/>
      <c r="G118" s="57"/>
      <c r="H118" s="57"/>
      <c r="J118" s="2">
        <f t="shared" si="7"/>
        <v>0</v>
      </c>
      <c r="K118" s="2">
        <f t="shared" si="9"/>
        <v>38912349.557800002</v>
      </c>
      <c r="L118" s="2">
        <f t="shared" si="10"/>
        <v>1.4915045359494545</v>
      </c>
      <c r="N118" s="4" t="str">
        <f t="shared" si="11"/>
        <v/>
      </c>
      <c r="P118" s="4" t="str">
        <f t="shared" si="12"/>
        <v/>
      </c>
      <c r="AA118" s="2">
        <f t="shared" si="8"/>
        <v>-10132324.891605169</v>
      </c>
      <c r="AB118" s="2" t="str">
        <f t="shared" si="13"/>
        <v/>
      </c>
    </row>
    <row r="119" spans="1:28" x14ac:dyDescent="0.2">
      <c r="A119" s="10"/>
      <c r="B119" s="10"/>
      <c r="C119" s="9"/>
      <c r="D119" s="8"/>
      <c r="E119" s="9"/>
      <c r="F119" s="10"/>
      <c r="G119" s="57"/>
      <c r="H119" s="57"/>
      <c r="J119" s="2">
        <f t="shared" si="7"/>
        <v>0</v>
      </c>
      <c r="K119" s="2">
        <f t="shared" si="9"/>
        <v>38912349.557800002</v>
      </c>
      <c r="L119" s="2">
        <f t="shared" si="10"/>
        <v>1.4915045359494545</v>
      </c>
      <c r="N119" s="4" t="str">
        <f t="shared" si="11"/>
        <v/>
      </c>
      <c r="P119" s="4" t="str">
        <f t="shared" si="12"/>
        <v/>
      </c>
      <c r="AA119" s="2">
        <f t="shared" si="8"/>
        <v>-10132324.891605169</v>
      </c>
      <c r="AB119" s="2" t="str">
        <f t="shared" si="13"/>
        <v/>
      </c>
    </row>
    <row r="120" spans="1:28" x14ac:dyDescent="0.2">
      <c r="A120" s="10"/>
      <c r="B120" s="10"/>
      <c r="C120" s="9"/>
      <c r="D120" s="8"/>
      <c r="E120" s="9"/>
      <c r="F120" s="10"/>
      <c r="G120" s="57"/>
      <c r="H120" s="57"/>
      <c r="J120" s="2">
        <f t="shared" si="7"/>
        <v>0</v>
      </c>
      <c r="K120" s="2">
        <f t="shared" si="9"/>
        <v>38912349.557800002</v>
      </c>
      <c r="L120" s="2">
        <f t="shared" si="10"/>
        <v>1.4915045359494545</v>
      </c>
      <c r="N120" s="4" t="str">
        <f t="shared" si="11"/>
        <v/>
      </c>
      <c r="P120" s="4" t="str">
        <f t="shared" si="12"/>
        <v/>
      </c>
      <c r="AA120" s="2">
        <f t="shared" si="8"/>
        <v>-10132324.891605169</v>
      </c>
      <c r="AB120" s="2" t="str">
        <f t="shared" si="13"/>
        <v/>
      </c>
    </row>
    <row r="121" spans="1:28" x14ac:dyDescent="0.2">
      <c r="A121" s="10"/>
      <c r="B121" s="10"/>
      <c r="C121" s="9"/>
      <c r="D121" s="8"/>
      <c r="E121" s="9"/>
      <c r="F121" s="10"/>
      <c r="G121" s="57"/>
      <c r="H121" s="57"/>
      <c r="J121" s="2">
        <f t="shared" si="7"/>
        <v>0</v>
      </c>
      <c r="K121" s="2">
        <f t="shared" si="9"/>
        <v>38912349.557800002</v>
      </c>
      <c r="L121" s="2">
        <f t="shared" si="10"/>
        <v>1.4915045359494545</v>
      </c>
      <c r="N121" s="4" t="str">
        <f t="shared" si="11"/>
        <v/>
      </c>
      <c r="P121" s="4" t="str">
        <f t="shared" si="12"/>
        <v/>
      </c>
      <c r="AA121" s="2">
        <f t="shared" si="8"/>
        <v>-10132324.891605169</v>
      </c>
      <c r="AB121" s="2" t="str">
        <f t="shared" si="13"/>
        <v/>
      </c>
    </row>
    <row r="122" spans="1:28" x14ac:dyDescent="0.2">
      <c r="A122" s="10"/>
      <c r="B122" s="10"/>
      <c r="C122" s="9"/>
      <c r="D122" s="8"/>
      <c r="E122" s="9"/>
      <c r="F122" s="10"/>
      <c r="G122" s="57"/>
      <c r="H122" s="57"/>
      <c r="J122" s="2">
        <f t="shared" si="7"/>
        <v>0</v>
      </c>
      <c r="K122" s="2">
        <f t="shared" si="9"/>
        <v>38912349.557800002</v>
      </c>
      <c r="L122" s="2">
        <f t="shared" si="10"/>
        <v>1.4915045359494545</v>
      </c>
      <c r="N122" s="4" t="str">
        <f t="shared" si="11"/>
        <v/>
      </c>
      <c r="P122" s="4" t="str">
        <f t="shared" si="12"/>
        <v/>
      </c>
      <c r="AA122" s="2">
        <f t="shared" si="8"/>
        <v>-10132324.891605169</v>
      </c>
      <c r="AB122" s="2" t="str">
        <f t="shared" si="13"/>
        <v/>
      </c>
    </row>
    <row r="123" spans="1:28" x14ac:dyDescent="0.2">
      <c r="A123" s="10"/>
      <c r="B123" s="10"/>
      <c r="C123" s="9"/>
      <c r="D123" s="8"/>
      <c r="E123" s="9"/>
      <c r="F123" s="10"/>
      <c r="G123" s="57"/>
      <c r="H123" s="57"/>
      <c r="J123" s="2">
        <f t="shared" si="7"/>
        <v>0</v>
      </c>
      <c r="K123" s="2">
        <f t="shared" si="9"/>
        <v>38912349.557800002</v>
      </c>
      <c r="L123" s="2">
        <f t="shared" si="10"/>
        <v>1.4915045359494545</v>
      </c>
      <c r="N123" s="4" t="str">
        <f t="shared" si="11"/>
        <v/>
      </c>
      <c r="P123" s="4" t="str">
        <f t="shared" si="12"/>
        <v/>
      </c>
      <c r="AA123" s="2">
        <f t="shared" si="8"/>
        <v>-10132324.891605169</v>
      </c>
      <c r="AB123" s="2" t="str">
        <f t="shared" si="13"/>
        <v/>
      </c>
    </row>
    <row r="124" spans="1:28" x14ac:dyDescent="0.2">
      <c r="A124" s="10"/>
      <c r="B124" s="10"/>
      <c r="C124" s="9"/>
      <c r="D124" s="8"/>
      <c r="E124" s="9"/>
      <c r="F124" s="10"/>
      <c r="G124" s="57"/>
      <c r="H124" s="57"/>
      <c r="J124" s="2">
        <f t="shared" si="7"/>
        <v>0</v>
      </c>
      <c r="K124" s="2">
        <f t="shared" si="9"/>
        <v>38912349.557800002</v>
      </c>
      <c r="L124" s="2">
        <f t="shared" si="10"/>
        <v>1.4915045359494545</v>
      </c>
      <c r="N124" s="4" t="str">
        <f t="shared" si="11"/>
        <v/>
      </c>
      <c r="P124" s="4" t="str">
        <f t="shared" si="12"/>
        <v/>
      </c>
      <c r="AA124" s="2">
        <f t="shared" si="8"/>
        <v>-10132324.891605169</v>
      </c>
      <c r="AB124" s="2" t="str">
        <f t="shared" si="13"/>
        <v/>
      </c>
    </row>
    <row r="125" spans="1:28" x14ac:dyDescent="0.2">
      <c r="A125" s="10"/>
      <c r="B125" s="10"/>
      <c r="C125" s="9"/>
      <c r="D125" s="8"/>
      <c r="E125" s="9"/>
      <c r="F125" s="10"/>
      <c r="G125" s="57"/>
      <c r="H125" s="57"/>
      <c r="J125" s="2">
        <f t="shared" si="7"/>
        <v>0</v>
      </c>
      <c r="K125" s="2">
        <f t="shared" si="9"/>
        <v>38912349.557800002</v>
      </c>
      <c r="L125" s="2">
        <f t="shared" si="10"/>
        <v>1.4915045359494545</v>
      </c>
      <c r="N125" s="4" t="str">
        <f t="shared" si="11"/>
        <v/>
      </c>
      <c r="P125" s="4" t="str">
        <f t="shared" si="12"/>
        <v/>
      </c>
      <c r="AA125" s="2">
        <f t="shared" si="8"/>
        <v>-10132324.891605169</v>
      </c>
      <c r="AB125" s="2" t="str">
        <f t="shared" si="13"/>
        <v/>
      </c>
    </row>
    <row r="126" spans="1:28" x14ac:dyDescent="0.2">
      <c r="A126" s="10"/>
      <c r="B126" s="10"/>
      <c r="C126" s="9"/>
      <c r="D126" s="8"/>
      <c r="E126" s="9"/>
      <c r="F126" s="10"/>
      <c r="G126" s="57"/>
      <c r="H126" s="57"/>
      <c r="J126" s="2">
        <f t="shared" si="7"/>
        <v>0</v>
      </c>
      <c r="K126" s="2">
        <f t="shared" si="9"/>
        <v>38912349.557800002</v>
      </c>
      <c r="L126" s="2">
        <f t="shared" si="10"/>
        <v>1.4915045359494545</v>
      </c>
      <c r="N126" s="4" t="str">
        <f t="shared" si="11"/>
        <v/>
      </c>
      <c r="P126" s="4" t="str">
        <f t="shared" si="12"/>
        <v/>
      </c>
      <c r="AA126" s="2">
        <f t="shared" si="8"/>
        <v>-10132324.891605169</v>
      </c>
      <c r="AB126" s="2" t="str">
        <f t="shared" si="13"/>
        <v/>
      </c>
    </row>
    <row r="127" spans="1:28" x14ac:dyDescent="0.2">
      <c r="A127" s="10"/>
      <c r="B127" s="10"/>
      <c r="C127" s="9"/>
      <c r="D127" s="8"/>
      <c r="E127" s="9"/>
      <c r="F127" s="10"/>
      <c r="G127" s="57"/>
      <c r="H127" s="57"/>
      <c r="J127" s="2">
        <f t="shared" si="7"/>
        <v>0</v>
      </c>
      <c r="K127" s="2">
        <f t="shared" si="9"/>
        <v>38912349.557800002</v>
      </c>
      <c r="L127" s="2">
        <f t="shared" si="10"/>
        <v>1.4915045359494545</v>
      </c>
      <c r="N127" s="4" t="str">
        <f t="shared" si="11"/>
        <v/>
      </c>
      <c r="P127" s="4" t="str">
        <f t="shared" si="12"/>
        <v/>
      </c>
      <c r="AA127" s="2">
        <f t="shared" si="8"/>
        <v>-10132324.891605169</v>
      </c>
      <c r="AB127" s="2" t="str">
        <f t="shared" si="13"/>
        <v/>
      </c>
    </row>
    <row r="128" spans="1:28" x14ac:dyDescent="0.2">
      <c r="A128" s="10"/>
      <c r="B128" s="10"/>
      <c r="C128" s="9"/>
      <c r="D128" s="8"/>
      <c r="E128" s="9"/>
      <c r="F128" s="10"/>
      <c r="G128" s="57"/>
      <c r="H128" s="57"/>
      <c r="J128" s="2">
        <f t="shared" si="7"/>
        <v>0</v>
      </c>
      <c r="K128" s="2">
        <f t="shared" si="9"/>
        <v>38912349.557800002</v>
      </c>
      <c r="L128" s="2">
        <f t="shared" si="10"/>
        <v>1.4915045359494545</v>
      </c>
      <c r="N128" s="4" t="str">
        <f t="shared" si="11"/>
        <v/>
      </c>
      <c r="P128" s="4" t="str">
        <f t="shared" si="12"/>
        <v/>
      </c>
      <c r="AA128" s="2">
        <f t="shared" si="8"/>
        <v>-10132324.891605169</v>
      </c>
      <c r="AB128" s="2" t="str">
        <f t="shared" si="13"/>
        <v/>
      </c>
    </row>
    <row r="129" spans="1:28" x14ac:dyDescent="0.2">
      <c r="A129" s="10"/>
      <c r="B129" s="10"/>
      <c r="C129" s="9"/>
      <c r="D129" s="8"/>
      <c r="E129" s="9"/>
      <c r="F129" s="10"/>
      <c r="G129" s="57"/>
      <c r="H129" s="57"/>
      <c r="J129" s="2">
        <f t="shared" si="7"/>
        <v>0</v>
      </c>
      <c r="K129" s="2">
        <f t="shared" si="9"/>
        <v>38912349.557800002</v>
      </c>
      <c r="L129" s="2">
        <f t="shared" si="10"/>
        <v>1.4915045359494545</v>
      </c>
      <c r="N129" s="4" t="str">
        <f t="shared" si="11"/>
        <v/>
      </c>
      <c r="P129" s="4" t="str">
        <f t="shared" si="12"/>
        <v/>
      </c>
      <c r="AA129" s="2">
        <f t="shared" si="8"/>
        <v>-10132324.891605169</v>
      </c>
      <c r="AB129" s="2" t="str">
        <f t="shared" si="13"/>
        <v/>
      </c>
    </row>
    <row r="130" spans="1:28" x14ac:dyDescent="0.2">
      <c r="A130" s="10"/>
      <c r="B130" s="10"/>
      <c r="C130" s="9"/>
      <c r="D130" s="8"/>
      <c r="E130" s="9"/>
      <c r="F130" s="10"/>
      <c r="G130" s="57"/>
      <c r="H130" s="57"/>
      <c r="J130" s="2">
        <f t="shared" si="7"/>
        <v>0</v>
      </c>
      <c r="K130" s="2">
        <f t="shared" si="9"/>
        <v>38912349.557800002</v>
      </c>
      <c r="L130" s="2">
        <f t="shared" si="10"/>
        <v>1.4915045359494545</v>
      </c>
      <c r="N130" s="4" t="str">
        <f t="shared" si="11"/>
        <v/>
      </c>
      <c r="P130" s="4" t="str">
        <f t="shared" si="12"/>
        <v/>
      </c>
      <c r="AA130" s="2">
        <f t="shared" si="8"/>
        <v>-10132324.891605169</v>
      </c>
      <c r="AB130" s="2" t="str">
        <f t="shared" si="13"/>
        <v/>
      </c>
    </row>
    <row r="131" spans="1:28" x14ac:dyDescent="0.2">
      <c r="A131" s="10"/>
      <c r="B131" s="10"/>
      <c r="C131" s="9"/>
      <c r="D131" s="8"/>
      <c r="E131" s="9"/>
      <c r="F131" s="10"/>
      <c r="G131" s="57"/>
      <c r="H131" s="57"/>
      <c r="J131" s="2">
        <f t="shared" si="7"/>
        <v>0</v>
      </c>
      <c r="K131" s="2">
        <f t="shared" si="9"/>
        <v>38912349.557800002</v>
      </c>
      <c r="L131" s="2">
        <f t="shared" si="10"/>
        <v>1.4915045359494545</v>
      </c>
      <c r="N131" s="4" t="str">
        <f t="shared" si="11"/>
        <v/>
      </c>
      <c r="P131" s="4" t="str">
        <f t="shared" si="12"/>
        <v/>
      </c>
      <c r="AA131" s="2">
        <f t="shared" si="8"/>
        <v>-10132324.891605169</v>
      </c>
      <c r="AB131" s="2" t="str">
        <f t="shared" si="13"/>
        <v/>
      </c>
    </row>
    <row r="132" spans="1:28" x14ac:dyDescent="0.2">
      <c r="A132" s="10"/>
      <c r="B132" s="10"/>
      <c r="C132" s="9"/>
      <c r="D132" s="8"/>
      <c r="E132" s="9"/>
      <c r="F132" s="10"/>
      <c r="G132" s="57"/>
      <c r="H132" s="57"/>
      <c r="J132" s="2">
        <f t="shared" ref="J132:J195" si="14">0.5*(LN((1+SIN(RADIANS(hmstohdd(G132))))/(1-SIN(RADIANS(hmstohdd(G132)))))-(LN((1+0.0818191910428153*SIN(RADIANS(hmstohdd(G132))))/(1-0.0818191910428153*SIN(RADIANS(hmstohdd(G132)))))*0.0818191910428153))</f>
        <v>0</v>
      </c>
      <c r="K132" s="2">
        <f t="shared" si="9"/>
        <v>38912349.557800002</v>
      </c>
      <c r="L132" s="2">
        <f t="shared" si="10"/>
        <v>1.4915045359494545</v>
      </c>
      <c r="N132" s="4" t="str">
        <f t="shared" si="11"/>
        <v/>
      </c>
      <c r="P132" s="4" t="str">
        <f t="shared" si="12"/>
        <v/>
      </c>
      <c r="AA132" s="2">
        <f t="shared" ref="AA132:AA195" si="15">(hmstohdd(G132)-45.1687259619)*(111123.3583+(hmstohdd(G132)-45.1687259619)*(9.77067+(hmstohdd(G132)-45.1687259619)*(5.62487+(hmstohdd(G132)-45.1687259619)*(0.024544*(hmstohdd(G132)-45.1687259619)))))</f>
        <v>-10132324.891605169</v>
      </c>
      <c r="AB132" s="2" t="str">
        <f t="shared" si="13"/>
        <v/>
      </c>
    </row>
    <row r="133" spans="1:28" x14ac:dyDescent="0.2">
      <c r="A133" s="10"/>
      <c r="B133" s="10"/>
      <c r="C133" s="9"/>
      <c r="D133" s="8"/>
      <c r="E133" s="9"/>
      <c r="F133" s="10"/>
      <c r="G133" s="57"/>
      <c r="H133" s="57"/>
      <c r="J133" s="2">
        <f t="shared" si="14"/>
        <v>0</v>
      </c>
      <c r="K133" s="2">
        <f t="shared" ref="K133:K196" si="16">38912349.5578/EXP(0.709186016884*J133)</f>
        <v>38912349.557800002</v>
      </c>
      <c r="L133" s="2">
        <f t="shared" ref="L133:L196" si="17">0.709186016884*(2.10312174865317-RADIANS(hmstohdd(H133)))</f>
        <v>1.4915045359494545</v>
      </c>
      <c r="N133" s="4" t="str">
        <f t="shared" ref="N133:N196" si="18">IF(J133&lt;&gt;0,21383283.1243-(K133*COS(L133)),"")</f>
        <v/>
      </c>
      <c r="P133" s="4" t="str">
        <f t="shared" ref="P133:P196" si="19">IF(J133&lt;&gt;0,8202099.7375+(K133*SIN(L133)),"")</f>
        <v/>
      </c>
      <c r="AA133" s="2">
        <f t="shared" si="15"/>
        <v>-10132324.891605169</v>
      </c>
      <c r="AB133" s="2" t="str">
        <f t="shared" ref="AB133:AB196" si="20">IF(H133&lt;&gt;0,0.999894582577+0.0000000000000122939*AA133^2+6.35E-22*AA133^3,"")</f>
        <v/>
      </c>
    </row>
    <row r="134" spans="1:28" x14ac:dyDescent="0.2">
      <c r="A134" s="10"/>
      <c r="B134" s="10"/>
      <c r="C134" s="9"/>
      <c r="D134" s="8"/>
      <c r="E134" s="9"/>
      <c r="F134" s="10"/>
      <c r="G134" s="57"/>
      <c r="H134" s="57"/>
      <c r="J134" s="2">
        <f t="shared" si="14"/>
        <v>0</v>
      </c>
      <c r="K134" s="2">
        <f t="shared" si="16"/>
        <v>38912349.557800002</v>
      </c>
      <c r="L134" s="2">
        <f t="shared" si="17"/>
        <v>1.4915045359494545</v>
      </c>
      <c r="N134" s="4" t="str">
        <f t="shared" si="18"/>
        <v/>
      </c>
      <c r="P134" s="4" t="str">
        <f t="shared" si="19"/>
        <v/>
      </c>
      <c r="AA134" s="2">
        <f t="shared" si="15"/>
        <v>-10132324.891605169</v>
      </c>
      <c r="AB134" s="2" t="str">
        <f t="shared" si="20"/>
        <v/>
      </c>
    </row>
    <row r="135" spans="1:28" x14ac:dyDescent="0.2">
      <c r="A135" s="10"/>
      <c r="B135" s="10"/>
      <c r="C135" s="9"/>
      <c r="D135" s="8"/>
      <c r="E135" s="9"/>
      <c r="F135" s="10"/>
      <c r="G135" s="57"/>
      <c r="H135" s="57"/>
      <c r="J135" s="2">
        <f t="shared" si="14"/>
        <v>0</v>
      </c>
      <c r="K135" s="2">
        <f t="shared" si="16"/>
        <v>38912349.557800002</v>
      </c>
      <c r="L135" s="2">
        <f t="shared" si="17"/>
        <v>1.4915045359494545</v>
      </c>
      <c r="N135" s="4" t="str">
        <f t="shared" si="18"/>
        <v/>
      </c>
      <c r="P135" s="4" t="str">
        <f t="shared" si="19"/>
        <v/>
      </c>
      <c r="AA135" s="2">
        <f t="shared" si="15"/>
        <v>-10132324.891605169</v>
      </c>
      <c r="AB135" s="2" t="str">
        <f t="shared" si="20"/>
        <v/>
      </c>
    </row>
    <row r="136" spans="1:28" x14ac:dyDescent="0.2">
      <c r="A136" s="10"/>
      <c r="B136" s="10"/>
      <c r="C136" s="9"/>
      <c r="D136" s="8"/>
      <c r="E136" s="9"/>
      <c r="F136" s="10"/>
      <c r="G136" s="57"/>
      <c r="H136" s="57"/>
      <c r="J136" s="2">
        <f t="shared" si="14"/>
        <v>0</v>
      </c>
      <c r="K136" s="2">
        <f t="shared" si="16"/>
        <v>38912349.557800002</v>
      </c>
      <c r="L136" s="2">
        <f t="shared" si="17"/>
        <v>1.4915045359494545</v>
      </c>
      <c r="N136" s="4" t="str">
        <f t="shared" si="18"/>
        <v/>
      </c>
      <c r="P136" s="4" t="str">
        <f t="shared" si="19"/>
        <v/>
      </c>
      <c r="AA136" s="2">
        <f t="shared" si="15"/>
        <v>-10132324.891605169</v>
      </c>
      <c r="AB136" s="2" t="str">
        <f t="shared" si="20"/>
        <v/>
      </c>
    </row>
    <row r="137" spans="1:28" x14ac:dyDescent="0.2">
      <c r="A137" s="10"/>
      <c r="B137" s="10"/>
      <c r="C137" s="9"/>
      <c r="D137" s="8"/>
      <c r="E137" s="9"/>
      <c r="F137" s="10"/>
      <c r="G137" s="57"/>
      <c r="H137" s="57"/>
      <c r="J137" s="2">
        <f t="shared" si="14"/>
        <v>0</v>
      </c>
      <c r="K137" s="2">
        <f t="shared" si="16"/>
        <v>38912349.557800002</v>
      </c>
      <c r="L137" s="2">
        <f t="shared" si="17"/>
        <v>1.4915045359494545</v>
      </c>
      <c r="N137" s="4" t="str">
        <f t="shared" si="18"/>
        <v/>
      </c>
      <c r="P137" s="4" t="str">
        <f t="shared" si="19"/>
        <v/>
      </c>
      <c r="AA137" s="2">
        <f t="shared" si="15"/>
        <v>-10132324.891605169</v>
      </c>
      <c r="AB137" s="2" t="str">
        <f t="shared" si="20"/>
        <v/>
      </c>
    </row>
    <row r="138" spans="1:28" x14ac:dyDescent="0.2">
      <c r="A138" s="10"/>
      <c r="B138" s="10"/>
      <c r="C138" s="9"/>
      <c r="D138" s="8"/>
      <c r="E138" s="9"/>
      <c r="F138" s="10"/>
      <c r="G138" s="57"/>
      <c r="H138" s="57"/>
      <c r="J138" s="2">
        <f t="shared" si="14"/>
        <v>0</v>
      </c>
      <c r="K138" s="2">
        <f t="shared" si="16"/>
        <v>38912349.557800002</v>
      </c>
      <c r="L138" s="2">
        <f t="shared" si="17"/>
        <v>1.4915045359494545</v>
      </c>
      <c r="N138" s="4" t="str">
        <f t="shared" si="18"/>
        <v/>
      </c>
      <c r="P138" s="4" t="str">
        <f t="shared" si="19"/>
        <v/>
      </c>
      <c r="AA138" s="2">
        <f t="shared" si="15"/>
        <v>-10132324.891605169</v>
      </c>
      <c r="AB138" s="2" t="str">
        <f t="shared" si="20"/>
        <v/>
      </c>
    </row>
    <row r="139" spans="1:28" x14ac:dyDescent="0.2">
      <c r="A139" s="10"/>
      <c r="B139" s="10"/>
      <c r="C139" s="9"/>
      <c r="D139" s="8"/>
      <c r="E139" s="9"/>
      <c r="F139" s="10"/>
      <c r="G139" s="57"/>
      <c r="H139" s="57"/>
      <c r="J139" s="2">
        <f t="shared" si="14"/>
        <v>0</v>
      </c>
      <c r="K139" s="2">
        <f t="shared" si="16"/>
        <v>38912349.557800002</v>
      </c>
      <c r="L139" s="2">
        <f t="shared" si="17"/>
        <v>1.4915045359494545</v>
      </c>
      <c r="N139" s="4" t="str">
        <f t="shared" si="18"/>
        <v/>
      </c>
      <c r="P139" s="4" t="str">
        <f t="shared" si="19"/>
        <v/>
      </c>
      <c r="AA139" s="2">
        <f t="shared" si="15"/>
        <v>-10132324.891605169</v>
      </c>
      <c r="AB139" s="2" t="str">
        <f t="shared" si="20"/>
        <v/>
      </c>
    </row>
    <row r="140" spans="1:28" x14ac:dyDescent="0.2">
      <c r="A140" s="10"/>
      <c r="B140" s="10"/>
      <c r="C140" s="9"/>
      <c r="D140" s="8"/>
      <c r="E140" s="9"/>
      <c r="F140" s="10"/>
      <c r="G140" s="57"/>
      <c r="H140" s="57"/>
      <c r="J140" s="2">
        <f t="shared" si="14"/>
        <v>0</v>
      </c>
      <c r="K140" s="2">
        <f t="shared" si="16"/>
        <v>38912349.557800002</v>
      </c>
      <c r="L140" s="2">
        <f t="shared" si="17"/>
        <v>1.4915045359494545</v>
      </c>
      <c r="N140" s="4" t="str">
        <f t="shared" si="18"/>
        <v/>
      </c>
      <c r="P140" s="4" t="str">
        <f t="shared" si="19"/>
        <v/>
      </c>
      <c r="AA140" s="2">
        <f t="shared" si="15"/>
        <v>-10132324.891605169</v>
      </c>
      <c r="AB140" s="2" t="str">
        <f t="shared" si="20"/>
        <v/>
      </c>
    </row>
    <row r="141" spans="1:28" x14ac:dyDescent="0.2">
      <c r="A141" s="10"/>
      <c r="B141" s="10"/>
      <c r="C141" s="9"/>
      <c r="D141" s="8"/>
      <c r="E141" s="9"/>
      <c r="F141" s="10"/>
      <c r="G141" s="57"/>
      <c r="H141" s="57"/>
      <c r="J141" s="2">
        <f t="shared" si="14"/>
        <v>0</v>
      </c>
      <c r="K141" s="2">
        <f t="shared" si="16"/>
        <v>38912349.557800002</v>
      </c>
      <c r="L141" s="2">
        <f t="shared" si="17"/>
        <v>1.4915045359494545</v>
      </c>
      <c r="N141" s="4" t="str">
        <f t="shared" si="18"/>
        <v/>
      </c>
      <c r="P141" s="4" t="str">
        <f t="shared" si="19"/>
        <v/>
      </c>
      <c r="AA141" s="2">
        <f t="shared" si="15"/>
        <v>-10132324.891605169</v>
      </c>
      <c r="AB141" s="2" t="str">
        <f t="shared" si="20"/>
        <v/>
      </c>
    </row>
    <row r="142" spans="1:28" x14ac:dyDescent="0.2">
      <c r="A142" s="10"/>
      <c r="B142" s="10"/>
      <c r="C142" s="9"/>
      <c r="D142" s="8"/>
      <c r="E142" s="9"/>
      <c r="F142" s="10"/>
      <c r="G142" s="57"/>
      <c r="H142" s="57"/>
      <c r="J142" s="2">
        <f t="shared" si="14"/>
        <v>0</v>
      </c>
      <c r="K142" s="2">
        <f t="shared" si="16"/>
        <v>38912349.557800002</v>
      </c>
      <c r="L142" s="2">
        <f t="shared" si="17"/>
        <v>1.4915045359494545</v>
      </c>
      <c r="N142" s="4" t="str">
        <f t="shared" si="18"/>
        <v/>
      </c>
      <c r="P142" s="4" t="str">
        <f t="shared" si="19"/>
        <v/>
      </c>
      <c r="AA142" s="2">
        <f t="shared" si="15"/>
        <v>-10132324.891605169</v>
      </c>
      <c r="AB142" s="2" t="str">
        <f t="shared" si="20"/>
        <v/>
      </c>
    </row>
    <row r="143" spans="1:28" x14ac:dyDescent="0.2">
      <c r="A143" s="10"/>
      <c r="B143" s="10"/>
      <c r="C143" s="9"/>
      <c r="D143" s="8"/>
      <c r="E143" s="9"/>
      <c r="F143" s="10"/>
      <c r="G143" s="57"/>
      <c r="H143" s="57"/>
      <c r="J143" s="2">
        <f t="shared" si="14"/>
        <v>0</v>
      </c>
      <c r="K143" s="2">
        <f t="shared" si="16"/>
        <v>38912349.557800002</v>
      </c>
      <c r="L143" s="2">
        <f t="shared" si="17"/>
        <v>1.4915045359494545</v>
      </c>
      <c r="N143" s="4" t="str">
        <f t="shared" si="18"/>
        <v/>
      </c>
      <c r="P143" s="4" t="str">
        <f t="shared" si="19"/>
        <v/>
      </c>
      <c r="AA143" s="2">
        <f t="shared" si="15"/>
        <v>-10132324.891605169</v>
      </c>
      <c r="AB143" s="2" t="str">
        <f t="shared" si="20"/>
        <v/>
      </c>
    </row>
    <row r="144" spans="1:28" x14ac:dyDescent="0.2">
      <c r="A144" s="10"/>
      <c r="B144" s="10"/>
      <c r="C144" s="9"/>
      <c r="D144" s="8"/>
      <c r="E144" s="9"/>
      <c r="F144" s="10"/>
      <c r="G144" s="57"/>
      <c r="H144" s="57"/>
      <c r="J144" s="2">
        <f t="shared" si="14"/>
        <v>0</v>
      </c>
      <c r="K144" s="2">
        <f t="shared" si="16"/>
        <v>38912349.557800002</v>
      </c>
      <c r="L144" s="2">
        <f t="shared" si="17"/>
        <v>1.4915045359494545</v>
      </c>
      <c r="N144" s="4" t="str">
        <f t="shared" si="18"/>
        <v/>
      </c>
      <c r="P144" s="4" t="str">
        <f t="shared" si="19"/>
        <v/>
      </c>
      <c r="AA144" s="2">
        <f t="shared" si="15"/>
        <v>-10132324.891605169</v>
      </c>
      <c r="AB144" s="2" t="str">
        <f t="shared" si="20"/>
        <v/>
      </c>
    </row>
    <row r="145" spans="1:28" x14ac:dyDescent="0.2">
      <c r="A145" s="10"/>
      <c r="B145" s="10"/>
      <c r="C145" s="9"/>
      <c r="D145" s="8"/>
      <c r="E145" s="9"/>
      <c r="F145" s="10"/>
      <c r="G145" s="57"/>
      <c r="H145" s="57"/>
      <c r="J145" s="2">
        <f t="shared" si="14"/>
        <v>0</v>
      </c>
      <c r="K145" s="2">
        <f t="shared" si="16"/>
        <v>38912349.557800002</v>
      </c>
      <c r="L145" s="2">
        <f t="shared" si="17"/>
        <v>1.4915045359494545</v>
      </c>
      <c r="N145" s="4" t="str">
        <f t="shared" si="18"/>
        <v/>
      </c>
      <c r="P145" s="4" t="str">
        <f t="shared" si="19"/>
        <v/>
      </c>
      <c r="AA145" s="2">
        <f t="shared" si="15"/>
        <v>-10132324.891605169</v>
      </c>
      <c r="AB145" s="2" t="str">
        <f t="shared" si="20"/>
        <v/>
      </c>
    </row>
    <row r="146" spans="1:28" x14ac:dyDescent="0.2">
      <c r="A146" s="10"/>
      <c r="B146" s="10"/>
      <c r="C146" s="9"/>
      <c r="D146" s="8"/>
      <c r="E146" s="9"/>
      <c r="F146" s="10"/>
      <c r="G146" s="57"/>
      <c r="H146" s="57"/>
      <c r="J146" s="2">
        <f t="shared" si="14"/>
        <v>0</v>
      </c>
      <c r="K146" s="2">
        <f t="shared" si="16"/>
        <v>38912349.557800002</v>
      </c>
      <c r="L146" s="2">
        <f t="shared" si="17"/>
        <v>1.4915045359494545</v>
      </c>
      <c r="N146" s="4" t="str">
        <f t="shared" si="18"/>
        <v/>
      </c>
      <c r="P146" s="4" t="str">
        <f t="shared" si="19"/>
        <v/>
      </c>
      <c r="AA146" s="2">
        <f t="shared" si="15"/>
        <v>-10132324.891605169</v>
      </c>
      <c r="AB146" s="2" t="str">
        <f t="shared" si="20"/>
        <v/>
      </c>
    </row>
    <row r="147" spans="1:28" x14ac:dyDescent="0.2">
      <c r="A147" s="10"/>
      <c r="B147" s="10"/>
      <c r="C147" s="9"/>
      <c r="D147" s="8"/>
      <c r="E147" s="9"/>
      <c r="F147" s="10"/>
      <c r="G147" s="57"/>
      <c r="H147" s="57"/>
      <c r="J147" s="2">
        <f t="shared" si="14"/>
        <v>0</v>
      </c>
      <c r="K147" s="2">
        <f t="shared" si="16"/>
        <v>38912349.557800002</v>
      </c>
      <c r="L147" s="2">
        <f t="shared" si="17"/>
        <v>1.4915045359494545</v>
      </c>
      <c r="N147" s="4" t="str">
        <f t="shared" si="18"/>
        <v/>
      </c>
      <c r="P147" s="4" t="str">
        <f t="shared" si="19"/>
        <v/>
      </c>
      <c r="AA147" s="2">
        <f t="shared" si="15"/>
        <v>-10132324.891605169</v>
      </c>
      <c r="AB147" s="2" t="str">
        <f t="shared" si="20"/>
        <v/>
      </c>
    </row>
    <row r="148" spans="1:28" x14ac:dyDescent="0.2">
      <c r="A148" s="10"/>
      <c r="B148" s="10"/>
      <c r="C148" s="9"/>
      <c r="D148" s="8"/>
      <c r="E148" s="9"/>
      <c r="F148" s="10"/>
      <c r="G148" s="57"/>
      <c r="H148" s="57"/>
      <c r="J148" s="2">
        <f t="shared" si="14"/>
        <v>0</v>
      </c>
      <c r="K148" s="2">
        <f t="shared" si="16"/>
        <v>38912349.557800002</v>
      </c>
      <c r="L148" s="2">
        <f t="shared" si="17"/>
        <v>1.4915045359494545</v>
      </c>
      <c r="N148" s="4" t="str">
        <f t="shared" si="18"/>
        <v/>
      </c>
      <c r="P148" s="4" t="str">
        <f t="shared" si="19"/>
        <v/>
      </c>
      <c r="AA148" s="2">
        <f t="shared" si="15"/>
        <v>-10132324.891605169</v>
      </c>
      <c r="AB148" s="2" t="str">
        <f t="shared" si="20"/>
        <v/>
      </c>
    </row>
    <row r="149" spans="1:28" x14ac:dyDescent="0.2">
      <c r="A149" s="10"/>
      <c r="B149" s="10"/>
      <c r="C149" s="9"/>
      <c r="D149" s="8"/>
      <c r="E149" s="9"/>
      <c r="F149" s="10"/>
      <c r="G149" s="57"/>
      <c r="H149" s="57"/>
      <c r="J149" s="2">
        <f t="shared" si="14"/>
        <v>0</v>
      </c>
      <c r="K149" s="2">
        <f t="shared" si="16"/>
        <v>38912349.557800002</v>
      </c>
      <c r="L149" s="2">
        <f t="shared" si="17"/>
        <v>1.4915045359494545</v>
      </c>
      <c r="N149" s="4" t="str">
        <f t="shared" si="18"/>
        <v/>
      </c>
      <c r="P149" s="4" t="str">
        <f t="shared" si="19"/>
        <v/>
      </c>
      <c r="AA149" s="2">
        <f t="shared" si="15"/>
        <v>-10132324.891605169</v>
      </c>
      <c r="AB149" s="2" t="str">
        <f t="shared" si="20"/>
        <v/>
      </c>
    </row>
    <row r="150" spans="1:28" x14ac:dyDescent="0.2">
      <c r="A150" s="10"/>
      <c r="B150" s="10"/>
      <c r="C150" s="9"/>
      <c r="D150" s="8"/>
      <c r="E150" s="9"/>
      <c r="F150" s="10"/>
      <c r="G150" s="57"/>
      <c r="H150" s="57"/>
      <c r="J150" s="2">
        <f t="shared" si="14"/>
        <v>0</v>
      </c>
      <c r="K150" s="2">
        <f t="shared" si="16"/>
        <v>38912349.557800002</v>
      </c>
      <c r="L150" s="2">
        <f t="shared" si="17"/>
        <v>1.4915045359494545</v>
      </c>
      <c r="N150" s="4" t="str">
        <f t="shared" si="18"/>
        <v/>
      </c>
      <c r="P150" s="4" t="str">
        <f t="shared" si="19"/>
        <v/>
      </c>
      <c r="AA150" s="2">
        <f t="shared" si="15"/>
        <v>-10132324.891605169</v>
      </c>
      <c r="AB150" s="2" t="str">
        <f t="shared" si="20"/>
        <v/>
      </c>
    </row>
    <row r="151" spans="1:28" x14ac:dyDescent="0.2">
      <c r="A151" s="10"/>
      <c r="B151" s="10"/>
      <c r="C151" s="9"/>
      <c r="D151" s="8"/>
      <c r="E151" s="9"/>
      <c r="F151" s="10"/>
      <c r="G151" s="57"/>
      <c r="H151" s="57"/>
      <c r="J151" s="2">
        <f t="shared" si="14"/>
        <v>0</v>
      </c>
      <c r="K151" s="2">
        <f t="shared" si="16"/>
        <v>38912349.557800002</v>
      </c>
      <c r="L151" s="2">
        <f t="shared" si="17"/>
        <v>1.4915045359494545</v>
      </c>
      <c r="N151" s="4" t="str">
        <f t="shared" si="18"/>
        <v/>
      </c>
      <c r="P151" s="4" t="str">
        <f t="shared" si="19"/>
        <v/>
      </c>
      <c r="AA151" s="2">
        <f t="shared" si="15"/>
        <v>-10132324.891605169</v>
      </c>
      <c r="AB151" s="2" t="str">
        <f t="shared" si="20"/>
        <v/>
      </c>
    </row>
    <row r="152" spans="1:28" x14ac:dyDescent="0.2">
      <c r="A152" s="10"/>
      <c r="B152" s="10"/>
      <c r="C152" s="9"/>
      <c r="D152" s="8"/>
      <c r="E152" s="9"/>
      <c r="F152" s="10"/>
      <c r="G152" s="57"/>
      <c r="H152" s="57"/>
      <c r="J152" s="2">
        <f t="shared" si="14"/>
        <v>0</v>
      </c>
      <c r="K152" s="2">
        <f t="shared" si="16"/>
        <v>38912349.557800002</v>
      </c>
      <c r="L152" s="2">
        <f t="shared" si="17"/>
        <v>1.4915045359494545</v>
      </c>
      <c r="N152" s="4" t="str">
        <f t="shared" si="18"/>
        <v/>
      </c>
      <c r="P152" s="4" t="str">
        <f t="shared" si="19"/>
        <v/>
      </c>
      <c r="AA152" s="2">
        <f t="shared" si="15"/>
        <v>-10132324.891605169</v>
      </c>
      <c r="AB152" s="2" t="str">
        <f t="shared" si="20"/>
        <v/>
      </c>
    </row>
    <row r="153" spans="1:28" x14ac:dyDescent="0.2">
      <c r="A153" s="10"/>
      <c r="B153" s="10"/>
      <c r="C153" s="9"/>
      <c r="D153" s="8"/>
      <c r="E153" s="9"/>
      <c r="F153" s="10"/>
      <c r="G153" s="57"/>
      <c r="H153" s="57"/>
      <c r="J153" s="2">
        <f t="shared" si="14"/>
        <v>0</v>
      </c>
      <c r="K153" s="2">
        <f t="shared" si="16"/>
        <v>38912349.557800002</v>
      </c>
      <c r="L153" s="2">
        <f t="shared" si="17"/>
        <v>1.4915045359494545</v>
      </c>
      <c r="N153" s="4" t="str">
        <f t="shared" si="18"/>
        <v/>
      </c>
      <c r="P153" s="4" t="str">
        <f t="shared" si="19"/>
        <v/>
      </c>
      <c r="AA153" s="2">
        <f t="shared" si="15"/>
        <v>-10132324.891605169</v>
      </c>
      <c r="AB153" s="2" t="str">
        <f t="shared" si="20"/>
        <v/>
      </c>
    </row>
    <row r="154" spans="1:28" x14ac:dyDescent="0.2">
      <c r="A154" s="10"/>
      <c r="B154" s="10"/>
      <c r="C154" s="9"/>
      <c r="D154" s="8"/>
      <c r="E154" s="9"/>
      <c r="F154" s="10"/>
      <c r="G154" s="57"/>
      <c r="H154" s="57"/>
      <c r="J154" s="2">
        <f t="shared" si="14"/>
        <v>0</v>
      </c>
      <c r="K154" s="2">
        <f t="shared" si="16"/>
        <v>38912349.557800002</v>
      </c>
      <c r="L154" s="2">
        <f t="shared" si="17"/>
        <v>1.4915045359494545</v>
      </c>
      <c r="N154" s="4" t="str">
        <f t="shared" si="18"/>
        <v/>
      </c>
      <c r="P154" s="4" t="str">
        <f t="shared" si="19"/>
        <v/>
      </c>
      <c r="AA154" s="2">
        <f t="shared" si="15"/>
        <v>-10132324.891605169</v>
      </c>
      <c r="AB154" s="2" t="str">
        <f t="shared" si="20"/>
        <v/>
      </c>
    </row>
    <row r="155" spans="1:28" x14ac:dyDescent="0.2">
      <c r="A155" s="10"/>
      <c r="B155" s="10"/>
      <c r="C155" s="9"/>
      <c r="D155" s="8"/>
      <c r="E155" s="9"/>
      <c r="F155" s="10"/>
      <c r="G155" s="57"/>
      <c r="H155" s="57"/>
      <c r="J155" s="2">
        <f t="shared" si="14"/>
        <v>0</v>
      </c>
      <c r="K155" s="2">
        <f t="shared" si="16"/>
        <v>38912349.557800002</v>
      </c>
      <c r="L155" s="2">
        <f t="shared" si="17"/>
        <v>1.4915045359494545</v>
      </c>
      <c r="N155" s="4" t="str">
        <f t="shared" si="18"/>
        <v/>
      </c>
      <c r="P155" s="4" t="str">
        <f t="shared" si="19"/>
        <v/>
      </c>
      <c r="AA155" s="2">
        <f t="shared" si="15"/>
        <v>-10132324.891605169</v>
      </c>
      <c r="AB155" s="2" t="str">
        <f t="shared" si="20"/>
        <v/>
      </c>
    </row>
    <row r="156" spans="1:28" x14ac:dyDescent="0.2">
      <c r="A156" s="10"/>
      <c r="B156" s="10"/>
      <c r="C156" s="9"/>
      <c r="D156" s="8"/>
      <c r="E156" s="9"/>
      <c r="F156" s="10"/>
      <c r="G156" s="57"/>
      <c r="H156" s="57"/>
      <c r="J156" s="2">
        <f t="shared" si="14"/>
        <v>0</v>
      </c>
      <c r="K156" s="2">
        <f t="shared" si="16"/>
        <v>38912349.557800002</v>
      </c>
      <c r="L156" s="2">
        <f t="shared" si="17"/>
        <v>1.4915045359494545</v>
      </c>
      <c r="N156" s="4" t="str">
        <f t="shared" si="18"/>
        <v/>
      </c>
      <c r="P156" s="4" t="str">
        <f t="shared" si="19"/>
        <v/>
      </c>
      <c r="AA156" s="2">
        <f t="shared" si="15"/>
        <v>-10132324.891605169</v>
      </c>
      <c r="AB156" s="2" t="str">
        <f t="shared" si="20"/>
        <v/>
      </c>
    </row>
    <row r="157" spans="1:28" x14ac:dyDescent="0.2">
      <c r="A157" s="10"/>
      <c r="B157" s="10"/>
      <c r="C157" s="9"/>
      <c r="D157" s="8"/>
      <c r="E157" s="9"/>
      <c r="F157" s="10"/>
      <c r="G157" s="57"/>
      <c r="H157" s="57"/>
      <c r="J157" s="2">
        <f t="shared" si="14"/>
        <v>0</v>
      </c>
      <c r="K157" s="2">
        <f t="shared" si="16"/>
        <v>38912349.557800002</v>
      </c>
      <c r="L157" s="2">
        <f t="shared" si="17"/>
        <v>1.4915045359494545</v>
      </c>
      <c r="N157" s="4" t="str">
        <f t="shared" si="18"/>
        <v/>
      </c>
      <c r="P157" s="4" t="str">
        <f t="shared" si="19"/>
        <v/>
      </c>
      <c r="AA157" s="2">
        <f t="shared" si="15"/>
        <v>-10132324.891605169</v>
      </c>
      <c r="AB157" s="2" t="str">
        <f t="shared" si="20"/>
        <v/>
      </c>
    </row>
    <row r="158" spans="1:28" x14ac:dyDescent="0.2">
      <c r="A158" s="10"/>
      <c r="B158" s="10"/>
      <c r="C158" s="9"/>
      <c r="D158" s="8"/>
      <c r="E158" s="9"/>
      <c r="F158" s="10"/>
      <c r="G158" s="57"/>
      <c r="H158" s="57"/>
      <c r="J158" s="2">
        <f t="shared" si="14"/>
        <v>0</v>
      </c>
      <c r="K158" s="2">
        <f t="shared" si="16"/>
        <v>38912349.557800002</v>
      </c>
      <c r="L158" s="2">
        <f t="shared" si="17"/>
        <v>1.4915045359494545</v>
      </c>
      <c r="N158" s="4" t="str">
        <f t="shared" si="18"/>
        <v/>
      </c>
      <c r="P158" s="4" t="str">
        <f t="shared" si="19"/>
        <v/>
      </c>
      <c r="AA158" s="2">
        <f t="shared" si="15"/>
        <v>-10132324.891605169</v>
      </c>
      <c r="AB158" s="2" t="str">
        <f t="shared" si="20"/>
        <v/>
      </c>
    </row>
    <row r="159" spans="1:28" x14ac:dyDescent="0.2">
      <c r="A159" s="10"/>
      <c r="B159" s="10"/>
      <c r="C159" s="9"/>
      <c r="D159" s="8"/>
      <c r="E159" s="9"/>
      <c r="F159" s="10"/>
      <c r="G159" s="57"/>
      <c r="H159" s="57"/>
      <c r="J159" s="2">
        <f t="shared" si="14"/>
        <v>0</v>
      </c>
      <c r="K159" s="2">
        <f t="shared" si="16"/>
        <v>38912349.557800002</v>
      </c>
      <c r="L159" s="2">
        <f t="shared" si="17"/>
        <v>1.4915045359494545</v>
      </c>
      <c r="N159" s="4" t="str">
        <f t="shared" si="18"/>
        <v/>
      </c>
      <c r="P159" s="4" t="str">
        <f t="shared" si="19"/>
        <v/>
      </c>
      <c r="AA159" s="2">
        <f t="shared" si="15"/>
        <v>-10132324.891605169</v>
      </c>
      <c r="AB159" s="2" t="str">
        <f t="shared" si="20"/>
        <v/>
      </c>
    </row>
    <row r="160" spans="1:28" x14ac:dyDescent="0.2">
      <c r="A160" s="10"/>
      <c r="B160" s="10"/>
      <c r="C160" s="9"/>
      <c r="D160" s="8"/>
      <c r="E160" s="9"/>
      <c r="F160" s="10"/>
      <c r="G160" s="57"/>
      <c r="H160" s="57"/>
      <c r="J160" s="2">
        <f t="shared" si="14"/>
        <v>0</v>
      </c>
      <c r="K160" s="2">
        <f t="shared" si="16"/>
        <v>38912349.557800002</v>
      </c>
      <c r="L160" s="2">
        <f t="shared" si="17"/>
        <v>1.4915045359494545</v>
      </c>
      <c r="N160" s="4" t="str">
        <f t="shared" si="18"/>
        <v/>
      </c>
      <c r="P160" s="4" t="str">
        <f t="shared" si="19"/>
        <v/>
      </c>
      <c r="AA160" s="2">
        <f t="shared" si="15"/>
        <v>-10132324.891605169</v>
      </c>
      <c r="AB160" s="2" t="str">
        <f t="shared" si="20"/>
        <v/>
      </c>
    </row>
    <row r="161" spans="1:28" x14ac:dyDescent="0.2">
      <c r="A161" s="10"/>
      <c r="B161" s="10"/>
      <c r="C161" s="9"/>
      <c r="D161" s="8"/>
      <c r="E161" s="9"/>
      <c r="F161" s="10"/>
      <c r="G161" s="57"/>
      <c r="H161" s="57"/>
      <c r="J161" s="2">
        <f t="shared" si="14"/>
        <v>0</v>
      </c>
      <c r="K161" s="2">
        <f t="shared" si="16"/>
        <v>38912349.557800002</v>
      </c>
      <c r="L161" s="2">
        <f t="shared" si="17"/>
        <v>1.4915045359494545</v>
      </c>
      <c r="N161" s="4" t="str">
        <f t="shared" si="18"/>
        <v/>
      </c>
      <c r="P161" s="4" t="str">
        <f t="shared" si="19"/>
        <v/>
      </c>
      <c r="AA161" s="2">
        <f t="shared" si="15"/>
        <v>-10132324.891605169</v>
      </c>
      <c r="AB161" s="2" t="str">
        <f t="shared" si="20"/>
        <v/>
      </c>
    </row>
    <row r="162" spans="1:28" x14ac:dyDescent="0.2">
      <c r="A162" s="10"/>
      <c r="B162" s="10"/>
      <c r="C162" s="9"/>
      <c r="D162" s="8"/>
      <c r="E162" s="9"/>
      <c r="F162" s="10"/>
      <c r="G162" s="57"/>
      <c r="H162" s="57"/>
      <c r="J162" s="2">
        <f t="shared" si="14"/>
        <v>0</v>
      </c>
      <c r="K162" s="2">
        <f t="shared" si="16"/>
        <v>38912349.557800002</v>
      </c>
      <c r="L162" s="2">
        <f t="shared" si="17"/>
        <v>1.4915045359494545</v>
      </c>
      <c r="N162" s="4" t="str">
        <f t="shared" si="18"/>
        <v/>
      </c>
      <c r="P162" s="4" t="str">
        <f t="shared" si="19"/>
        <v/>
      </c>
      <c r="AA162" s="2">
        <f t="shared" si="15"/>
        <v>-10132324.891605169</v>
      </c>
      <c r="AB162" s="2" t="str">
        <f t="shared" si="20"/>
        <v/>
      </c>
    </row>
    <row r="163" spans="1:28" x14ac:dyDescent="0.2">
      <c r="A163" s="10"/>
      <c r="B163" s="10"/>
      <c r="C163" s="9"/>
      <c r="D163" s="8"/>
      <c r="E163" s="9"/>
      <c r="F163" s="10"/>
      <c r="G163" s="57"/>
      <c r="H163" s="57"/>
      <c r="J163" s="2">
        <f t="shared" si="14"/>
        <v>0</v>
      </c>
      <c r="K163" s="2">
        <f t="shared" si="16"/>
        <v>38912349.557800002</v>
      </c>
      <c r="L163" s="2">
        <f t="shared" si="17"/>
        <v>1.4915045359494545</v>
      </c>
      <c r="N163" s="4" t="str">
        <f t="shared" si="18"/>
        <v/>
      </c>
      <c r="P163" s="4" t="str">
        <f t="shared" si="19"/>
        <v/>
      </c>
      <c r="AA163" s="2">
        <f t="shared" si="15"/>
        <v>-10132324.891605169</v>
      </c>
      <c r="AB163" s="2" t="str">
        <f t="shared" si="20"/>
        <v/>
      </c>
    </row>
    <row r="164" spans="1:28" x14ac:dyDescent="0.2">
      <c r="A164" s="10"/>
      <c r="B164" s="10"/>
      <c r="C164" s="9"/>
      <c r="D164" s="8"/>
      <c r="E164" s="9"/>
      <c r="F164" s="10"/>
      <c r="G164" s="57"/>
      <c r="H164" s="57"/>
      <c r="J164" s="2">
        <f t="shared" si="14"/>
        <v>0</v>
      </c>
      <c r="K164" s="2">
        <f t="shared" si="16"/>
        <v>38912349.557800002</v>
      </c>
      <c r="L164" s="2">
        <f t="shared" si="17"/>
        <v>1.4915045359494545</v>
      </c>
      <c r="N164" s="4" t="str">
        <f t="shared" si="18"/>
        <v/>
      </c>
      <c r="P164" s="4" t="str">
        <f t="shared" si="19"/>
        <v/>
      </c>
      <c r="AA164" s="2">
        <f t="shared" si="15"/>
        <v>-10132324.891605169</v>
      </c>
      <c r="AB164" s="2" t="str">
        <f t="shared" si="20"/>
        <v/>
      </c>
    </row>
    <row r="165" spans="1:28" x14ac:dyDescent="0.2">
      <c r="A165" s="10"/>
      <c r="B165" s="10"/>
      <c r="C165" s="9"/>
      <c r="D165" s="8"/>
      <c r="E165" s="9"/>
      <c r="F165" s="10"/>
      <c r="G165" s="57"/>
      <c r="H165" s="57"/>
      <c r="J165" s="2">
        <f t="shared" si="14"/>
        <v>0</v>
      </c>
      <c r="K165" s="2">
        <f t="shared" si="16"/>
        <v>38912349.557800002</v>
      </c>
      <c r="L165" s="2">
        <f t="shared" si="17"/>
        <v>1.4915045359494545</v>
      </c>
      <c r="N165" s="4" t="str">
        <f t="shared" si="18"/>
        <v/>
      </c>
      <c r="P165" s="4" t="str">
        <f t="shared" si="19"/>
        <v/>
      </c>
      <c r="AA165" s="2">
        <f t="shared" si="15"/>
        <v>-10132324.891605169</v>
      </c>
      <c r="AB165" s="2" t="str">
        <f t="shared" si="20"/>
        <v/>
      </c>
    </row>
    <row r="166" spans="1:28" x14ac:dyDescent="0.2">
      <c r="A166" s="10"/>
      <c r="B166" s="10"/>
      <c r="C166" s="9"/>
      <c r="D166" s="8"/>
      <c r="E166" s="9"/>
      <c r="F166" s="10"/>
      <c r="G166" s="57"/>
      <c r="H166" s="57"/>
      <c r="J166" s="2">
        <f t="shared" si="14"/>
        <v>0</v>
      </c>
      <c r="K166" s="2">
        <f t="shared" si="16"/>
        <v>38912349.557800002</v>
      </c>
      <c r="L166" s="2">
        <f t="shared" si="17"/>
        <v>1.4915045359494545</v>
      </c>
      <c r="N166" s="4" t="str">
        <f t="shared" si="18"/>
        <v/>
      </c>
      <c r="P166" s="4" t="str">
        <f t="shared" si="19"/>
        <v/>
      </c>
      <c r="AA166" s="2">
        <f t="shared" si="15"/>
        <v>-10132324.891605169</v>
      </c>
      <c r="AB166" s="2" t="str">
        <f t="shared" si="20"/>
        <v/>
      </c>
    </row>
    <row r="167" spans="1:28" x14ac:dyDescent="0.2">
      <c r="A167" s="10"/>
      <c r="B167" s="10"/>
      <c r="C167" s="9"/>
      <c r="D167" s="8"/>
      <c r="E167" s="9"/>
      <c r="F167" s="10"/>
      <c r="G167" s="57"/>
      <c r="H167" s="57"/>
      <c r="J167" s="2">
        <f t="shared" si="14"/>
        <v>0</v>
      </c>
      <c r="K167" s="2">
        <f t="shared" si="16"/>
        <v>38912349.557800002</v>
      </c>
      <c r="L167" s="2">
        <f t="shared" si="17"/>
        <v>1.4915045359494545</v>
      </c>
      <c r="N167" s="4" t="str">
        <f t="shared" si="18"/>
        <v/>
      </c>
      <c r="P167" s="4" t="str">
        <f t="shared" si="19"/>
        <v/>
      </c>
      <c r="AA167" s="2">
        <f t="shared" si="15"/>
        <v>-10132324.891605169</v>
      </c>
      <c r="AB167" s="2" t="str">
        <f t="shared" si="20"/>
        <v/>
      </c>
    </row>
    <row r="168" spans="1:28" x14ac:dyDescent="0.2">
      <c r="A168" s="10"/>
      <c r="B168" s="10"/>
      <c r="C168" s="9"/>
      <c r="D168" s="8"/>
      <c r="E168" s="9"/>
      <c r="F168" s="10"/>
      <c r="G168" s="57"/>
      <c r="H168" s="57"/>
      <c r="J168" s="2">
        <f t="shared" si="14"/>
        <v>0</v>
      </c>
      <c r="K168" s="2">
        <f t="shared" si="16"/>
        <v>38912349.557800002</v>
      </c>
      <c r="L168" s="2">
        <f t="shared" si="17"/>
        <v>1.4915045359494545</v>
      </c>
      <c r="N168" s="4" t="str">
        <f t="shared" si="18"/>
        <v/>
      </c>
      <c r="P168" s="4" t="str">
        <f t="shared" si="19"/>
        <v/>
      </c>
      <c r="AA168" s="2">
        <f t="shared" si="15"/>
        <v>-10132324.891605169</v>
      </c>
      <c r="AB168" s="2" t="str">
        <f t="shared" si="20"/>
        <v/>
      </c>
    </row>
    <row r="169" spans="1:28" x14ac:dyDescent="0.2">
      <c r="A169" s="10"/>
      <c r="B169" s="10"/>
      <c r="C169" s="9"/>
      <c r="D169" s="8"/>
      <c r="E169" s="9"/>
      <c r="F169" s="10"/>
      <c r="G169" s="57"/>
      <c r="H169" s="57"/>
      <c r="J169" s="2">
        <f t="shared" si="14"/>
        <v>0</v>
      </c>
      <c r="K169" s="2">
        <f t="shared" si="16"/>
        <v>38912349.557800002</v>
      </c>
      <c r="L169" s="2">
        <f t="shared" si="17"/>
        <v>1.4915045359494545</v>
      </c>
      <c r="N169" s="4" t="str">
        <f t="shared" si="18"/>
        <v/>
      </c>
      <c r="P169" s="4" t="str">
        <f t="shared" si="19"/>
        <v/>
      </c>
      <c r="AA169" s="2">
        <f t="shared" si="15"/>
        <v>-10132324.891605169</v>
      </c>
      <c r="AB169" s="2" t="str">
        <f t="shared" si="20"/>
        <v/>
      </c>
    </row>
    <row r="170" spans="1:28" x14ac:dyDescent="0.2">
      <c r="A170" s="10"/>
      <c r="B170" s="10"/>
      <c r="C170" s="9"/>
      <c r="D170" s="8"/>
      <c r="E170" s="9"/>
      <c r="F170" s="10"/>
      <c r="G170" s="57"/>
      <c r="H170" s="57"/>
      <c r="J170" s="2">
        <f t="shared" si="14"/>
        <v>0</v>
      </c>
      <c r="K170" s="2">
        <f t="shared" si="16"/>
        <v>38912349.557800002</v>
      </c>
      <c r="L170" s="2">
        <f t="shared" si="17"/>
        <v>1.4915045359494545</v>
      </c>
      <c r="N170" s="4" t="str">
        <f t="shared" si="18"/>
        <v/>
      </c>
      <c r="P170" s="4" t="str">
        <f t="shared" si="19"/>
        <v/>
      </c>
      <c r="AA170" s="2">
        <f t="shared" si="15"/>
        <v>-10132324.891605169</v>
      </c>
      <c r="AB170" s="2" t="str">
        <f t="shared" si="20"/>
        <v/>
      </c>
    </row>
    <row r="171" spans="1:28" x14ac:dyDescent="0.2">
      <c r="A171" s="10"/>
      <c r="B171" s="10"/>
      <c r="C171" s="9"/>
      <c r="D171" s="8"/>
      <c r="E171" s="9"/>
      <c r="F171" s="10"/>
      <c r="G171" s="57"/>
      <c r="H171" s="57"/>
      <c r="J171" s="2">
        <f t="shared" si="14"/>
        <v>0</v>
      </c>
      <c r="K171" s="2">
        <f t="shared" si="16"/>
        <v>38912349.557800002</v>
      </c>
      <c r="L171" s="2">
        <f t="shared" si="17"/>
        <v>1.4915045359494545</v>
      </c>
      <c r="N171" s="4" t="str">
        <f t="shared" si="18"/>
        <v/>
      </c>
      <c r="P171" s="4" t="str">
        <f t="shared" si="19"/>
        <v/>
      </c>
      <c r="AA171" s="2">
        <f t="shared" si="15"/>
        <v>-10132324.891605169</v>
      </c>
      <c r="AB171" s="2" t="str">
        <f t="shared" si="20"/>
        <v/>
      </c>
    </row>
    <row r="172" spans="1:28" x14ac:dyDescent="0.2">
      <c r="A172" s="10"/>
      <c r="B172" s="10"/>
      <c r="C172" s="9"/>
      <c r="D172" s="8"/>
      <c r="E172" s="9"/>
      <c r="F172" s="10"/>
      <c r="G172" s="57"/>
      <c r="H172" s="57"/>
      <c r="J172" s="2">
        <f t="shared" si="14"/>
        <v>0</v>
      </c>
      <c r="K172" s="2">
        <f t="shared" si="16"/>
        <v>38912349.557800002</v>
      </c>
      <c r="L172" s="2">
        <f t="shared" si="17"/>
        <v>1.4915045359494545</v>
      </c>
      <c r="N172" s="4" t="str">
        <f t="shared" si="18"/>
        <v/>
      </c>
      <c r="P172" s="4" t="str">
        <f t="shared" si="19"/>
        <v/>
      </c>
      <c r="AA172" s="2">
        <f t="shared" si="15"/>
        <v>-10132324.891605169</v>
      </c>
      <c r="AB172" s="2" t="str">
        <f t="shared" si="20"/>
        <v/>
      </c>
    </row>
    <row r="173" spans="1:28" x14ac:dyDescent="0.2">
      <c r="A173" s="10"/>
      <c r="B173" s="10"/>
      <c r="C173" s="9"/>
      <c r="D173" s="8"/>
      <c r="E173" s="9"/>
      <c r="F173" s="10"/>
      <c r="G173" s="57"/>
      <c r="H173" s="57"/>
      <c r="J173" s="2">
        <f t="shared" si="14"/>
        <v>0</v>
      </c>
      <c r="K173" s="2">
        <f t="shared" si="16"/>
        <v>38912349.557800002</v>
      </c>
      <c r="L173" s="2">
        <f t="shared" si="17"/>
        <v>1.4915045359494545</v>
      </c>
      <c r="N173" s="4" t="str">
        <f t="shared" si="18"/>
        <v/>
      </c>
      <c r="P173" s="4" t="str">
        <f t="shared" si="19"/>
        <v/>
      </c>
      <c r="AA173" s="2">
        <f t="shared" si="15"/>
        <v>-10132324.891605169</v>
      </c>
      <c r="AB173" s="2" t="str">
        <f t="shared" si="20"/>
        <v/>
      </c>
    </row>
    <row r="174" spans="1:28" x14ac:dyDescent="0.2">
      <c r="A174" s="10"/>
      <c r="B174" s="10"/>
      <c r="C174" s="9"/>
      <c r="D174" s="8"/>
      <c r="E174" s="9"/>
      <c r="F174" s="10"/>
      <c r="G174" s="57"/>
      <c r="H174" s="57"/>
      <c r="J174" s="2">
        <f t="shared" si="14"/>
        <v>0</v>
      </c>
      <c r="K174" s="2">
        <f t="shared" si="16"/>
        <v>38912349.557800002</v>
      </c>
      <c r="L174" s="2">
        <f t="shared" si="17"/>
        <v>1.4915045359494545</v>
      </c>
      <c r="N174" s="4" t="str">
        <f t="shared" si="18"/>
        <v/>
      </c>
      <c r="P174" s="4" t="str">
        <f t="shared" si="19"/>
        <v/>
      </c>
      <c r="AA174" s="2">
        <f t="shared" si="15"/>
        <v>-10132324.891605169</v>
      </c>
      <c r="AB174" s="2" t="str">
        <f t="shared" si="20"/>
        <v/>
      </c>
    </row>
    <row r="175" spans="1:28" x14ac:dyDescent="0.2">
      <c r="A175" s="10"/>
      <c r="B175" s="10"/>
      <c r="C175" s="9"/>
      <c r="D175" s="8"/>
      <c r="E175" s="9"/>
      <c r="F175" s="10"/>
      <c r="G175" s="57"/>
      <c r="H175" s="57"/>
      <c r="J175" s="2">
        <f t="shared" si="14"/>
        <v>0</v>
      </c>
      <c r="K175" s="2">
        <f t="shared" si="16"/>
        <v>38912349.557800002</v>
      </c>
      <c r="L175" s="2">
        <f t="shared" si="17"/>
        <v>1.4915045359494545</v>
      </c>
      <c r="N175" s="4" t="str">
        <f t="shared" si="18"/>
        <v/>
      </c>
      <c r="P175" s="4" t="str">
        <f t="shared" si="19"/>
        <v/>
      </c>
      <c r="AA175" s="2">
        <f t="shared" si="15"/>
        <v>-10132324.891605169</v>
      </c>
      <c r="AB175" s="2" t="str">
        <f t="shared" si="20"/>
        <v/>
      </c>
    </row>
    <row r="176" spans="1:28" x14ac:dyDescent="0.2">
      <c r="A176" s="10"/>
      <c r="B176" s="10"/>
      <c r="C176" s="9"/>
      <c r="D176" s="8"/>
      <c r="E176" s="9"/>
      <c r="F176" s="10"/>
      <c r="G176" s="57"/>
      <c r="H176" s="57"/>
      <c r="J176" s="2">
        <f t="shared" si="14"/>
        <v>0</v>
      </c>
      <c r="K176" s="2">
        <f t="shared" si="16"/>
        <v>38912349.557800002</v>
      </c>
      <c r="L176" s="2">
        <f t="shared" si="17"/>
        <v>1.4915045359494545</v>
      </c>
      <c r="N176" s="4" t="str">
        <f t="shared" si="18"/>
        <v/>
      </c>
      <c r="P176" s="4" t="str">
        <f t="shared" si="19"/>
        <v/>
      </c>
      <c r="AA176" s="2">
        <f t="shared" si="15"/>
        <v>-10132324.891605169</v>
      </c>
      <c r="AB176" s="2" t="str">
        <f t="shared" si="20"/>
        <v/>
      </c>
    </row>
    <row r="177" spans="1:28" x14ac:dyDescent="0.2">
      <c r="A177" s="10"/>
      <c r="B177" s="10"/>
      <c r="C177" s="9"/>
      <c r="D177" s="8"/>
      <c r="E177" s="9"/>
      <c r="F177" s="10"/>
      <c r="G177" s="57"/>
      <c r="H177" s="57"/>
      <c r="J177" s="2">
        <f t="shared" si="14"/>
        <v>0</v>
      </c>
      <c r="K177" s="2">
        <f t="shared" si="16"/>
        <v>38912349.557800002</v>
      </c>
      <c r="L177" s="2">
        <f t="shared" si="17"/>
        <v>1.4915045359494545</v>
      </c>
      <c r="N177" s="4" t="str">
        <f t="shared" si="18"/>
        <v/>
      </c>
      <c r="P177" s="4" t="str">
        <f t="shared" si="19"/>
        <v/>
      </c>
      <c r="AA177" s="2">
        <f t="shared" si="15"/>
        <v>-10132324.891605169</v>
      </c>
      <c r="AB177" s="2" t="str">
        <f t="shared" si="20"/>
        <v/>
      </c>
    </row>
    <row r="178" spans="1:28" x14ac:dyDescent="0.2">
      <c r="A178" s="10"/>
      <c r="B178" s="10"/>
      <c r="C178" s="9"/>
      <c r="D178" s="8"/>
      <c r="E178" s="9"/>
      <c r="F178" s="10"/>
      <c r="G178" s="57"/>
      <c r="H178" s="57"/>
      <c r="J178" s="2">
        <f t="shared" si="14"/>
        <v>0</v>
      </c>
      <c r="K178" s="2">
        <f t="shared" si="16"/>
        <v>38912349.557800002</v>
      </c>
      <c r="L178" s="2">
        <f t="shared" si="17"/>
        <v>1.4915045359494545</v>
      </c>
      <c r="N178" s="4" t="str">
        <f t="shared" si="18"/>
        <v/>
      </c>
      <c r="P178" s="4" t="str">
        <f t="shared" si="19"/>
        <v/>
      </c>
      <c r="AA178" s="2">
        <f t="shared" si="15"/>
        <v>-10132324.891605169</v>
      </c>
      <c r="AB178" s="2" t="str">
        <f t="shared" si="20"/>
        <v/>
      </c>
    </row>
    <row r="179" spans="1:28" x14ac:dyDescent="0.2">
      <c r="A179" s="10"/>
      <c r="B179" s="10"/>
      <c r="C179" s="9"/>
      <c r="D179" s="8"/>
      <c r="E179" s="9"/>
      <c r="F179" s="10"/>
      <c r="G179" s="57"/>
      <c r="H179" s="57"/>
      <c r="J179" s="2">
        <f t="shared" si="14"/>
        <v>0</v>
      </c>
      <c r="K179" s="2">
        <f t="shared" si="16"/>
        <v>38912349.557800002</v>
      </c>
      <c r="L179" s="2">
        <f t="shared" si="17"/>
        <v>1.4915045359494545</v>
      </c>
      <c r="N179" s="4" t="str">
        <f t="shared" si="18"/>
        <v/>
      </c>
      <c r="P179" s="4" t="str">
        <f t="shared" si="19"/>
        <v/>
      </c>
      <c r="AA179" s="2">
        <f t="shared" si="15"/>
        <v>-10132324.891605169</v>
      </c>
      <c r="AB179" s="2" t="str">
        <f t="shared" si="20"/>
        <v/>
      </c>
    </row>
    <row r="180" spans="1:28" x14ac:dyDescent="0.2">
      <c r="A180" s="10"/>
      <c r="B180" s="10"/>
      <c r="C180" s="9"/>
      <c r="D180" s="8"/>
      <c r="E180" s="9"/>
      <c r="F180" s="10"/>
      <c r="G180" s="57"/>
      <c r="H180" s="57"/>
      <c r="J180" s="2">
        <f t="shared" si="14"/>
        <v>0</v>
      </c>
      <c r="K180" s="2">
        <f t="shared" si="16"/>
        <v>38912349.557800002</v>
      </c>
      <c r="L180" s="2">
        <f t="shared" si="17"/>
        <v>1.4915045359494545</v>
      </c>
      <c r="N180" s="4" t="str">
        <f t="shared" si="18"/>
        <v/>
      </c>
      <c r="P180" s="4" t="str">
        <f t="shared" si="19"/>
        <v/>
      </c>
      <c r="AA180" s="2">
        <f t="shared" si="15"/>
        <v>-10132324.891605169</v>
      </c>
      <c r="AB180" s="2" t="str">
        <f t="shared" si="20"/>
        <v/>
      </c>
    </row>
    <row r="181" spans="1:28" x14ac:dyDescent="0.2">
      <c r="A181" s="10"/>
      <c r="B181" s="10"/>
      <c r="C181" s="9"/>
      <c r="D181" s="8"/>
      <c r="E181" s="9"/>
      <c r="F181" s="10"/>
      <c r="G181" s="57"/>
      <c r="H181" s="57"/>
      <c r="J181" s="2">
        <f t="shared" si="14"/>
        <v>0</v>
      </c>
      <c r="K181" s="2">
        <f t="shared" si="16"/>
        <v>38912349.557800002</v>
      </c>
      <c r="L181" s="2">
        <f t="shared" si="17"/>
        <v>1.4915045359494545</v>
      </c>
      <c r="N181" s="4" t="str">
        <f t="shared" si="18"/>
        <v/>
      </c>
      <c r="P181" s="4" t="str">
        <f t="shared" si="19"/>
        <v/>
      </c>
      <c r="AA181" s="2">
        <f t="shared" si="15"/>
        <v>-10132324.891605169</v>
      </c>
      <c r="AB181" s="2" t="str">
        <f t="shared" si="20"/>
        <v/>
      </c>
    </row>
    <row r="182" spans="1:28" x14ac:dyDescent="0.2">
      <c r="A182" s="10"/>
      <c r="B182" s="10"/>
      <c r="C182" s="9"/>
      <c r="D182" s="8"/>
      <c r="E182" s="9"/>
      <c r="F182" s="10"/>
      <c r="G182" s="57"/>
      <c r="H182" s="57"/>
      <c r="J182" s="2">
        <f t="shared" si="14"/>
        <v>0</v>
      </c>
      <c r="K182" s="2">
        <f t="shared" si="16"/>
        <v>38912349.557800002</v>
      </c>
      <c r="L182" s="2">
        <f t="shared" si="17"/>
        <v>1.4915045359494545</v>
      </c>
      <c r="N182" s="4" t="str">
        <f t="shared" si="18"/>
        <v/>
      </c>
      <c r="P182" s="4" t="str">
        <f t="shared" si="19"/>
        <v/>
      </c>
      <c r="AA182" s="2">
        <f t="shared" si="15"/>
        <v>-10132324.891605169</v>
      </c>
      <c r="AB182" s="2" t="str">
        <f t="shared" si="20"/>
        <v/>
      </c>
    </row>
    <row r="183" spans="1:28" x14ac:dyDescent="0.2">
      <c r="A183" s="10"/>
      <c r="B183" s="10"/>
      <c r="C183" s="9"/>
      <c r="D183" s="8"/>
      <c r="E183" s="9"/>
      <c r="F183" s="10"/>
      <c r="G183" s="57"/>
      <c r="H183" s="57"/>
      <c r="J183" s="2">
        <f t="shared" si="14"/>
        <v>0</v>
      </c>
      <c r="K183" s="2">
        <f t="shared" si="16"/>
        <v>38912349.557800002</v>
      </c>
      <c r="L183" s="2">
        <f t="shared" si="17"/>
        <v>1.4915045359494545</v>
      </c>
      <c r="N183" s="4" t="str">
        <f t="shared" si="18"/>
        <v/>
      </c>
      <c r="P183" s="4" t="str">
        <f t="shared" si="19"/>
        <v/>
      </c>
      <c r="AA183" s="2">
        <f t="shared" si="15"/>
        <v>-10132324.891605169</v>
      </c>
      <c r="AB183" s="2" t="str">
        <f t="shared" si="20"/>
        <v/>
      </c>
    </row>
    <row r="184" spans="1:28" x14ac:dyDescent="0.2">
      <c r="A184" s="10"/>
      <c r="B184" s="10"/>
      <c r="C184" s="9"/>
      <c r="D184" s="8"/>
      <c r="E184" s="9"/>
      <c r="F184" s="10"/>
      <c r="G184" s="57"/>
      <c r="H184" s="57"/>
      <c r="J184" s="2">
        <f t="shared" si="14"/>
        <v>0</v>
      </c>
      <c r="K184" s="2">
        <f t="shared" si="16"/>
        <v>38912349.557800002</v>
      </c>
      <c r="L184" s="2">
        <f t="shared" si="17"/>
        <v>1.4915045359494545</v>
      </c>
      <c r="N184" s="4" t="str">
        <f t="shared" si="18"/>
        <v/>
      </c>
      <c r="P184" s="4" t="str">
        <f t="shared" si="19"/>
        <v/>
      </c>
      <c r="AA184" s="2">
        <f t="shared" si="15"/>
        <v>-10132324.891605169</v>
      </c>
      <c r="AB184" s="2" t="str">
        <f t="shared" si="20"/>
        <v/>
      </c>
    </row>
    <row r="185" spans="1:28" x14ac:dyDescent="0.2">
      <c r="A185" s="10"/>
      <c r="B185" s="10"/>
      <c r="C185" s="9"/>
      <c r="D185" s="8"/>
      <c r="E185" s="9"/>
      <c r="F185" s="10"/>
      <c r="G185" s="57"/>
      <c r="H185" s="57"/>
      <c r="J185" s="2">
        <f t="shared" si="14"/>
        <v>0</v>
      </c>
      <c r="K185" s="2">
        <f t="shared" si="16"/>
        <v>38912349.557800002</v>
      </c>
      <c r="L185" s="2">
        <f t="shared" si="17"/>
        <v>1.4915045359494545</v>
      </c>
      <c r="N185" s="4" t="str">
        <f t="shared" si="18"/>
        <v/>
      </c>
      <c r="P185" s="4" t="str">
        <f t="shared" si="19"/>
        <v/>
      </c>
      <c r="AA185" s="2">
        <f t="shared" si="15"/>
        <v>-10132324.891605169</v>
      </c>
      <c r="AB185" s="2" t="str">
        <f t="shared" si="20"/>
        <v/>
      </c>
    </row>
    <row r="186" spans="1:28" x14ac:dyDescent="0.2">
      <c r="A186" s="10"/>
      <c r="B186" s="10"/>
      <c r="C186" s="9"/>
      <c r="D186" s="8"/>
      <c r="E186" s="9"/>
      <c r="F186" s="10"/>
      <c r="G186" s="57"/>
      <c r="H186" s="57"/>
      <c r="J186" s="2">
        <f t="shared" si="14"/>
        <v>0</v>
      </c>
      <c r="K186" s="2">
        <f t="shared" si="16"/>
        <v>38912349.557800002</v>
      </c>
      <c r="L186" s="2">
        <f t="shared" si="17"/>
        <v>1.4915045359494545</v>
      </c>
      <c r="N186" s="4" t="str">
        <f t="shared" si="18"/>
        <v/>
      </c>
      <c r="P186" s="4" t="str">
        <f t="shared" si="19"/>
        <v/>
      </c>
      <c r="AA186" s="2">
        <f t="shared" si="15"/>
        <v>-10132324.891605169</v>
      </c>
      <c r="AB186" s="2" t="str">
        <f t="shared" si="20"/>
        <v/>
      </c>
    </row>
    <row r="187" spans="1:28" x14ac:dyDescent="0.2">
      <c r="A187" s="10"/>
      <c r="B187" s="10"/>
      <c r="C187" s="9"/>
      <c r="D187" s="8"/>
      <c r="E187" s="9"/>
      <c r="F187" s="10"/>
      <c r="G187" s="57"/>
      <c r="H187" s="57"/>
      <c r="J187" s="2">
        <f t="shared" si="14"/>
        <v>0</v>
      </c>
      <c r="K187" s="2">
        <f t="shared" si="16"/>
        <v>38912349.557800002</v>
      </c>
      <c r="L187" s="2">
        <f t="shared" si="17"/>
        <v>1.4915045359494545</v>
      </c>
      <c r="N187" s="4" t="str">
        <f t="shared" si="18"/>
        <v/>
      </c>
      <c r="P187" s="4" t="str">
        <f t="shared" si="19"/>
        <v/>
      </c>
      <c r="AA187" s="2">
        <f t="shared" si="15"/>
        <v>-10132324.891605169</v>
      </c>
      <c r="AB187" s="2" t="str">
        <f t="shared" si="20"/>
        <v/>
      </c>
    </row>
    <row r="188" spans="1:28" x14ac:dyDescent="0.2">
      <c r="A188" s="10"/>
      <c r="B188" s="10"/>
      <c r="C188" s="9"/>
      <c r="D188" s="8"/>
      <c r="E188" s="9"/>
      <c r="F188" s="10"/>
      <c r="G188" s="57"/>
      <c r="H188" s="57"/>
      <c r="J188" s="2">
        <f t="shared" si="14"/>
        <v>0</v>
      </c>
      <c r="K188" s="2">
        <f t="shared" si="16"/>
        <v>38912349.557800002</v>
      </c>
      <c r="L188" s="2">
        <f t="shared" si="17"/>
        <v>1.4915045359494545</v>
      </c>
      <c r="N188" s="4" t="str">
        <f t="shared" si="18"/>
        <v/>
      </c>
      <c r="P188" s="4" t="str">
        <f t="shared" si="19"/>
        <v/>
      </c>
      <c r="AA188" s="2">
        <f t="shared" si="15"/>
        <v>-10132324.891605169</v>
      </c>
      <c r="AB188" s="2" t="str">
        <f t="shared" si="20"/>
        <v/>
      </c>
    </row>
    <row r="189" spans="1:28" x14ac:dyDescent="0.2">
      <c r="A189" s="10"/>
      <c r="B189" s="10"/>
      <c r="C189" s="9"/>
      <c r="D189" s="8"/>
      <c r="E189" s="9"/>
      <c r="F189" s="10"/>
      <c r="G189" s="57"/>
      <c r="H189" s="57"/>
      <c r="J189" s="2">
        <f t="shared" si="14"/>
        <v>0</v>
      </c>
      <c r="K189" s="2">
        <f t="shared" si="16"/>
        <v>38912349.557800002</v>
      </c>
      <c r="L189" s="2">
        <f t="shared" si="17"/>
        <v>1.4915045359494545</v>
      </c>
      <c r="N189" s="4" t="str">
        <f t="shared" si="18"/>
        <v/>
      </c>
      <c r="P189" s="4" t="str">
        <f t="shared" si="19"/>
        <v/>
      </c>
      <c r="AA189" s="2">
        <f t="shared" si="15"/>
        <v>-10132324.891605169</v>
      </c>
      <c r="AB189" s="2" t="str">
        <f t="shared" si="20"/>
        <v/>
      </c>
    </row>
    <row r="190" spans="1:28" x14ac:dyDescent="0.2">
      <c r="A190" s="10"/>
      <c r="B190" s="10"/>
      <c r="C190" s="9"/>
      <c r="D190" s="8"/>
      <c r="E190" s="9"/>
      <c r="F190" s="10"/>
      <c r="G190" s="57"/>
      <c r="H190" s="57"/>
      <c r="J190" s="2">
        <f t="shared" si="14"/>
        <v>0</v>
      </c>
      <c r="K190" s="2">
        <f t="shared" si="16"/>
        <v>38912349.557800002</v>
      </c>
      <c r="L190" s="2">
        <f t="shared" si="17"/>
        <v>1.4915045359494545</v>
      </c>
      <c r="N190" s="4" t="str">
        <f t="shared" si="18"/>
        <v/>
      </c>
      <c r="P190" s="4" t="str">
        <f t="shared" si="19"/>
        <v/>
      </c>
      <c r="AA190" s="2">
        <f t="shared" si="15"/>
        <v>-10132324.891605169</v>
      </c>
      <c r="AB190" s="2" t="str">
        <f t="shared" si="20"/>
        <v/>
      </c>
    </row>
    <row r="191" spans="1:28" x14ac:dyDescent="0.2">
      <c r="A191" s="10"/>
      <c r="B191" s="10"/>
      <c r="C191" s="9"/>
      <c r="D191" s="8"/>
      <c r="E191" s="9"/>
      <c r="F191" s="10"/>
      <c r="G191" s="57"/>
      <c r="H191" s="57"/>
      <c r="J191" s="2">
        <f t="shared" si="14"/>
        <v>0</v>
      </c>
      <c r="K191" s="2">
        <f t="shared" si="16"/>
        <v>38912349.557800002</v>
      </c>
      <c r="L191" s="2">
        <f t="shared" si="17"/>
        <v>1.4915045359494545</v>
      </c>
      <c r="N191" s="4" t="str">
        <f t="shared" si="18"/>
        <v/>
      </c>
      <c r="P191" s="4" t="str">
        <f t="shared" si="19"/>
        <v/>
      </c>
      <c r="AA191" s="2">
        <f t="shared" si="15"/>
        <v>-10132324.891605169</v>
      </c>
      <c r="AB191" s="2" t="str">
        <f t="shared" si="20"/>
        <v/>
      </c>
    </row>
    <row r="192" spans="1:28" x14ac:dyDescent="0.2">
      <c r="A192" s="10"/>
      <c r="B192" s="10"/>
      <c r="C192" s="9"/>
      <c r="D192" s="8"/>
      <c r="E192" s="9"/>
      <c r="F192" s="10"/>
      <c r="G192" s="57"/>
      <c r="H192" s="57"/>
      <c r="J192" s="2">
        <f t="shared" si="14"/>
        <v>0</v>
      </c>
      <c r="K192" s="2">
        <f t="shared" si="16"/>
        <v>38912349.557800002</v>
      </c>
      <c r="L192" s="2">
        <f t="shared" si="17"/>
        <v>1.4915045359494545</v>
      </c>
      <c r="N192" s="4" t="str">
        <f t="shared" si="18"/>
        <v/>
      </c>
      <c r="P192" s="4" t="str">
        <f t="shared" si="19"/>
        <v/>
      </c>
      <c r="AA192" s="2">
        <f t="shared" si="15"/>
        <v>-10132324.891605169</v>
      </c>
      <c r="AB192" s="2" t="str">
        <f t="shared" si="20"/>
        <v/>
      </c>
    </row>
    <row r="193" spans="1:28" x14ac:dyDescent="0.2">
      <c r="A193" s="10"/>
      <c r="B193" s="10"/>
      <c r="C193" s="9"/>
      <c r="D193" s="8"/>
      <c r="E193" s="9"/>
      <c r="F193" s="10"/>
      <c r="G193" s="57"/>
      <c r="H193" s="57"/>
      <c r="J193" s="2">
        <f t="shared" si="14"/>
        <v>0</v>
      </c>
      <c r="K193" s="2">
        <f t="shared" si="16"/>
        <v>38912349.557800002</v>
      </c>
      <c r="L193" s="2">
        <f t="shared" si="17"/>
        <v>1.4915045359494545</v>
      </c>
      <c r="N193" s="4" t="str">
        <f t="shared" si="18"/>
        <v/>
      </c>
      <c r="P193" s="4" t="str">
        <f t="shared" si="19"/>
        <v/>
      </c>
      <c r="AA193" s="2">
        <f t="shared" si="15"/>
        <v>-10132324.891605169</v>
      </c>
      <c r="AB193" s="2" t="str">
        <f t="shared" si="20"/>
        <v/>
      </c>
    </row>
    <row r="194" spans="1:28" x14ac:dyDescent="0.2">
      <c r="A194" s="10"/>
      <c r="B194" s="10"/>
      <c r="C194" s="9"/>
      <c r="D194" s="8"/>
      <c r="E194" s="9"/>
      <c r="F194" s="10"/>
      <c r="G194" s="57"/>
      <c r="H194" s="57"/>
      <c r="J194" s="2">
        <f t="shared" si="14"/>
        <v>0</v>
      </c>
      <c r="K194" s="2">
        <f t="shared" si="16"/>
        <v>38912349.557800002</v>
      </c>
      <c r="L194" s="2">
        <f t="shared" si="17"/>
        <v>1.4915045359494545</v>
      </c>
      <c r="N194" s="4" t="str">
        <f t="shared" si="18"/>
        <v/>
      </c>
      <c r="P194" s="4" t="str">
        <f t="shared" si="19"/>
        <v/>
      </c>
      <c r="AA194" s="2">
        <f t="shared" si="15"/>
        <v>-10132324.891605169</v>
      </c>
      <c r="AB194" s="2" t="str">
        <f t="shared" si="20"/>
        <v/>
      </c>
    </row>
    <row r="195" spans="1:28" x14ac:dyDescent="0.2">
      <c r="A195" s="10"/>
      <c r="B195" s="10"/>
      <c r="C195" s="9"/>
      <c r="D195" s="8"/>
      <c r="E195" s="9"/>
      <c r="F195" s="10"/>
      <c r="G195" s="57"/>
      <c r="H195" s="57"/>
      <c r="J195" s="2">
        <f t="shared" si="14"/>
        <v>0</v>
      </c>
      <c r="K195" s="2">
        <f t="shared" si="16"/>
        <v>38912349.557800002</v>
      </c>
      <c r="L195" s="2">
        <f t="shared" si="17"/>
        <v>1.4915045359494545</v>
      </c>
      <c r="N195" s="4" t="str">
        <f t="shared" si="18"/>
        <v/>
      </c>
      <c r="P195" s="4" t="str">
        <f t="shared" si="19"/>
        <v/>
      </c>
      <c r="AA195" s="2">
        <f t="shared" si="15"/>
        <v>-10132324.891605169</v>
      </c>
      <c r="AB195" s="2" t="str">
        <f t="shared" si="20"/>
        <v/>
      </c>
    </row>
    <row r="196" spans="1:28" x14ac:dyDescent="0.2">
      <c r="A196" s="10"/>
      <c r="B196" s="10"/>
      <c r="C196" s="9"/>
      <c r="D196" s="8"/>
      <c r="E196" s="9"/>
      <c r="F196" s="10"/>
      <c r="G196" s="57"/>
      <c r="H196" s="57"/>
      <c r="J196" s="2">
        <f t="shared" ref="J196:J259" si="21">0.5*(LN((1+SIN(RADIANS(hmstohdd(G196))))/(1-SIN(RADIANS(hmstohdd(G196)))))-(LN((1+0.0818191910428153*SIN(RADIANS(hmstohdd(G196))))/(1-0.0818191910428153*SIN(RADIANS(hmstohdd(G196)))))*0.0818191910428153))</f>
        <v>0</v>
      </c>
      <c r="K196" s="2">
        <f t="shared" si="16"/>
        <v>38912349.557800002</v>
      </c>
      <c r="L196" s="2">
        <f t="shared" si="17"/>
        <v>1.4915045359494545</v>
      </c>
      <c r="N196" s="4" t="str">
        <f t="shared" si="18"/>
        <v/>
      </c>
      <c r="P196" s="4" t="str">
        <f t="shared" si="19"/>
        <v/>
      </c>
      <c r="AA196" s="2">
        <f t="shared" ref="AA196:AA259" si="22">(hmstohdd(G196)-45.1687259619)*(111123.3583+(hmstohdd(G196)-45.1687259619)*(9.77067+(hmstohdd(G196)-45.1687259619)*(5.62487+(hmstohdd(G196)-45.1687259619)*(0.024544*(hmstohdd(G196)-45.1687259619)))))</f>
        <v>-10132324.891605169</v>
      </c>
      <c r="AB196" s="2" t="str">
        <f t="shared" si="20"/>
        <v/>
      </c>
    </row>
    <row r="197" spans="1:28" x14ac:dyDescent="0.2">
      <c r="A197" s="10"/>
      <c r="B197" s="10"/>
      <c r="C197" s="9"/>
      <c r="D197" s="8"/>
      <c r="E197" s="9"/>
      <c r="F197" s="10"/>
      <c r="G197" s="57"/>
      <c r="H197" s="57"/>
      <c r="J197" s="2">
        <f t="shared" si="21"/>
        <v>0</v>
      </c>
      <c r="K197" s="2">
        <f t="shared" ref="K197:K260" si="23">38912349.5578/EXP(0.709186016884*J197)</f>
        <v>38912349.557800002</v>
      </c>
      <c r="L197" s="2">
        <f t="shared" ref="L197:L260" si="24">0.709186016884*(2.10312174865317-RADIANS(hmstohdd(H197)))</f>
        <v>1.4915045359494545</v>
      </c>
      <c r="N197" s="4" t="str">
        <f t="shared" ref="N197:N260" si="25">IF(J197&lt;&gt;0,21383283.1243-(K197*COS(L197)),"")</f>
        <v/>
      </c>
      <c r="P197" s="4" t="str">
        <f t="shared" ref="P197:P260" si="26">IF(J197&lt;&gt;0,8202099.7375+(K197*SIN(L197)),"")</f>
        <v/>
      </c>
      <c r="AA197" s="2">
        <f t="shared" si="22"/>
        <v>-10132324.891605169</v>
      </c>
      <c r="AB197" s="2" t="str">
        <f t="shared" ref="AB197:AB260" si="27">IF(H197&lt;&gt;0,0.999894582577+0.0000000000000122939*AA197^2+6.35E-22*AA197^3,"")</f>
        <v/>
      </c>
    </row>
    <row r="198" spans="1:28" x14ac:dyDescent="0.2">
      <c r="A198" s="10"/>
      <c r="B198" s="10"/>
      <c r="C198" s="9"/>
      <c r="D198" s="8"/>
      <c r="E198" s="9"/>
      <c r="F198" s="10"/>
      <c r="G198" s="57"/>
      <c r="H198" s="57"/>
      <c r="J198" s="2">
        <f t="shared" si="21"/>
        <v>0</v>
      </c>
      <c r="K198" s="2">
        <f t="shared" si="23"/>
        <v>38912349.557800002</v>
      </c>
      <c r="L198" s="2">
        <f t="shared" si="24"/>
        <v>1.4915045359494545</v>
      </c>
      <c r="N198" s="4" t="str">
        <f t="shared" si="25"/>
        <v/>
      </c>
      <c r="P198" s="4" t="str">
        <f t="shared" si="26"/>
        <v/>
      </c>
      <c r="AA198" s="2">
        <f t="shared" si="22"/>
        <v>-10132324.891605169</v>
      </c>
      <c r="AB198" s="2" t="str">
        <f t="shared" si="27"/>
        <v/>
      </c>
    </row>
    <row r="199" spans="1:28" x14ac:dyDescent="0.2">
      <c r="A199" s="10"/>
      <c r="B199" s="10"/>
      <c r="C199" s="9"/>
      <c r="D199" s="8"/>
      <c r="E199" s="9"/>
      <c r="F199" s="10"/>
      <c r="G199" s="57"/>
      <c r="H199" s="57"/>
      <c r="J199" s="2">
        <f t="shared" si="21"/>
        <v>0</v>
      </c>
      <c r="K199" s="2">
        <f t="shared" si="23"/>
        <v>38912349.557800002</v>
      </c>
      <c r="L199" s="2">
        <f t="shared" si="24"/>
        <v>1.4915045359494545</v>
      </c>
      <c r="N199" s="4" t="str">
        <f t="shared" si="25"/>
        <v/>
      </c>
      <c r="P199" s="4" t="str">
        <f t="shared" si="26"/>
        <v/>
      </c>
      <c r="AA199" s="2">
        <f t="shared" si="22"/>
        <v>-10132324.891605169</v>
      </c>
      <c r="AB199" s="2" t="str">
        <f t="shared" si="27"/>
        <v/>
      </c>
    </row>
    <row r="200" spans="1:28" x14ac:dyDescent="0.2">
      <c r="A200" s="10"/>
      <c r="B200" s="10"/>
      <c r="C200" s="9"/>
      <c r="D200" s="8"/>
      <c r="E200" s="9"/>
      <c r="F200" s="10"/>
      <c r="G200" s="57"/>
      <c r="H200" s="57"/>
      <c r="J200" s="2">
        <f t="shared" si="21"/>
        <v>0</v>
      </c>
      <c r="K200" s="2">
        <f t="shared" si="23"/>
        <v>38912349.557800002</v>
      </c>
      <c r="L200" s="2">
        <f t="shared" si="24"/>
        <v>1.4915045359494545</v>
      </c>
      <c r="N200" s="4" t="str">
        <f t="shared" si="25"/>
        <v/>
      </c>
      <c r="P200" s="4" t="str">
        <f t="shared" si="26"/>
        <v/>
      </c>
      <c r="AA200" s="2">
        <f t="shared" si="22"/>
        <v>-10132324.891605169</v>
      </c>
      <c r="AB200" s="2" t="str">
        <f t="shared" si="27"/>
        <v/>
      </c>
    </row>
    <row r="201" spans="1:28" x14ac:dyDescent="0.2">
      <c r="A201" s="10"/>
      <c r="B201" s="10"/>
      <c r="C201" s="9"/>
      <c r="D201" s="8"/>
      <c r="E201" s="9"/>
      <c r="F201" s="10"/>
      <c r="G201" s="57"/>
      <c r="H201" s="57"/>
      <c r="J201" s="2">
        <f t="shared" si="21"/>
        <v>0</v>
      </c>
      <c r="K201" s="2">
        <f t="shared" si="23"/>
        <v>38912349.557800002</v>
      </c>
      <c r="L201" s="2">
        <f t="shared" si="24"/>
        <v>1.4915045359494545</v>
      </c>
      <c r="N201" s="4" t="str">
        <f t="shared" si="25"/>
        <v/>
      </c>
      <c r="P201" s="4" t="str">
        <f t="shared" si="26"/>
        <v/>
      </c>
      <c r="AA201" s="2">
        <f t="shared" si="22"/>
        <v>-10132324.891605169</v>
      </c>
      <c r="AB201" s="2" t="str">
        <f t="shared" si="27"/>
        <v/>
      </c>
    </row>
    <row r="202" spans="1:28" x14ac:dyDescent="0.2">
      <c r="A202" s="10"/>
      <c r="B202" s="10"/>
      <c r="C202" s="9"/>
      <c r="D202" s="8"/>
      <c r="E202" s="9"/>
      <c r="F202" s="10"/>
      <c r="G202" s="57"/>
      <c r="H202" s="57"/>
      <c r="J202" s="2">
        <f t="shared" si="21"/>
        <v>0</v>
      </c>
      <c r="K202" s="2">
        <f t="shared" si="23"/>
        <v>38912349.557800002</v>
      </c>
      <c r="L202" s="2">
        <f t="shared" si="24"/>
        <v>1.4915045359494545</v>
      </c>
      <c r="N202" s="4" t="str">
        <f t="shared" si="25"/>
        <v/>
      </c>
      <c r="P202" s="4" t="str">
        <f t="shared" si="26"/>
        <v/>
      </c>
      <c r="AA202" s="2">
        <f t="shared" si="22"/>
        <v>-10132324.891605169</v>
      </c>
      <c r="AB202" s="2" t="str">
        <f t="shared" si="27"/>
        <v/>
      </c>
    </row>
    <row r="203" spans="1:28" x14ac:dyDescent="0.2">
      <c r="A203" s="10"/>
      <c r="B203" s="10"/>
      <c r="C203" s="9"/>
      <c r="D203" s="8"/>
      <c r="E203" s="9"/>
      <c r="F203" s="10"/>
      <c r="G203" s="57"/>
      <c r="H203" s="57"/>
      <c r="J203" s="2">
        <f t="shared" si="21"/>
        <v>0</v>
      </c>
      <c r="K203" s="2">
        <f t="shared" si="23"/>
        <v>38912349.557800002</v>
      </c>
      <c r="L203" s="2">
        <f t="shared" si="24"/>
        <v>1.4915045359494545</v>
      </c>
      <c r="N203" s="4" t="str">
        <f t="shared" si="25"/>
        <v/>
      </c>
      <c r="P203" s="4" t="str">
        <f t="shared" si="26"/>
        <v/>
      </c>
      <c r="AA203" s="2">
        <f t="shared" si="22"/>
        <v>-10132324.891605169</v>
      </c>
      <c r="AB203" s="2" t="str">
        <f t="shared" si="27"/>
        <v/>
      </c>
    </row>
    <row r="204" spans="1:28" x14ac:dyDescent="0.2">
      <c r="A204" s="10"/>
      <c r="B204" s="10"/>
      <c r="C204" s="9"/>
      <c r="D204" s="8"/>
      <c r="E204" s="9"/>
      <c r="F204" s="10"/>
      <c r="G204" s="57"/>
      <c r="H204" s="57"/>
      <c r="J204" s="2">
        <f t="shared" si="21"/>
        <v>0</v>
      </c>
      <c r="K204" s="2">
        <f t="shared" si="23"/>
        <v>38912349.557800002</v>
      </c>
      <c r="L204" s="2">
        <f t="shared" si="24"/>
        <v>1.4915045359494545</v>
      </c>
      <c r="N204" s="4" t="str">
        <f t="shared" si="25"/>
        <v/>
      </c>
      <c r="P204" s="4" t="str">
        <f t="shared" si="26"/>
        <v/>
      </c>
      <c r="AA204" s="2">
        <f t="shared" si="22"/>
        <v>-10132324.891605169</v>
      </c>
      <c r="AB204" s="2" t="str">
        <f t="shared" si="27"/>
        <v/>
      </c>
    </row>
    <row r="205" spans="1:28" x14ac:dyDescent="0.2">
      <c r="A205" s="10"/>
      <c r="B205" s="10"/>
      <c r="C205" s="9"/>
      <c r="D205" s="8"/>
      <c r="E205" s="9"/>
      <c r="F205" s="10"/>
      <c r="G205" s="57"/>
      <c r="H205" s="57"/>
      <c r="J205" s="2">
        <f t="shared" si="21"/>
        <v>0</v>
      </c>
      <c r="K205" s="2">
        <f t="shared" si="23"/>
        <v>38912349.557800002</v>
      </c>
      <c r="L205" s="2">
        <f t="shared" si="24"/>
        <v>1.4915045359494545</v>
      </c>
      <c r="N205" s="4" t="str">
        <f t="shared" si="25"/>
        <v/>
      </c>
      <c r="P205" s="4" t="str">
        <f t="shared" si="26"/>
        <v/>
      </c>
      <c r="AA205" s="2">
        <f t="shared" si="22"/>
        <v>-10132324.891605169</v>
      </c>
      <c r="AB205" s="2" t="str">
        <f t="shared" si="27"/>
        <v/>
      </c>
    </row>
    <row r="206" spans="1:28" x14ac:dyDescent="0.2">
      <c r="A206" s="10"/>
      <c r="B206" s="10"/>
      <c r="C206" s="9"/>
      <c r="D206" s="8"/>
      <c r="E206" s="9"/>
      <c r="F206" s="10"/>
      <c r="G206" s="57"/>
      <c r="H206" s="57"/>
      <c r="J206" s="2">
        <f t="shared" si="21"/>
        <v>0</v>
      </c>
      <c r="K206" s="2">
        <f t="shared" si="23"/>
        <v>38912349.557800002</v>
      </c>
      <c r="L206" s="2">
        <f t="shared" si="24"/>
        <v>1.4915045359494545</v>
      </c>
      <c r="N206" s="4" t="str">
        <f t="shared" si="25"/>
        <v/>
      </c>
      <c r="P206" s="4" t="str">
        <f t="shared" si="26"/>
        <v/>
      </c>
      <c r="AA206" s="2">
        <f t="shared" si="22"/>
        <v>-10132324.891605169</v>
      </c>
      <c r="AB206" s="2" t="str">
        <f t="shared" si="27"/>
        <v/>
      </c>
    </row>
    <row r="207" spans="1:28" x14ac:dyDescent="0.2">
      <c r="A207" s="10"/>
      <c r="B207" s="10"/>
      <c r="C207" s="9"/>
      <c r="D207" s="8"/>
      <c r="E207" s="9"/>
      <c r="F207" s="10"/>
      <c r="G207" s="57"/>
      <c r="H207" s="57"/>
      <c r="J207" s="2">
        <f t="shared" si="21"/>
        <v>0</v>
      </c>
      <c r="K207" s="2">
        <f t="shared" si="23"/>
        <v>38912349.557800002</v>
      </c>
      <c r="L207" s="2">
        <f t="shared" si="24"/>
        <v>1.4915045359494545</v>
      </c>
      <c r="N207" s="4" t="str">
        <f t="shared" si="25"/>
        <v/>
      </c>
      <c r="P207" s="4" t="str">
        <f t="shared" si="26"/>
        <v/>
      </c>
      <c r="AA207" s="2">
        <f t="shared" si="22"/>
        <v>-10132324.891605169</v>
      </c>
      <c r="AB207" s="2" t="str">
        <f t="shared" si="27"/>
        <v/>
      </c>
    </row>
    <row r="208" spans="1:28" x14ac:dyDescent="0.2">
      <c r="A208" s="10"/>
      <c r="B208" s="10"/>
      <c r="C208" s="9"/>
      <c r="D208" s="8"/>
      <c r="E208" s="9"/>
      <c r="F208" s="10"/>
      <c r="G208" s="57"/>
      <c r="H208" s="57"/>
      <c r="J208" s="2">
        <f t="shared" si="21"/>
        <v>0</v>
      </c>
      <c r="K208" s="2">
        <f t="shared" si="23"/>
        <v>38912349.557800002</v>
      </c>
      <c r="L208" s="2">
        <f t="shared" si="24"/>
        <v>1.4915045359494545</v>
      </c>
      <c r="N208" s="4" t="str">
        <f t="shared" si="25"/>
        <v/>
      </c>
      <c r="P208" s="4" t="str">
        <f t="shared" si="26"/>
        <v/>
      </c>
      <c r="AA208" s="2">
        <f t="shared" si="22"/>
        <v>-10132324.891605169</v>
      </c>
      <c r="AB208" s="2" t="str">
        <f t="shared" si="27"/>
        <v/>
      </c>
    </row>
    <row r="209" spans="1:28" x14ac:dyDescent="0.2">
      <c r="A209" s="10"/>
      <c r="B209" s="10"/>
      <c r="C209" s="9"/>
      <c r="D209" s="8"/>
      <c r="E209" s="9"/>
      <c r="F209" s="10"/>
      <c r="G209" s="57"/>
      <c r="H209" s="57"/>
      <c r="J209" s="2">
        <f t="shared" si="21"/>
        <v>0</v>
      </c>
      <c r="K209" s="2">
        <f t="shared" si="23"/>
        <v>38912349.557800002</v>
      </c>
      <c r="L209" s="2">
        <f t="shared" si="24"/>
        <v>1.4915045359494545</v>
      </c>
      <c r="N209" s="4" t="str">
        <f t="shared" si="25"/>
        <v/>
      </c>
      <c r="P209" s="4" t="str">
        <f t="shared" si="26"/>
        <v/>
      </c>
      <c r="AA209" s="2">
        <f t="shared" si="22"/>
        <v>-10132324.891605169</v>
      </c>
      <c r="AB209" s="2" t="str">
        <f t="shared" si="27"/>
        <v/>
      </c>
    </row>
    <row r="210" spans="1:28" x14ac:dyDescent="0.2">
      <c r="A210" s="10"/>
      <c r="B210" s="10"/>
      <c r="C210" s="9"/>
      <c r="D210" s="8"/>
      <c r="E210" s="9"/>
      <c r="F210" s="10"/>
      <c r="G210" s="57"/>
      <c r="H210" s="57"/>
      <c r="J210" s="2">
        <f t="shared" si="21"/>
        <v>0</v>
      </c>
      <c r="K210" s="2">
        <f t="shared" si="23"/>
        <v>38912349.557800002</v>
      </c>
      <c r="L210" s="2">
        <f t="shared" si="24"/>
        <v>1.4915045359494545</v>
      </c>
      <c r="N210" s="4" t="str">
        <f t="shared" si="25"/>
        <v/>
      </c>
      <c r="P210" s="4" t="str">
        <f t="shared" si="26"/>
        <v/>
      </c>
      <c r="AA210" s="2">
        <f t="shared" si="22"/>
        <v>-10132324.891605169</v>
      </c>
      <c r="AB210" s="2" t="str">
        <f t="shared" si="27"/>
        <v/>
      </c>
    </row>
    <row r="211" spans="1:28" x14ac:dyDescent="0.2">
      <c r="A211" s="10"/>
      <c r="B211" s="10"/>
      <c r="C211" s="9"/>
      <c r="D211" s="8"/>
      <c r="E211" s="9"/>
      <c r="F211" s="10"/>
      <c r="G211" s="57"/>
      <c r="H211" s="57"/>
      <c r="J211" s="2">
        <f t="shared" si="21"/>
        <v>0</v>
      </c>
      <c r="K211" s="2">
        <f t="shared" si="23"/>
        <v>38912349.557800002</v>
      </c>
      <c r="L211" s="2">
        <f t="shared" si="24"/>
        <v>1.4915045359494545</v>
      </c>
      <c r="N211" s="4" t="str">
        <f t="shared" si="25"/>
        <v/>
      </c>
      <c r="P211" s="4" t="str">
        <f t="shared" si="26"/>
        <v/>
      </c>
      <c r="AA211" s="2">
        <f t="shared" si="22"/>
        <v>-10132324.891605169</v>
      </c>
      <c r="AB211" s="2" t="str">
        <f t="shared" si="27"/>
        <v/>
      </c>
    </row>
    <row r="212" spans="1:28" x14ac:dyDescent="0.2">
      <c r="A212" s="10"/>
      <c r="B212" s="10"/>
      <c r="C212" s="9"/>
      <c r="D212" s="8"/>
      <c r="E212" s="9"/>
      <c r="F212" s="10"/>
      <c r="G212" s="57"/>
      <c r="H212" s="57"/>
      <c r="J212" s="2">
        <f t="shared" si="21"/>
        <v>0</v>
      </c>
      <c r="K212" s="2">
        <f t="shared" si="23"/>
        <v>38912349.557800002</v>
      </c>
      <c r="L212" s="2">
        <f t="shared" si="24"/>
        <v>1.4915045359494545</v>
      </c>
      <c r="N212" s="4" t="str">
        <f t="shared" si="25"/>
        <v/>
      </c>
      <c r="P212" s="4" t="str">
        <f t="shared" si="26"/>
        <v/>
      </c>
      <c r="AA212" s="2">
        <f t="shared" si="22"/>
        <v>-10132324.891605169</v>
      </c>
      <c r="AB212" s="2" t="str">
        <f t="shared" si="27"/>
        <v/>
      </c>
    </row>
    <row r="213" spans="1:28" x14ac:dyDescent="0.2">
      <c r="A213" s="10"/>
      <c r="B213" s="10"/>
      <c r="C213" s="9"/>
      <c r="D213" s="8"/>
      <c r="E213" s="9"/>
      <c r="F213" s="10"/>
      <c r="G213" s="57"/>
      <c r="H213" s="57"/>
      <c r="J213" s="2">
        <f t="shared" si="21"/>
        <v>0</v>
      </c>
      <c r="K213" s="2">
        <f t="shared" si="23"/>
        <v>38912349.557800002</v>
      </c>
      <c r="L213" s="2">
        <f t="shared" si="24"/>
        <v>1.4915045359494545</v>
      </c>
      <c r="N213" s="4" t="str">
        <f t="shared" si="25"/>
        <v/>
      </c>
      <c r="P213" s="4" t="str">
        <f t="shared" si="26"/>
        <v/>
      </c>
      <c r="AA213" s="2">
        <f t="shared" si="22"/>
        <v>-10132324.891605169</v>
      </c>
      <c r="AB213" s="2" t="str">
        <f t="shared" si="27"/>
        <v/>
      </c>
    </row>
    <row r="214" spans="1:28" x14ac:dyDescent="0.2">
      <c r="A214" s="10"/>
      <c r="B214" s="10"/>
      <c r="C214" s="9"/>
      <c r="D214" s="8"/>
      <c r="E214" s="9"/>
      <c r="F214" s="10"/>
      <c r="G214" s="57"/>
      <c r="H214" s="57"/>
      <c r="J214" s="2">
        <f t="shared" si="21"/>
        <v>0</v>
      </c>
      <c r="K214" s="2">
        <f t="shared" si="23"/>
        <v>38912349.557800002</v>
      </c>
      <c r="L214" s="2">
        <f t="shared" si="24"/>
        <v>1.4915045359494545</v>
      </c>
      <c r="N214" s="4" t="str">
        <f t="shared" si="25"/>
        <v/>
      </c>
      <c r="P214" s="4" t="str">
        <f t="shared" si="26"/>
        <v/>
      </c>
      <c r="AA214" s="2">
        <f t="shared" si="22"/>
        <v>-10132324.891605169</v>
      </c>
      <c r="AB214" s="2" t="str">
        <f t="shared" si="27"/>
        <v/>
      </c>
    </row>
    <row r="215" spans="1:28" x14ac:dyDescent="0.2">
      <c r="A215" s="10"/>
      <c r="B215" s="10"/>
      <c r="C215" s="9"/>
      <c r="D215" s="8"/>
      <c r="E215" s="9"/>
      <c r="F215" s="10"/>
      <c r="G215" s="57"/>
      <c r="H215" s="57"/>
      <c r="J215" s="2">
        <f t="shared" si="21"/>
        <v>0</v>
      </c>
      <c r="K215" s="2">
        <f t="shared" si="23"/>
        <v>38912349.557800002</v>
      </c>
      <c r="L215" s="2">
        <f t="shared" si="24"/>
        <v>1.4915045359494545</v>
      </c>
      <c r="N215" s="4" t="str">
        <f t="shared" si="25"/>
        <v/>
      </c>
      <c r="P215" s="4" t="str">
        <f t="shared" si="26"/>
        <v/>
      </c>
      <c r="AA215" s="2">
        <f t="shared" si="22"/>
        <v>-10132324.891605169</v>
      </c>
      <c r="AB215" s="2" t="str">
        <f t="shared" si="27"/>
        <v/>
      </c>
    </row>
    <row r="216" spans="1:28" x14ac:dyDescent="0.2">
      <c r="A216" s="10"/>
      <c r="B216" s="10"/>
      <c r="C216" s="9"/>
      <c r="D216" s="8"/>
      <c r="E216" s="9"/>
      <c r="F216" s="10"/>
      <c r="G216" s="57"/>
      <c r="H216" s="57"/>
      <c r="J216" s="2">
        <f t="shared" si="21"/>
        <v>0</v>
      </c>
      <c r="K216" s="2">
        <f t="shared" si="23"/>
        <v>38912349.557800002</v>
      </c>
      <c r="L216" s="2">
        <f t="shared" si="24"/>
        <v>1.4915045359494545</v>
      </c>
      <c r="N216" s="4" t="str">
        <f t="shared" si="25"/>
        <v/>
      </c>
      <c r="P216" s="4" t="str">
        <f t="shared" si="26"/>
        <v/>
      </c>
      <c r="AA216" s="2">
        <f t="shared" si="22"/>
        <v>-10132324.891605169</v>
      </c>
      <c r="AB216" s="2" t="str">
        <f t="shared" si="27"/>
        <v/>
      </c>
    </row>
    <row r="217" spans="1:28" x14ac:dyDescent="0.2">
      <c r="A217" s="10"/>
      <c r="B217" s="10"/>
      <c r="C217" s="9"/>
      <c r="D217" s="8"/>
      <c r="E217" s="9"/>
      <c r="F217" s="10"/>
      <c r="G217" s="57"/>
      <c r="H217" s="57"/>
      <c r="J217" s="2">
        <f t="shared" si="21"/>
        <v>0</v>
      </c>
      <c r="K217" s="2">
        <f t="shared" si="23"/>
        <v>38912349.557800002</v>
      </c>
      <c r="L217" s="2">
        <f t="shared" si="24"/>
        <v>1.4915045359494545</v>
      </c>
      <c r="N217" s="4" t="str">
        <f t="shared" si="25"/>
        <v/>
      </c>
      <c r="P217" s="4" t="str">
        <f t="shared" si="26"/>
        <v/>
      </c>
      <c r="AA217" s="2">
        <f t="shared" si="22"/>
        <v>-10132324.891605169</v>
      </c>
      <c r="AB217" s="2" t="str">
        <f t="shared" si="27"/>
        <v/>
      </c>
    </row>
    <row r="218" spans="1:28" x14ac:dyDescent="0.2">
      <c r="A218" s="10"/>
      <c r="B218" s="10"/>
      <c r="C218" s="9"/>
      <c r="D218" s="8"/>
      <c r="E218" s="9"/>
      <c r="F218" s="10"/>
      <c r="G218" s="57"/>
      <c r="H218" s="57"/>
      <c r="J218" s="2">
        <f t="shared" si="21"/>
        <v>0</v>
      </c>
      <c r="K218" s="2">
        <f t="shared" si="23"/>
        <v>38912349.557800002</v>
      </c>
      <c r="L218" s="2">
        <f t="shared" si="24"/>
        <v>1.4915045359494545</v>
      </c>
      <c r="N218" s="4" t="str">
        <f t="shared" si="25"/>
        <v/>
      </c>
      <c r="P218" s="4" t="str">
        <f t="shared" si="26"/>
        <v/>
      </c>
      <c r="AA218" s="2">
        <f t="shared" si="22"/>
        <v>-10132324.891605169</v>
      </c>
      <c r="AB218" s="2" t="str">
        <f t="shared" si="27"/>
        <v/>
      </c>
    </row>
    <row r="219" spans="1:28" x14ac:dyDescent="0.2">
      <c r="A219" s="10"/>
      <c r="B219" s="10"/>
      <c r="C219" s="9"/>
      <c r="D219" s="8"/>
      <c r="E219" s="9"/>
      <c r="F219" s="10"/>
      <c r="G219" s="57"/>
      <c r="H219" s="57"/>
      <c r="J219" s="2">
        <f t="shared" si="21"/>
        <v>0</v>
      </c>
      <c r="K219" s="2">
        <f t="shared" si="23"/>
        <v>38912349.557800002</v>
      </c>
      <c r="L219" s="2">
        <f t="shared" si="24"/>
        <v>1.4915045359494545</v>
      </c>
      <c r="N219" s="4" t="str">
        <f t="shared" si="25"/>
        <v/>
      </c>
      <c r="P219" s="4" t="str">
        <f t="shared" si="26"/>
        <v/>
      </c>
      <c r="AA219" s="2">
        <f t="shared" si="22"/>
        <v>-10132324.891605169</v>
      </c>
      <c r="AB219" s="2" t="str">
        <f t="shared" si="27"/>
        <v/>
      </c>
    </row>
    <row r="220" spans="1:28" x14ac:dyDescent="0.2">
      <c r="A220" s="10"/>
      <c r="B220" s="10"/>
      <c r="C220" s="9"/>
      <c r="D220" s="8"/>
      <c r="E220" s="9"/>
      <c r="F220" s="10"/>
      <c r="G220" s="57"/>
      <c r="H220" s="57"/>
      <c r="J220" s="2">
        <f t="shared" si="21"/>
        <v>0</v>
      </c>
      <c r="K220" s="2">
        <f t="shared" si="23"/>
        <v>38912349.557800002</v>
      </c>
      <c r="L220" s="2">
        <f t="shared" si="24"/>
        <v>1.4915045359494545</v>
      </c>
      <c r="N220" s="4" t="str">
        <f t="shared" si="25"/>
        <v/>
      </c>
      <c r="P220" s="4" t="str">
        <f t="shared" si="26"/>
        <v/>
      </c>
      <c r="AA220" s="2">
        <f t="shared" si="22"/>
        <v>-10132324.891605169</v>
      </c>
      <c r="AB220" s="2" t="str">
        <f t="shared" si="27"/>
        <v/>
      </c>
    </row>
    <row r="221" spans="1:28" x14ac:dyDescent="0.2">
      <c r="A221" s="10"/>
      <c r="B221" s="10"/>
      <c r="C221" s="9"/>
      <c r="D221" s="8"/>
      <c r="E221" s="9"/>
      <c r="F221" s="10"/>
      <c r="G221" s="57"/>
      <c r="H221" s="57"/>
      <c r="J221" s="2">
        <f t="shared" si="21"/>
        <v>0</v>
      </c>
      <c r="K221" s="2">
        <f t="shared" si="23"/>
        <v>38912349.557800002</v>
      </c>
      <c r="L221" s="2">
        <f t="shared" si="24"/>
        <v>1.4915045359494545</v>
      </c>
      <c r="N221" s="4" t="str">
        <f t="shared" si="25"/>
        <v/>
      </c>
      <c r="P221" s="4" t="str">
        <f t="shared" si="26"/>
        <v/>
      </c>
      <c r="AA221" s="2">
        <f t="shared" si="22"/>
        <v>-10132324.891605169</v>
      </c>
      <c r="AB221" s="2" t="str">
        <f t="shared" si="27"/>
        <v/>
      </c>
    </row>
    <row r="222" spans="1:28" x14ac:dyDescent="0.2">
      <c r="A222" s="10"/>
      <c r="B222" s="10"/>
      <c r="C222" s="9"/>
      <c r="D222" s="8"/>
      <c r="E222" s="9"/>
      <c r="F222" s="10"/>
      <c r="G222" s="57"/>
      <c r="H222" s="57"/>
      <c r="J222" s="2">
        <f t="shared" si="21"/>
        <v>0</v>
      </c>
      <c r="K222" s="2">
        <f t="shared" si="23"/>
        <v>38912349.557800002</v>
      </c>
      <c r="L222" s="2">
        <f t="shared" si="24"/>
        <v>1.4915045359494545</v>
      </c>
      <c r="N222" s="4" t="str">
        <f t="shared" si="25"/>
        <v/>
      </c>
      <c r="P222" s="4" t="str">
        <f t="shared" si="26"/>
        <v/>
      </c>
      <c r="AA222" s="2">
        <f t="shared" si="22"/>
        <v>-10132324.891605169</v>
      </c>
      <c r="AB222" s="2" t="str">
        <f t="shared" si="27"/>
        <v/>
      </c>
    </row>
    <row r="223" spans="1:28" x14ac:dyDescent="0.2">
      <c r="A223" s="10"/>
      <c r="B223" s="10"/>
      <c r="C223" s="9"/>
      <c r="D223" s="8"/>
      <c r="E223" s="9"/>
      <c r="F223" s="10"/>
      <c r="G223" s="57"/>
      <c r="H223" s="57"/>
      <c r="J223" s="2">
        <f t="shared" si="21"/>
        <v>0</v>
      </c>
      <c r="K223" s="2">
        <f t="shared" si="23"/>
        <v>38912349.557800002</v>
      </c>
      <c r="L223" s="2">
        <f t="shared" si="24"/>
        <v>1.4915045359494545</v>
      </c>
      <c r="N223" s="4" t="str">
        <f t="shared" si="25"/>
        <v/>
      </c>
      <c r="P223" s="4" t="str">
        <f t="shared" si="26"/>
        <v/>
      </c>
      <c r="AA223" s="2">
        <f t="shared" si="22"/>
        <v>-10132324.891605169</v>
      </c>
      <c r="AB223" s="2" t="str">
        <f t="shared" si="27"/>
        <v/>
      </c>
    </row>
    <row r="224" spans="1:28" x14ac:dyDescent="0.2">
      <c r="A224" s="10"/>
      <c r="B224" s="10"/>
      <c r="C224" s="9"/>
      <c r="D224" s="8"/>
      <c r="E224" s="9"/>
      <c r="F224" s="10"/>
      <c r="G224" s="57"/>
      <c r="H224" s="57"/>
      <c r="J224" s="2">
        <f t="shared" si="21"/>
        <v>0</v>
      </c>
      <c r="K224" s="2">
        <f t="shared" si="23"/>
        <v>38912349.557800002</v>
      </c>
      <c r="L224" s="2">
        <f t="shared" si="24"/>
        <v>1.4915045359494545</v>
      </c>
      <c r="N224" s="4" t="str">
        <f t="shared" si="25"/>
        <v/>
      </c>
      <c r="P224" s="4" t="str">
        <f t="shared" si="26"/>
        <v/>
      </c>
      <c r="AA224" s="2">
        <f t="shared" si="22"/>
        <v>-10132324.891605169</v>
      </c>
      <c r="AB224" s="2" t="str">
        <f t="shared" si="27"/>
        <v/>
      </c>
    </row>
    <row r="225" spans="1:28" x14ac:dyDescent="0.2">
      <c r="A225" s="10"/>
      <c r="B225" s="10"/>
      <c r="C225" s="9"/>
      <c r="D225" s="8"/>
      <c r="E225" s="9"/>
      <c r="F225" s="10"/>
      <c r="G225" s="57"/>
      <c r="H225" s="57"/>
      <c r="J225" s="2">
        <f t="shared" si="21"/>
        <v>0</v>
      </c>
      <c r="K225" s="2">
        <f t="shared" si="23"/>
        <v>38912349.557800002</v>
      </c>
      <c r="L225" s="2">
        <f t="shared" si="24"/>
        <v>1.4915045359494545</v>
      </c>
      <c r="N225" s="4" t="str">
        <f t="shared" si="25"/>
        <v/>
      </c>
      <c r="P225" s="4" t="str">
        <f t="shared" si="26"/>
        <v/>
      </c>
      <c r="AA225" s="2">
        <f t="shared" si="22"/>
        <v>-10132324.891605169</v>
      </c>
      <c r="AB225" s="2" t="str">
        <f t="shared" si="27"/>
        <v/>
      </c>
    </row>
    <row r="226" spans="1:28" x14ac:dyDescent="0.2">
      <c r="A226" s="10"/>
      <c r="B226" s="10"/>
      <c r="C226" s="9"/>
      <c r="D226" s="8"/>
      <c r="E226" s="9"/>
      <c r="F226" s="10"/>
      <c r="G226" s="57"/>
      <c r="H226" s="57"/>
      <c r="J226" s="2">
        <f t="shared" si="21"/>
        <v>0</v>
      </c>
      <c r="K226" s="2">
        <f t="shared" si="23"/>
        <v>38912349.557800002</v>
      </c>
      <c r="L226" s="2">
        <f t="shared" si="24"/>
        <v>1.4915045359494545</v>
      </c>
      <c r="N226" s="4" t="str">
        <f t="shared" si="25"/>
        <v/>
      </c>
      <c r="P226" s="4" t="str">
        <f t="shared" si="26"/>
        <v/>
      </c>
      <c r="AA226" s="2">
        <f t="shared" si="22"/>
        <v>-10132324.891605169</v>
      </c>
      <c r="AB226" s="2" t="str">
        <f t="shared" si="27"/>
        <v/>
      </c>
    </row>
    <row r="227" spans="1:28" x14ac:dyDescent="0.2">
      <c r="A227" s="10"/>
      <c r="B227" s="10"/>
      <c r="C227" s="9"/>
      <c r="D227" s="8"/>
      <c r="E227" s="9"/>
      <c r="F227" s="10"/>
      <c r="G227" s="57"/>
      <c r="H227" s="57"/>
      <c r="J227" s="2">
        <f t="shared" si="21"/>
        <v>0</v>
      </c>
      <c r="K227" s="2">
        <f t="shared" si="23"/>
        <v>38912349.557800002</v>
      </c>
      <c r="L227" s="2">
        <f t="shared" si="24"/>
        <v>1.4915045359494545</v>
      </c>
      <c r="N227" s="4" t="str">
        <f t="shared" si="25"/>
        <v/>
      </c>
      <c r="P227" s="4" t="str">
        <f t="shared" si="26"/>
        <v/>
      </c>
      <c r="AA227" s="2">
        <f t="shared" si="22"/>
        <v>-10132324.891605169</v>
      </c>
      <c r="AB227" s="2" t="str">
        <f t="shared" si="27"/>
        <v/>
      </c>
    </row>
    <row r="228" spans="1:28" x14ac:dyDescent="0.2">
      <c r="A228" s="10"/>
      <c r="B228" s="10"/>
      <c r="C228" s="9"/>
      <c r="D228" s="8"/>
      <c r="E228" s="9"/>
      <c r="F228" s="10"/>
      <c r="G228" s="57"/>
      <c r="H228" s="57"/>
      <c r="J228" s="2">
        <f t="shared" si="21"/>
        <v>0</v>
      </c>
      <c r="K228" s="2">
        <f t="shared" si="23"/>
        <v>38912349.557800002</v>
      </c>
      <c r="L228" s="2">
        <f t="shared" si="24"/>
        <v>1.4915045359494545</v>
      </c>
      <c r="N228" s="4" t="str">
        <f t="shared" si="25"/>
        <v/>
      </c>
      <c r="P228" s="4" t="str">
        <f t="shared" si="26"/>
        <v/>
      </c>
      <c r="AA228" s="2">
        <f t="shared" si="22"/>
        <v>-10132324.891605169</v>
      </c>
      <c r="AB228" s="2" t="str">
        <f t="shared" si="27"/>
        <v/>
      </c>
    </row>
    <row r="229" spans="1:28" x14ac:dyDescent="0.2">
      <c r="A229" s="10"/>
      <c r="B229" s="10"/>
      <c r="C229" s="9"/>
      <c r="D229" s="8"/>
      <c r="E229" s="9"/>
      <c r="F229" s="10"/>
      <c r="G229" s="57"/>
      <c r="H229" s="57"/>
      <c r="J229" s="2">
        <f t="shared" si="21"/>
        <v>0</v>
      </c>
      <c r="K229" s="2">
        <f t="shared" si="23"/>
        <v>38912349.557800002</v>
      </c>
      <c r="L229" s="2">
        <f t="shared" si="24"/>
        <v>1.4915045359494545</v>
      </c>
      <c r="N229" s="4" t="str">
        <f t="shared" si="25"/>
        <v/>
      </c>
      <c r="P229" s="4" t="str">
        <f t="shared" si="26"/>
        <v/>
      </c>
      <c r="AA229" s="2">
        <f t="shared" si="22"/>
        <v>-10132324.891605169</v>
      </c>
      <c r="AB229" s="2" t="str">
        <f t="shared" si="27"/>
        <v/>
      </c>
    </row>
    <row r="230" spans="1:28" x14ac:dyDescent="0.2">
      <c r="A230" s="10"/>
      <c r="B230" s="10"/>
      <c r="C230" s="9"/>
      <c r="D230" s="8"/>
      <c r="E230" s="9"/>
      <c r="F230" s="10"/>
      <c r="G230" s="57"/>
      <c r="H230" s="57"/>
      <c r="J230" s="2">
        <f t="shared" si="21"/>
        <v>0</v>
      </c>
      <c r="K230" s="2">
        <f t="shared" si="23"/>
        <v>38912349.557800002</v>
      </c>
      <c r="L230" s="2">
        <f t="shared" si="24"/>
        <v>1.4915045359494545</v>
      </c>
      <c r="N230" s="4" t="str">
        <f t="shared" si="25"/>
        <v/>
      </c>
      <c r="P230" s="4" t="str">
        <f t="shared" si="26"/>
        <v/>
      </c>
      <c r="AA230" s="2">
        <f t="shared" si="22"/>
        <v>-10132324.891605169</v>
      </c>
      <c r="AB230" s="2" t="str">
        <f t="shared" si="27"/>
        <v/>
      </c>
    </row>
    <row r="231" spans="1:28" x14ac:dyDescent="0.2">
      <c r="A231" s="10"/>
      <c r="B231" s="10"/>
      <c r="C231" s="9"/>
      <c r="D231" s="8"/>
      <c r="E231" s="9"/>
      <c r="F231" s="10"/>
      <c r="G231" s="57"/>
      <c r="H231" s="57"/>
      <c r="J231" s="2">
        <f t="shared" si="21"/>
        <v>0</v>
      </c>
      <c r="K231" s="2">
        <f t="shared" si="23"/>
        <v>38912349.557800002</v>
      </c>
      <c r="L231" s="2">
        <f t="shared" si="24"/>
        <v>1.4915045359494545</v>
      </c>
      <c r="N231" s="4" t="str">
        <f t="shared" si="25"/>
        <v/>
      </c>
      <c r="P231" s="4" t="str">
        <f t="shared" si="26"/>
        <v/>
      </c>
      <c r="AA231" s="2">
        <f t="shared" si="22"/>
        <v>-10132324.891605169</v>
      </c>
      <c r="AB231" s="2" t="str">
        <f t="shared" si="27"/>
        <v/>
      </c>
    </row>
    <row r="232" spans="1:28" x14ac:dyDescent="0.2">
      <c r="A232" s="10"/>
      <c r="B232" s="10"/>
      <c r="C232" s="9"/>
      <c r="D232" s="8"/>
      <c r="E232" s="9"/>
      <c r="F232" s="10"/>
      <c r="G232" s="57"/>
      <c r="H232" s="57"/>
      <c r="J232" s="2">
        <f t="shared" si="21"/>
        <v>0</v>
      </c>
      <c r="K232" s="2">
        <f t="shared" si="23"/>
        <v>38912349.557800002</v>
      </c>
      <c r="L232" s="2">
        <f t="shared" si="24"/>
        <v>1.4915045359494545</v>
      </c>
      <c r="N232" s="4" t="str">
        <f t="shared" si="25"/>
        <v/>
      </c>
      <c r="P232" s="4" t="str">
        <f t="shared" si="26"/>
        <v/>
      </c>
      <c r="AA232" s="2">
        <f t="shared" si="22"/>
        <v>-10132324.891605169</v>
      </c>
      <c r="AB232" s="2" t="str">
        <f t="shared" si="27"/>
        <v/>
      </c>
    </row>
    <row r="233" spans="1:28" x14ac:dyDescent="0.2">
      <c r="A233" s="10"/>
      <c r="B233" s="10"/>
      <c r="C233" s="9"/>
      <c r="D233" s="8"/>
      <c r="E233" s="9"/>
      <c r="F233" s="10"/>
      <c r="G233" s="57"/>
      <c r="H233" s="57"/>
      <c r="J233" s="2">
        <f t="shared" si="21"/>
        <v>0</v>
      </c>
      <c r="K233" s="2">
        <f t="shared" si="23"/>
        <v>38912349.557800002</v>
      </c>
      <c r="L233" s="2">
        <f t="shared" si="24"/>
        <v>1.4915045359494545</v>
      </c>
      <c r="N233" s="4" t="str">
        <f t="shared" si="25"/>
        <v/>
      </c>
      <c r="P233" s="4" t="str">
        <f t="shared" si="26"/>
        <v/>
      </c>
      <c r="AA233" s="2">
        <f t="shared" si="22"/>
        <v>-10132324.891605169</v>
      </c>
      <c r="AB233" s="2" t="str">
        <f t="shared" si="27"/>
        <v/>
      </c>
    </row>
    <row r="234" spans="1:28" x14ac:dyDescent="0.2">
      <c r="A234" s="10"/>
      <c r="B234" s="10"/>
      <c r="C234" s="9"/>
      <c r="D234" s="8"/>
      <c r="E234" s="9"/>
      <c r="F234" s="10"/>
      <c r="G234" s="57"/>
      <c r="H234" s="57"/>
      <c r="J234" s="2">
        <f t="shared" si="21"/>
        <v>0</v>
      </c>
      <c r="K234" s="2">
        <f t="shared" si="23"/>
        <v>38912349.557800002</v>
      </c>
      <c r="L234" s="2">
        <f t="shared" si="24"/>
        <v>1.4915045359494545</v>
      </c>
      <c r="N234" s="4" t="str">
        <f t="shared" si="25"/>
        <v/>
      </c>
      <c r="P234" s="4" t="str">
        <f t="shared" si="26"/>
        <v/>
      </c>
      <c r="AA234" s="2">
        <f t="shared" si="22"/>
        <v>-10132324.891605169</v>
      </c>
      <c r="AB234" s="2" t="str">
        <f t="shared" si="27"/>
        <v/>
      </c>
    </row>
    <row r="235" spans="1:28" x14ac:dyDescent="0.2">
      <c r="A235" s="10"/>
      <c r="B235" s="10"/>
      <c r="C235" s="9"/>
      <c r="D235" s="8"/>
      <c r="E235" s="9"/>
      <c r="F235" s="10"/>
      <c r="G235" s="57"/>
      <c r="H235" s="57"/>
      <c r="J235" s="2">
        <f t="shared" si="21"/>
        <v>0</v>
      </c>
      <c r="K235" s="2">
        <f t="shared" si="23"/>
        <v>38912349.557800002</v>
      </c>
      <c r="L235" s="2">
        <f t="shared" si="24"/>
        <v>1.4915045359494545</v>
      </c>
      <c r="N235" s="4" t="str">
        <f t="shared" si="25"/>
        <v/>
      </c>
      <c r="P235" s="4" t="str">
        <f t="shared" si="26"/>
        <v/>
      </c>
      <c r="AA235" s="2">
        <f t="shared" si="22"/>
        <v>-10132324.891605169</v>
      </c>
      <c r="AB235" s="2" t="str">
        <f t="shared" si="27"/>
        <v/>
      </c>
    </row>
    <row r="236" spans="1:28" x14ac:dyDescent="0.2">
      <c r="A236" s="10"/>
      <c r="B236" s="10"/>
      <c r="C236" s="9"/>
      <c r="D236" s="8"/>
      <c r="E236" s="9"/>
      <c r="F236" s="10"/>
      <c r="G236" s="57"/>
      <c r="H236" s="57"/>
      <c r="J236" s="2">
        <f t="shared" si="21"/>
        <v>0</v>
      </c>
      <c r="K236" s="2">
        <f t="shared" si="23"/>
        <v>38912349.557800002</v>
      </c>
      <c r="L236" s="2">
        <f t="shared" si="24"/>
        <v>1.4915045359494545</v>
      </c>
      <c r="N236" s="4" t="str">
        <f t="shared" si="25"/>
        <v/>
      </c>
      <c r="P236" s="4" t="str">
        <f t="shared" si="26"/>
        <v/>
      </c>
      <c r="AA236" s="2">
        <f t="shared" si="22"/>
        <v>-10132324.891605169</v>
      </c>
      <c r="AB236" s="2" t="str">
        <f t="shared" si="27"/>
        <v/>
      </c>
    </row>
    <row r="237" spans="1:28" x14ac:dyDescent="0.2">
      <c r="A237" s="10"/>
      <c r="B237" s="10"/>
      <c r="C237" s="9"/>
      <c r="D237" s="8"/>
      <c r="E237" s="9"/>
      <c r="F237" s="10"/>
      <c r="G237" s="57"/>
      <c r="H237" s="57"/>
      <c r="J237" s="2">
        <f t="shared" si="21"/>
        <v>0</v>
      </c>
      <c r="K237" s="2">
        <f t="shared" si="23"/>
        <v>38912349.557800002</v>
      </c>
      <c r="L237" s="2">
        <f t="shared" si="24"/>
        <v>1.4915045359494545</v>
      </c>
      <c r="N237" s="4" t="str">
        <f t="shared" si="25"/>
        <v/>
      </c>
      <c r="P237" s="4" t="str">
        <f t="shared" si="26"/>
        <v/>
      </c>
      <c r="AA237" s="2">
        <f t="shared" si="22"/>
        <v>-10132324.891605169</v>
      </c>
      <c r="AB237" s="2" t="str">
        <f t="shared" si="27"/>
        <v/>
      </c>
    </row>
    <row r="238" spans="1:28" x14ac:dyDescent="0.2">
      <c r="A238" s="10"/>
      <c r="B238" s="10"/>
      <c r="C238" s="9"/>
      <c r="D238" s="8"/>
      <c r="E238" s="9"/>
      <c r="F238" s="10"/>
      <c r="G238" s="57"/>
      <c r="H238" s="57"/>
      <c r="J238" s="2">
        <f t="shared" si="21"/>
        <v>0</v>
      </c>
      <c r="K238" s="2">
        <f t="shared" si="23"/>
        <v>38912349.557800002</v>
      </c>
      <c r="L238" s="2">
        <f t="shared" si="24"/>
        <v>1.4915045359494545</v>
      </c>
      <c r="N238" s="4" t="str">
        <f t="shared" si="25"/>
        <v/>
      </c>
      <c r="P238" s="4" t="str">
        <f t="shared" si="26"/>
        <v/>
      </c>
      <c r="AA238" s="2">
        <f t="shared" si="22"/>
        <v>-10132324.891605169</v>
      </c>
      <c r="AB238" s="2" t="str">
        <f t="shared" si="27"/>
        <v/>
      </c>
    </row>
    <row r="239" spans="1:28" x14ac:dyDescent="0.2">
      <c r="A239" s="10"/>
      <c r="B239" s="10"/>
      <c r="C239" s="8"/>
      <c r="D239" s="8"/>
      <c r="E239" s="8"/>
      <c r="F239" s="10"/>
      <c r="G239" s="57"/>
      <c r="H239" s="57"/>
      <c r="J239" s="2">
        <f t="shared" si="21"/>
        <v>0</v>
      </c>
      <c r="K239" s="2">
        <f t="shared" si="23"/>
        <v>38912349.557800002</v>
      </c>
      <c r="L239" s="2">
        <f t="shared" si="24"/>
        <v>1.4915045359494545</v>
      </c>
      <c r="N239" s="4" t="str">
        <f t="shared" si="25"/>
        <v/>
      </c>
      <c r="P239" s="4" t="str">
        <f t="shared" si="26"/>
        <v/>
      </c>
      <c r="AA239" s="2">
        <f t="shared" si="22"/>
        <v>-10132324.891605169</v>
      </c>
      <c r="AB239" s="2" t="str">
        <f t="shared" si="27"/>
        <v/>
      </c>
    </row>
    <row r="240" spans="1:28" x14ac:dyDescent="0.2">
      <c r="A240" s="10"/>
      <c r="B240" s="10"/>
      <c r="C240" s="8"/>
      <c r="D240" s="8"/>
      <c r="E240" s="8"/>
      <c r="F240" s="10"/>
      <c r="G240" s="57"/>
      <c r="H240" s="57"/>
      <c r="J240" s="2">
        <f t="shared" si="21"/>
        <v>0</v>
      </c>
      <c r="K240" s="2">
        <f t="shared" si="23"/>
        <v>38912349.557800002</v>
      </c>
      <c r="L240" s="2">
        <f t="shared" si="24"/>
        <v>1.4915045359494545</v>
      </c>
      <c r="N240" s="4" t="str">
        <f t="shared" si="25"/>
        <v/>
      </c>
      <c r="P240" s="4" t="str">
        <f t="shared" si="26"/>
        <v/>
      </c>
      <c r="AA240" s="2">
        <f t="shared" si="22"/>
        <v>-10132324.891605169</v>
      </c>
      <c r="AB240" s="2" t="str">
        <f t="shared" si="27"/>
        <v/>
      </c>
    </row>
    <row r="241" spans="1:28" x14ac:dyDescent="0.2">
      <c r="A241" s="10"/>
      <c r="B241" s="10"/>
      <c r="C241" s="8"/>
      <c r="D241" s="8"/>
      <c r="E241" s="8"/>
      <c r="F241" s="10"/>
      <c r="G241" s="57"/>
      <c r="H241" s="57"/>
      <c r="J241" s="2">
        <f t="shared" si="21"/>
        <v>0</v>
      </c>
      <c r="K241" s="2">
        <f t="shared" si="23"/>
        <v>38912349.557800002</v>
      </c>
      <c r="L241" s="2">
        <f t="shared" si="24"/>
        <v>1.4915045359494545</v>
      </c>
      <c r="N241" s="4" t="str">
        <f t="shared" si="25"/>
        <v/>
      </c>
      <c r="P241" s="4" t="str">
        <f t="shared" si="26"/>
        <v/>
      </c>
      <c r="AA241" s="2">
        <f t="shared" si="22"/>
        <v>-10132324.891605169</v>
      </c>
      <c r="AB241" s="2" t="str">
        <f t="shared" si="27"/>
        <v/>
      </c>
    </row>
    <row r="242" spans="1:28" x14ac:dyDescent="0.2">
      <c r="A242" s="10"/>
      <c r="B242" s="10"/>
      <c r="C242" s="8"/>
      <c r="D242" s="8"/>
      <c r="E242" s="8"/>
      <c r="F242" s="10"/>
      <c r="G242" s="57"/>
      <c r="H242" s="57"/>
      <c r="J242" s="2">
        <f t="shared" si="21"/>
        <v>0</v>
      </c>
      <c r="K242" s="2">
        <f t="shared" si="23"/>
        <v>38912349.557800002</v>
      </c>
      <c r="L242" s="2">
        <f t="shared" si="24"/>
        <v>1.4915045359494545</v>
      </c>
      <c r="N242" s="4" t="str">
        <f t="shared" si="25"/>
        <v/>
      </c>
      <c r="P242" s="4" t="str">
        <f t="shared" si="26"/>
        <v/>
      </c>
      <c r="AA242" s="2">
        <f t="shared" si="22"/>
        <v>-10132324.891605169</v>
      </c>
      <c r="AB242" s="2" t="str">
        <f t="shared" si="27"/>
        <v/>
      </c>
    </row>
    <row r="243" spans="1:28" x14ac:dyDescent="0.2">
      <c r="A243" s="10"/>
      <c r="B243" s="10"/>
      <c r="C243" s="8"/>
      <c r="D243" s="8"/>
      <c r="E243" s="8"/>
      <c r="F243" s="10"/>
      <c r="G243" s="57"/>
      <c r="H243" s="57"/>
      <c r="J243" s="2">
        <f t="shared" si="21"/>
        <v>0</v>
      </c>
      <c r="K243" s="2">
        <f t="shared" si="23"/>
        <v>38912349.557800002</v>
      </c>
      <c r="L243" s="2">
        <f t="shared" si="24"/>
        <v>1.4915045359494545</v>
      </c>
      <c r="N243" s="4" t="str">
        <f t="shared" si="25"/>
        <v/>
      </c>
      <c r="P243" s="4" t="str">
        <f t="shared" si="26"/>
        <v/>
      </c>
      <c r="AA243" s="2">
        <f t="shared" si="22"/>
        <v>-10132324.891605169</v>
      </c>
      <c r="AB243" s="2" t="str">
        <f t="shared" si="27"/>
        <v/>
      </c>
    </row>
    <row r="244" spans="1:28" x14ac:dyDescent="0.2">
      <c r="A244" s="10"/>
      <c r="B244" s="10"/>
      <c r="C244" s="8"/>
      <c r="D244" s="8"/>
      <c r="E244" s="8"/>
      <c r="F244" s="10"/>
      <c r="G244" s="57"/>
      <c r="H244" s="57"/>
      <c r="J244" s="2">
        <f t="shared" si="21"/>
        <v>0</v>
      </c>
      <c r="K244" s="2">
        <f t="shared" si="23"/>
        <v>38912349.557800002</v>
      </c>
      <c r="L244" s="2">
        <f t="shared" si="24"/>
        <v>1.4915045359494545</v>
      </c>
      <c r="N244" s="4" t="str">
        <f t="shared" si="25"/>
        <v/>
      </c>
      <c r="P244" s="4" t="str">
        <f t="shared" si="26"/>
        <v/>
      </c>
      <c r="AA244" s="2">
        <f t="shared" si="22"/>
        <v>-10132324.891605169</v>
      </c>
      <c r="AB244" s="2" t="str">
        <f t="shared" si="27"/>
        <v/>
      </c>
    </row>
    <row r="245" spans="1:28" x14ac:dyDescent="0.2">
      <c r="A245" s="10"/>
      <c r="B245" s="10"/>
      <c r="C245" s="8"/>
      <c r="D245" s="8"/>
      <c r="E245" s="8"/>
      <c r="F245" s="10"/>
      <c r="G245" s="57"/>
      <c r="H245" s="57"/>
      <c r="J245" s="2">
        <f t="shared" si="21"/>
        <v>0</v>
      </c>
      <c r="K245" s="2">
        <f t="shared" si="23"/>
        <v>38912349.557800002</v>
      </c>
      <c r="L245" s="2">
        <f t="shared" si="24"/>
        <v>1.4915045359494545</v>
      </c>
      <c r="N245" s="4" t="str">
        <f t="shared" si="25"/>
        <v/>
      </c>
      <c r="P245" s="4" t="str">
        <f t="shared" si="26"/>
        <v/>
      </c>
      <c r="AA245" s="2">
        <f t="shared" si="22"/>
        <v>-10132324.891605169</v>
      </c>
      <c r="AB245" s="2" t="str">
        <f t="shared" si="27"/>
        <v/>
      </c>
    </row>
    <row r="246" spans="1:28" x14ac:dyDescent="0.2">
      <c r="A246" s="10"/>
      <c r="B246" s="10"/>
      <c r="C246" s="8"/>
      <c r="D246" s="8"/>
      <c r="E246" s="8"/>
      <c r="F246" s="10"/>
      <c r="G246" s="57"/>
      <c r="H246" s="57"/>
      <c r="J246" s="2">
        <f t="shared" si="21"/>
        <v>0</v>
      </c>
      <c r="K246" s="2">
        <f t="shared" si="23"/>
        <v>38912349.557800002</v>
      </c>
      <c r="L246" s="2">
        <f t="shared" si="24"/>
        <v>1.4915045359494545</v>
      </c>
      <c r="N246" s="4" t="str">
        <f t="shared" si="25"/>
        <v/>
      </c>
      <c r="P246" s="4" t="str">
        <f t="shared" si="26"/>
        <v/>
      </c>
      <c r="AA246" s="2">
        <f t="shared" si="22"/>
        <v>-10132324.891605169</v>
      </c>
      <c r="AB246" s="2" t="str">
        <f t="shared" si="27"/>
        <v/>
      </c>
    </row>
    <row r="247" spans="1:28" x14ac:dyDescent="0.2">
      <c r="A247" s="10"/>
      <c r="B247" s="10"/>
      <c r="C247" s="8"/>
      <c r="D247" s="8"/>
      <c r="E247" s="8"/>
      <c r="F247" s="10"/>
      <c r="G247" s="57"/>
      <c r="H247" s="57"/>
      <c r="J247" s="2">
        <f t="shared" si="21"/>
        <v>0</v>
      </c>
      <c r="K247" s="2">
        <f t="shared" si="23"/>
        <v>38912349.557800002</v>
      </c>
      <c r="L247" s="2">
        <f t="shared" si="24"/>
        <v>1.4915045359494545</v>
      </c>
      <c r="N247" s="4" t="str">
        <f t="shared" si="25"/>
        <v/>
      </c>
      <c r="P247" s="4" t="str">
        <f t="shared" si="26"/>
        <v/>
      </c>
      <c r="AA247" s="2">
        <f t="shared" si="22"/>
        <v>-10132324.891605169</v>
      </c>
      <c r="AB247" s="2" t="str">
        <f t="shared" si="27"/>
        <v/>
      </c>
    </row>
    <row r="248" spans="1:28" x14ac:dyDescent="0.2">
      <c r="A248" s="10"/>
      <c r="B248" s="10"/>
      <c r="C248" s="8"/>
      <c r="D248" s="8"/>
      <c r="E248" s="8"/>
      <c r="F248" s="10"/>
      <c r="G248" s="57"/>
      <c r="H248" s="57"/>
      <c r="J248" s="2">
        <f t="shared" si="21"/>
        <v>0</v>
      </c>
      <c r="K248" s="2">
        <f t="shared" si="23"/>
        <v>38912349.557800002</v>
      </c>
      <c r="L248" s="2">
        <f t="shared" si="24"/>
        <v>1.4915045359494545</v>
      </c>
      <c r="N248" s="4" t="str">
        <f t="shared" si="25"/>
        <v/>
      </c>
      <c r="P248" s="4" t="str">
        <f t="shared" si="26"/>
        <v/>
      </c>
      <c r="AA248" s="2">
        <f t="shared" si="22"/>
        <v>-10132324.891605169</v>
      </c>
      <c r="AB248" s="2" t="str">
        <f t="shared" si="27"/>
        <v/>
      </c>
    </row>
    <row r="249" spans="1:28" x14ac:dyDescent="0.2">
      <c r="A249" s="10"/>
      <c r="B249" s="10"/>
      <c r="C249" s="8"/>
      <c r="D249" s="8"/>
      <c r="E249" s="8"/>
      <c r="F249" s="10"/>
      <c r="G249" s="57"/>
      <c r="H249" s="57"/>
      <c r="J249" s="2">
        <f t="shared" si="21"/>
        <v>0</v>
      </c>
      <c r="K249" s="2">
        <f t="shared" si="23"/>
        <v>38912349.557800002</v>
      </c>
      <c r="L249" s="2">
        <f t="shared" si="24"/>
        <v>1.4915045359494545</v>
      </c>
      <c r="N249" s="4" t="str">
        <f t="shared" si="25"/>
        <v/>
      </c>
      <c r="P249" s="4" t="str">
        <f t="shared" si="26"/>
        <v/>
      </c>
      <c r="AA249" s="2">
        <f t="shared" si="22"/>
        <v>-10132324.891605169</v>
      </c>
      <c r="AB249" s="2" t="str">
        <f t="shared" si="27"/>
        <v/>
      </c>
    </row>
    <row r="250" spans="1:28" x14ac:dyDescent="0.2">
      <c r="A250" s="10"/>
      <c r="B250" s="10"/>
      <c r="C250" s="8"/>
      <c r="D250" s="8"/>
      <c r="E250" s="8"/>
      <c r="F250" s="10"/>
      <c r="G250" s="57"/>
      <c r="H250" s="57"/>
      <c r="J250" s="2">
        <f t="shared" si="21"/>
        <v>0</v>
      </c>
      <c r="K250" s="2">
        <f t="shared" si="23"/>
        <v>38912349.557800002</v>
      </c>
      <c r="L250" s="2">
        <f t="shared" si="24"/>
        <v>1.4915045359494545</v>
      </c>
      <c r="N250" s="4" t="str">
        <f t="shared" si="25"/>
        <v/>
      </c>
      <c r="P250" s="4" t="str">
        <f t="shared" si="26"/>
        <v/>
      </c>
      <c r="AA250" s="2">
        <f t="shared" si="22"/>
        <v>-10132324.891605169</v>
      </c>
      <c r="AB250" s="2" t="str">
        <f t="shared" si="27"/>
        <v/>
      </c>
    </row>
    <row r="251" spans="1:28" x14ac:dyDescent="0.2">
      <c r="A251" s="10"/>
      <c r="B251" s="10"/>
      <c r="C251" s="8"/>
      <c r="D251" s="8"/>
      <c r="E251" s="8"/>
      <c r="F251" s="10"/>
      <c r="G251" s="57"/>
      <c r="H251" s="57"/>
      <c r="J251" s="2">
        <f t="shared" si="21"/>
        <v>0</v>
      </c>
      <c r="K251" s="2">
        <f t="shared" si="23"/>
        <v>38912349.557800002</v>
      </c>
      <c r="L251" s="2">
        <f t="shared" si="24"/>
        <v>1.4915045359494545</v>
      </c>
      <c r="N251" s="4" t="str">
        <f t="shared" si="25"/>
        <v/>
      </c>
      <c r="P251" s="4" t="str">
        <f t="shared" si="26"/>
        <v/>
      </c>
      <c r="AA251" s="2">
        <f t="shared" si="22"/>
        <v>-10132324.891605169</v>
      </c>
      <c r="AB251" s="2" t="str">
        <f t="shared" si="27"/>
        <v/>
      </c>
    </row>
    <row r="252" spans="1:28" x14ac:dyDescent="0.2">
      <c r="A252" s="10"/>
      <c r="B252" s="10"/>
      <c r="C252" s="8"/>
      <c r="D252" s="8"/>
      <c r="E252" s="8"/>
      <c r="F252" s="10"/>
      <c r="G252" s="57"/>
      <c r="H252" s="57"/>
      <c r="J252" s="2">
        <f t="shared" si="21"/>
        <v>0</v>
      </c>
      <c r="K252" s="2">
        <f t="shared" si="23"/>
        <v>38912349.557800002</v>
      </c>
      <c r="L252" s="2">
        <f t="shared" si="24"/>
        <v>1.4915045359494545</v>
      </c>
      <c r="N252" s="4" t="str">
        <f t="shared" si="25"/>
        <v/>
      </c>
      <c r="P252" s="4" t="str">
        <f t="shared" si="26"/>
        <v/>
      </c>
      <c r="AA252" s="2">
        <f t="shared" si="22"/>
        <v>-10132324.891605169</v>
      </c>
      <c r="AB252" s="2" t="str">
        <f t="shared" si="27"/>
        <v/>
      </c>
    </row>
    <row r="253" spans="1:28" x14ac:dyDescent="0.2">
      <c r="A253" s="10"/>
      <c r="B253" s="10"/>
      <c r="C253" s="8"/>
      <c r="D253" s="8"/>
      <c r="E253" s="8"/>
      <c r="F253" s="10"/>
      <c r="G253" s="57"/>
      <c r="H253" s="57"/>
      <c r="J253" s="2">
        <f t="shared" si="21"/>
        <v>0</v>
      </c>
      <c r="K253" s="2">
        <f t="shared" si="23"/>
        <v>38912349.557800002</v>
      </c>
      <c r="L253" s="2">
        <f t="shared" si="24"/>
        <v>1.4915045359494545</v>
      </c>
      <c r="N253" s="4" t="str">
        <f t="shared" si="25"/>
        <v/>
      </c>
      <c r="P253" s="4" t="str">
        <f t="shared" si="26"/>
        <v/>
      </c>
      <c r="AA253" s="2">
        <f t="shared" si="22"/>
        <v>-10132324.891605169</v>
      </c>
      <c r="AB253" s="2" t="str">
        <f t="shared" si="27"/>
        <v/>
      </c>
    </row>
    <row r="254" spans="1:28" x14ac:dyDescent="0.2">
      <c r="A254" s="10"/>
      <c r="B254" s="10"/>
      <c r="C254" s="8"/>
      <c r="D254" s="8"/>
      <c r="E254" s="8"/>
      <c r="F254" s="10"/>
      <c r="G254" s="57"/>
      <c r="H254" s="57"/>
      <c r="J254" s="2">
        <f t="shared" si="21"/>
        <v>0</v>
      </c>
      <c r="K254" s="2">
        <f t="shared" si="23"/>
        <v>38912349.557800002</v>
      </c>
      <c r="L254" s="2">
        <f t="shared" si="24"/>
        <v>1.4915045359494545</v>
      </c>
      <c r="N254" s="4" t="str">
        <f t="shared" si="25"/>
        <v/>
      </c>
      <c r="P254" s="4" t="str">
        <f t="shared" si="26"/>
        <v/>
      </c>
      <c r="AA254" s="2">
        <f t="shared" si="22"/>
        <v>-10132324.891605169</v>
      </c>
      <c r="AB254" s="2" t="str">
        <f t="shared" si="27"/>
        <v/>
      </c>
    </row>
    <row r="255" spans="1:28" x14ac:dyDescent="0.2">
      <c r="A255" s="10"/>
      <c r="B255" s="10"/>
      <c r="C255" s="8"/>
      <c r="D255" s="8"/>
      <c r="E255" s="8"/>
      <c r="F255" s="10"/>
      <c r="G255" s="57"/>
      <c r="H255" s="57"/>
      <c r="J255" s="2">
        <f t="shared" si="21"/>
        <v>0</v>
      </c>
      <c r="K255" s="2">
        <f t="shared" si="23"/>
        <v>38912349.557800002</v>
      </c>
      <c r="L255" s="2">
        <f t="shared" si="24"/>
        <v>1.4915045359494545</v>
      </c>
      <c r="N255" s="4" t="str">
        <f t="shared" si="25"/>
        <v/>
      </c>
      <c r="P255" s="4" t="str">
        <f t="shared" si="26"/>
        <v/>
      </c>
      <c r="AA255" s="2">
        <f t="shared" si="22"/>
        <v>-10132324.891605169</v>
      </c>
      <c r="AB255" s="2" t="str">
        <f t="shared" si="27"/>
        <v/>
      </c>
    </row>
    <row r="256" spans="1:28" x14ac:dyDescent="0.2">
      <c r="A256" s="10"/>
      <c r="B256" s="10"/>
      <c r="C256" s="8"/>
      <c r="D256" s="8"/>
      <c r="E256" s="8"/>
      <c r="F256" s="10"/>
      <c r="G256" s="57"/>
      <c r="H256" s="57"/>
      <c r="J256" s="2">
        <f t="shared" si="21"/>
        <v>0</v>
      </c>
      <c r="K256" s="2">
        <f t="shared" si="23"/>
        <v>38912349.557800002</v>
      </c>
      <c r="L256" s="2">
        <f t="shared" si="24"/>
        <v>1.4915045359494545</v>
      </c>
      <c r="N256" s="4" t="str">
        <f t="shared" si="25"/>
        <v/>
      </c>
      <c r="P256" s="4" t="str">
        <f t="shared" si="26"/>
        <v/>
      </c>
      <c r="AA256" s="2">
        <f t="shared" si="22"/>
        <v>-10132324.891605169</v>
      </c>
      <c r="AB256" s="2" t="str">
        <f t="shared" si="27"/>
        <v/>
      </c>
    </row>
    <row r="257" spans="1:28" x14ac:dyDescent="0.2">
      <c r="A257" s="10"/>
      <c r="B257" s="10"/>
      <c r="C257" s="8"/>
      <c r="D257" s="8"/>
      <c r="E257" s="8"/>
      <c r="F257" s="10"/>
      <c r="G257" s="57"/>
      <c r="H257" s="57"/>
      <c r="J257" s="2">
        <f t="shared" si="21"/>
        <v>0</v>
      </c>
      <c r="K257" s="2">
        <f t="shared" si="23"/>
        <v>38912349.557800002</v>
      </c>
      <c r="L257" s="2">
        <f t="shared" si="24"/>
        <v>1.4915045359494545</v>
      </c>
      <c r="N257" s="4" t="str">
        <f t="shared" si="25"/>
        <v/>
      </c>
      <c r="P257" s="4" t="str">
        <f t="shared" si="26"/>
        <v/>
      </c>
      <c r="AA257" s="2">
        <f t="shared" si="22"/>
        <v>-10132324.891605169</v>
      </c>
      <c r="AB257" s="2" t="str">
        <f t="shared" si="27"/>
        <v/>
      </c>
    </row>
    <row r="258" spans="1:28" x14ac:dyDescent="0.2">
      <c r="A258" s="10"/>
      <c r="B258" s="10"/>
      <c r="C258" s="8"/>
      <c r="D258" s="8"/>
      <c r="E258" s="8"/>
      <c r="F258" s="10"/>
      <c r="G258" s="57"/>
      <c r="H258" s="57"/>
      <c r="J258" s="2">
        <f t="shared" si="21"/>
        <v>0</v>
      </c>
      <c r="K258" s="2">
        <f t="shared" si="23"/>
        <v>38912349.557800002</v>
      </c>
      <c r="L258" s="2">
        <f t="shared" si="24"/>
        <v>1.4915045359494545</v>
      </c>
      <c r="N258" s="4" t="str">
        <f t="shared" si="25"/>
        <v/>
      </c>
      <c r="P258" s="4" t="str">
        <f t="shared" si="26"/>
        <v/>
      </c>
      <c r="AA258" s="2">
        <f t="shared" si="22"/>
        <v>-10132324.891605169</v>
      </c>
      <c r="AB258" s="2" t="str">
        <f t="shared" si="27"/>
        <v/>
      </c>
    </row>
    <row r="259" spans="1:28" x14ac:dyDescent="0.2">
      <c r="A259" s="10"/>
      <c r="B259" s="10"/>
      <c r="C259" s="8"/>
      <c r="D259" s="8"/>
      <c r="E259" s="8"/>
      <c r="F259" s="10"/>
      <c r="G259" s="57"/>
      <c r="H259" s="57"/>
      <c r="J259" s="2">
        <f t="shared" si="21"/>
        <v>0</v>
      </c>
      <c r="K259" s="2">
        <f t="shared" si="23"/>
        <v>38912349.557800002</v>
      </c>
      <c r="L259" s="2">
        <f t="shared" si="24"/>
        <v>1.4915045359494545</v>
      </c>
      <c r="N259" s="4" t="str">
        <f t="shared" si="25"/>
        <v/>
      </c>
      <c r="P259" s="4" t="str">
        <f t="shared" si="26"/>
        <v/>
      </c>
      <c r="AA259" s="2">
        <f t="shared" si="22"/>
        <v>-10132324.891605169</v>
      </c>
      <c r="AB259" s="2" t="str">
        <f t="shared" si="27"/>
        <v/>
      </c>
    </row>
    <row r="260" spans="1:28" x14ac:dyDescent="0.2">
      <c r="A260" s="10"/>
      <c r="B260" s="10"/>
      <c r="C260" s="8"/>
      <c r="D260" s="8"/>
      <c r="E260" s="8"/>
      <c r="F260" s="10"/>
      <c r="G260" s="57"/>
      <c r="H260" s="57"/>
      <c r="J260" s="2">
        <f t="shared" ref="J260:J300" si="28">0.5*(LN((1+SIN(RADIANS(hmstohdd(G260))))/(1-SIN(RADIANS(hmstohdd(G260)))))-(LN((1+0.0818191910428153*SIN(RADIANS(hmstohdd(G260))))/(1-0.0818191910428153*SIN(RADIANS(hmstohdd(G260)))))*0.0818191910428153))</f>
        <v>0</v>
      </c>
      <c r="K260" s="2">
        <f t="shared" si="23"/>
        <v>38912349.557800002</v>
      </c>
      <c r="L260" s="2">
        <f t="shared" si="24"/>
        <v>1.4915045359494545</v>
      </c>
      <c r="N260" s="4" t="str">
        <f t="shared" si="25"/>
        <v/>
      </c>
      <c r="P260" s="4" t="str">
        <f t="shared" si="26"/>
        <v/>
      </c>
      <c r="AA260" s="2">
        <f t="shared" ref="AA260:AA300" si="29">(hmstohdd(G260)-45.1687259619)*(111123.3583+(hmstohdd(G260)-45.1687259619)*(9.77067+(hmstohdd(G260)-45.1687259619)*(5.62487+(hmstohdd(G260)-45.1687259619)*(0.024544*(hmstohdd(G260)-45.1687259619)))))</f>
        <v>-10132324.891605169</v>
      </c>
      <c r="AB260" s="2" t="str">
        <f t="shared" si="27"/>
        <v/>
      </c>
    </row>
    <row r="261" spans="1:28" x14ac:dyDescent="0.2">
      <c r="A261" s="10"/>
      <c r="B261" s="10"/>
      <c r="C261" s="8"/>
      <c r="D261" s="8"/>
      <c r="E261" s="8"/>
      <c r="F261" s="10"/>
      <c r="G261" s="57"/>
      <c r="H261" s="57"/>
      <c r="J261" s="2">
        <f t="shared" si="28"/>
        <v>0</v>
      </c>
      <c r="K261" s="2">
        <f t="shared" ref="K261:K300" si="30">38912349.5578/EXP(0.709186016884*J261)</f>
        <v>38912349.557800002</v>
      </c>
      <c r="L261" s="2">
        <f t="shared" ref="L261:L300" si="31">0.709186016884*(2.10312174865317-RADIANS(hmstohdd(H261)))</f>
        <v>1.4915045359494545</v>
      </c>
      <c r="N261" s="4" t="str">
        <f t="shared" ref="N261:N300" si="32">IF(J261&lt;&gt;0,21383283.1243-(K261*COS(L261)),"")</f>
        <v/>
      </c>
      <c r="P261" s="4" t="str">
        <f t="shared" ref="P261:P300" si="33">IF(J261&lt;&gt;0,8202099.7375+(K261*SIN(L261)),"")</f>
        <v/>
      </c>
      <c r="AA261" s="2">
        <f t="shared" si="29"/>
        <v>-10132324.891605169</v>
      </c>
      <c r="AB261" s="2" t="str">
        <f t="shared" ref="AB261:AB300" si="34">IF(H261&lt;&gt;0,0.999894582577+0.0000000000000122939*AA261^2+6.35E-22*AA261^3,"")</f>
        <v/>
      </c>
    </row>
    <row r="262" spans="1:28" x14ac:dyDescent="0.2">
      <c r="A262" s="10"/>
      <c r="B262" s="10"/>
      <c r="C262" s="8"/>
      <c r="D262" s="8"/>
      <c r="E262" s="8"/>
      <c r="F262" s="10"/>
      <c r="G262" s="57"/>
      <c r="H262" s="57"/>
      <c r="J262" s="2">
        <f t="shared" si="28"/>
        <v>0</v>
      </c>
      <c r="K262" s="2">
        <f t="shared" si="30"/>
        <v>38912349.557800002</v>
      </c>
      <c r="L262" s="2">
        <f t="shared" si="31"/>
        <v>1.4915045359494545</v>
      </c>
      <c r="N262" s="4" t="str">
        <f t="shared" si="32"/>
        <v/>
      </c>
      <c r="P262" s="4" t="str">
        <f t="shared" si="33"/>
        <v/>
      </c>
      <c r="AA262" s="2">
        <f t="shared" si="29"/>
        <v>-10132324.891605169</v>
      </c>
      <c r="AB262" s="2" t="str">
        <f t="shared" si="34"/>
        <v/>
      </c>
    </row>
    <row r="263" spans="1:28" x14ac:dyDescent="0.2">
      <c r="A263" s="10"/>
      <c r="B263" s="10"/>
      <c r="C263" s="8"/>
      <c r="D263" s="8"/>
      <c r="E263" s="8"/>
      <c r="F263" s="10"/>
      <c r="G263" s="57"/>
      <c r="H263" s="57"/>
      <c r="J263" s="2">
        <f t="shared" si="28"/>
        <v>0</v>
      </c>
      <c r="K263" s="2">
        <f t="shared" si="30"/>
        <v>38912349.557800002</v>
      </c>
      <c r="L263" s="2">
        <f t="shared" si="31"/>
        <v>1.4915045359494545</v>
      </c>
      <c r="N263" s="4" t="str">
        <f t="shared" si="32"/>
        <v/>
      </c>
      <c r="P263" s="4" t="str">
        <f t="shared" si="33"/>
        <v/>
      </c>
      <c r="AA263" s="2">
        <f t="shared" si="29"/>
        <v>-10132324.891605169</v>
      </c>
      <c r="AB263" s="2" t="str">
        <f t="shared" si="34"/>
        <v/>
      </c>
    </row>
    <row r="264" spans="1:28" x14ac:dyDescent="0.2">
      <c r="A264" s="10"/>
      <c r="B264" s="10"/>
      <c r="C264" s="8"/>
      <c r="D264" s="8"/>
      <c r="E264" s="8"/>
      <c r="F264" s="10"/>
      <c r="G264" s="57"/>
      <c r="H264" s="57"/>
      <c r="J264" s="2">
        <f t="shared" si="28"/>
        <v>0</v>
      </c>
      <c r="K264" s="2">
        <f t="shared" si="30"/>
        <v>38912349.557800002</v>
      </c>
      <c r="L264" s="2">
        <f t="shared" si="31"/>
        <v>1.4915045359494545</v>
      </c>
      <c r="N264" s="4" t="str">
        <f t="shared" si="32"/>
        <v/>
      </c>
      <c r="P264" s="4" t="str">
        <f t="shared" si="33"/>
        <v/>
      </c>
      <c r="AA264" s="2">
        <f t="shared" si="29"/>
        <v>-10132324.891605169</v>
      </c>
      <c r="AB264" s="2" t="str">
        <f t="shared" si="34"/>
        <v/>
      </c>
    </row>
    <row r="265" spans="1:28" x14ac:dyDescent="0.2">
      <c r="A265" s="10"/>
      <c r="B265" s="10"/>
      <c r="C265" s="8"/>
      <c r="D265" s="8"/>
      <c r="E265" s="8"/>
      <c r="F265" s="10"/>
      <c r="G265" s="57"/>
      <c r="H265" s="57"/>
      <c r="J265" s="2">
        <f t="shared" si="28"/>
        <v>0</v>
      </c>
      <c r="K265" s="2">
        <f t="shared" si="30"/>
        <v>38912349.557800002</v>
      </c>
      <c r="L265" s="2">
        <f t="shared" si="31"/>
        <v>1.4915045359494545</v>
      </c>
      <c r="N265" s="4" t="str">
        <f t="shared" si="32"/>
        <v/>
      </c>
      <c r="P265" s="4" t="str">
        <f t="shared" si="33"/>
        <v/>
      </c>
      <c r="AA265" s="2">
        <f t="shared" si="29"/>
        <v>-10132324.891605169</v>
      </c>
      <c r="AB265" s="2" t="str">
        <f t="shared" si="34"/>
        <v/>
      </c>
    </row>
    <row r="266" spans="1:28" x14ac:dyDescent="0.2">
      <c r="A266" s="10"/>
      <c r="B266" s="10"/>
      <c r="C266" s="8"/>
      <c r="D266" s="8"/>
      <c r="E266" s="8"/>
      <c r="F266" s="10"/>
      <c r="G266" s="57"/>
      <c r="H266" s="57"/>
      <c r="J266" s="2">
        <f t="shared" si="28"/>
        <v>0</v>
      </c>
      <c r="K266" s="2">
        <f t="shared" si="30"/>
        <v>38912349.557800002</v>
      </c>
      <c r="L266" s="2">
        <f t="shared" si="31"/>
        <v>1.4915045359494545</v>
      </c>
      <c r="N266" s="4" t="str">
        <f t="shared" si="32"/>
        <v/>
      </c>
      <c r="P266" s="4" t="str">
        <f t="shared" si="33"/>
        <v/>
      </c>
      <c r="AA266" s="2">
        <f t="shared" si="29"/>
        <v>-10132324.891605169</v>
      </c>
      <c r="AB266" s="2" t="str">
        <f t="shared" si="34"/>
        <v/>
      </c>
    </row>
    <row r="267" spans="1:28" x14ac:dyDescent="0.2">
      <c r="A267" s="10"/>
      <c r="B267" s="10"/>
      <c r="C267" s="8"/>
      <c r="D267" s="8"/>
      <c r="E267" s="8"/>
      <c r="F267" s="10"/>
      <c r="G267" s="57"/>
      <c r="H267" s="57"/>
      <c r="J267" s="2">
        <f t="shared" si="28"/>
        <v>0</v>
      </c>
      <c r="K267" s="2">
        <f t="shared" si="30"/>
        <v>38912349.557800002</v>
      </c>
      <c r="L267" s="2">
        <f t="shared" si="31"/>
        <v>1.4915045359494545</v>
      </c>
      <c r="N267" s="4" t="str">
        <f t="shared" si="32"/>
        <v/>
      </c>
      <c r="P267" s="4" t="str">
        <f t="shared" si="33"/>
        <v/>
      </c>
      <c r="AA267" s="2">
        <f t="shared" si="29"/>
        <v>-10132324.891605169</v>
      </c>
      <c r="AB267" s="2" t="str">
        <f t="shared" si="34"/>
        <v/>
      </c>
    </row>
    <row r="268" spans="1:28" x14ac:dyDescent="0.2">
      <c r="A268" s="10"/>
      <c r="B268" s="10"/>
      <c r="C268" s="8"/>
      <c r="D268" s="8"/>
      <c r="E268" s="8"/>
      <c r="F268" s="10"/>
      <c r="G268" s="57"/>
      <c r="H268" s="57"/>
      <c r="J268" s="2">
        <f t="shared" si="28"/>
        <v>0</v>
      </c>
      <c r="K268" s="2">
        <f t="shared" si="30"/>
        <v>38912349.557800002</v>
      </c>
      <c r="L268" s="2">
        <f t="shared" si="31"/>
        <v>1.4915045359494545</v>
      </c>
      <c r="N268" s="4" t="str">
        <f t="shared" si="32"/>
        <v/>
      </c>
      <c r="P268" s="4" t="str">
        <f t="shared" si="33"/>
        <v/>
      </c>
      <c r="AA268" s="2">
        <f t="shared" si="29"/>
        <v>-10132324.891605169</v>
      </c>
      <c r="AB268" s="2" t="str">
        <f t="shared" si="34"/>
        <v/>
      </c>
    </row>
    <row r="269" spans="1:28" x14ac:dyDescent="0.2">
      <c r="A269" s="10"/>
      <c r="B269" s="10"/>
      <c r="C269" s="8"/>
      <c r="D269" s="8"/>
      <c r="E269" s="8"/>
      <c r="F269" s="10"/>
      <c r="G269" s="57"/>
      <c r="H269" s="57"/>
      <c r="J269" s="2">
        <f t="shared" si="28"/>
        <v>0</v>
      </c>
      <c r="K269" s="2">
        <f t="shared" si="30"/>
        <v>38912349.557800002</v>
      </c>
      <c r="L269" s="2">
        <f t="shared" si="31"/>
        <v>1.4915045359494545</v>
      </c>
      <c r="N269" s="4" t="str">
        <f t="shared" si="32"/>
        <v/>
      </c>
      <c r="P269" s="4" t="str">
        <f t="shared" si="33"/>
        <v/>
      </c>
      <c r="AA269" s="2">
        <f t="shared" si="29"/>
        <v>-10132324.891605169</v>
      </c>
      <c r="AB269" s="2" t="str">
        <f t="shared" si="34"/>
        <v/>
      </c>
    </row>
    <row r="270" spans="1:28" x14ac:dyDescent="0.2">
      <c r="A270" s="10"/>
      <c r="B270" s="10"/>
      <c r="C270" s="8"/>
      <c r="D270" s="8"/>
      <c r="E270" s="8"/>
      <c r="F270" s="10"/>
      <c r="G270" s="57"/>
      <c r="H270" s="57"/>
      <c r="J270" s="2">
        <f t="shared" si="28"/>
        <v>0</v>
      </c>
      <c r="K270" s="2">
        <f t="shared" si="30"/>
        <v>38912349.557800002</v>
      </c>
      <c r="L270" s="2">
        <f t="shared" si="31"/>
        <v>1.4915045359494545</v>
      </c>
      <c r="N270" s="4" t="str">
        <f t="shared" si="32"/>
        <v/>
      </c>
      <c r="P270" s="4" t="str">
        <f t="shared" si="33"/>
        <v/>
      </c>
      <c r="AA270" s="2">
        <f t="shared" si="29"/>
        <v>-10132324.891605169</v>
      </c>
      <c r="AB270" s="2" t="str">
        <f t="shared" si="34"/>
        <v/>
      </c>
    </row>
    <row r="271" spans="1:28" x14ac:dyDescent="0.2">
      <c r="A271" s="10"/>
      <c r="B271" s="10"/>
      <c r="C271" s="8"/>
      <c r="D271" s="8"/>
      <c r="E271" s="8"/>
      <c r="F271" s="10"/>
      <c r="G271" s="57"/>
      <c r="H271" s="57"/>
      <c r="J271" s="2">
        <f t="shared" si="28"/>
        <v>0</v>
      </c>
      <c r="K271" s="2">
        <f t="shared" si="30"/>
        <v>38912349.557800002</v>
      </c>
      <c r="L271" s="2">
        <f t="shared" si="31"/>
        <v>1.4915045359494545</v>
      </c>
      <c r="N271" s="4" t="str">
        <f t="shared" si="32"/>
        <v/>
      </c>
      <c r="P271" s="4" t="str">
        <f t="shared" si="33"/>
        <v/>
      </c>
      <c r="AA271" s="2">
        <f t="shared" si="29"/>
        <v>-10132324.891605169</v>
      </c>
      <c r="AB271" s="2" t="str">
        <f t="shared" si="34"/>
        <v/>
      </c>
    </row>
    <row r="272" spans="1:28" x14ac:dyDescent="0.2">
      <c r="A272" s="10"/>
      <c r="B272" s="10"/>
      <c r="C272" s="8"/>
      <c r="D272" s="8"/>
      <c r="E272" s="8"/>
      <c r="F272" s="10"/>
      <c r="G272" s="57"/>
      <c r="H272" s="57"/>
      <c r="J272" s="2">
        <f t="shared" si="28"/>
        <v>0</v>
      </c>
      <c r="K272" s="2">
        <f t="shared" si="30"/>
        <v>38912349.557800002</v>
      </c>
      <c r="L272" s="2">
        <f t="shared" si="31"/>
        <v>1.4915045359494545</v>
      </c>
      <c r="N272" s="4" t="str">
        <f t="shared" si="32"/>
        <v/>
      </c>
      <c r="P272" s="4" t="str">
        <f t="shared" si="33"/>
        <v/>
      </c>
      <c r="AA272" s="2">
        <f t="shared" si="29"/>
        <v>-10132324.891605169</v>
      </c>
      <c r="AB272" s="2" t="str">
        <f t="shared" si="34"/>
        <v/>
      </c>
    </row>
    <row r="273" spans="1:28" x14ac:dyDescent="0.2">
      <c r="A273" s="10"/>
      <c r="B273" s="10"/>
      <c r="C273" s="8"/>
      <c r="D273" s="8"/>
      <c r="E273" s="8"/>
      <c r="F273" s="10"/>
      <c r="G273" s="57"/>
      <c r="H273" s="57"/>
      <c r="J273" s="2">
        <f t="shared" si="28"/>
        <v>0</v>
      </c>
      <c r="K273" s="2">
        <f t="shared" si="30"/>
        <v>38912349.557800002</v>
      </c>
      <c r="L273" s="2">
        <f t="shared" si="31"/>
        <v>1.4915045359494545</v>
      </c>
      <c r="N273" s="4" t="str">
        <f t="shared" si="32"/>
        <v/>
      </c>
      <c r="P273" s="4" t="str">
        <f t="shared" si="33"/>
        <v/>
      </c>
      <c r="AA273" s="2">
        <f t="shared" si="29"/>
        <v>-10132324.891605169</v>
      </c>
      <c r="AB273" s="2" t="str">
        <f t="shared" si="34"/>
        <v/>
      </c>
    </row>
    <row r="274" spans="1:28" x14ac:dyDescent="0.2">
      <c r="A274" s="10"/>
      <c r="B274" s="10"/>
      <c r="C274" s="8"/>
      <c r="D274" s="8"/>
      <c r="E274" s="8"/>
      <c r="F274" s="10"/>
      <c r="G274" s="57"/>
      <c r="H274" s="57"/>
      <c r="J274" s="2">
        <f t="shared" si="28"/>
        <v>0</v>
      </c>
      <c r="K274" s="2">
        <f t="shared" si="30"/>
        <v>38912349.557800002</v>
      </c>
      <c r="L274" s="2">
        <f t="shared" si="31"/>
        <v>1.4915045359494545</v>
      </c>
      <c r="N274" s="4" t="str">
        <f t="shared" si="32"/>
        <v/>
      </c>
      <c r="P274" s="4" t="str">
        <f t="shared" si="33"/>
        <v/>
      </c>
      <c r="AA274" s="2">
        <f t="shared" si="29"/>
        <v>-10132324.891605169</v>
      </c>
      <c r="AB274" s="2" t="str">
        <f t="shared" si="34"/>
        <v/>
      </c>
    </row>
    <row r="275" spans="1:28" x14ac:dyDescent="0.2">
      <c r="A275" s="10"/>
      <c r="B275" s="10"/>
      <c r="C275" s="8"/>
      <c r="D275" s="8"/>
      <c r="E275" s="8"/>
      <c r="F275" s="10"/>
      <c r="G275" s="57"/>
      <c r="H275" s="57"/>
      <c r="J275" s="2">
        <f t="shared" si="28"/>
        <v>0</v>
      </c>
      <c r="K275" s="2">
        <f t="shared" si="30"/>
        <v>38912349.557800002</v>
      </c>
      <c r="L275" s="2">
        <f t="shared" si="31"/>
        <v>1.4915045359494545</v>
      </c>
      <c r="N275" s="4" t="str">
        <f t="shared" si="32"/>
        <v/>
      </c>
      <c r="P275" s="4" t="str">
        <f t="shared" si="33"/>
        <v/>
      </c>
      <c r="AA275" s="2">
        <f t="shared" si="29"/>
        <v>-10132324.891605169</v>
      </c>
      <c r="AB275" s="2" t="str">
        <f t="shared" si="34"/>
        <v/>
      </c>
    </row>
    <row r="276" spans="1:28" x14ac:dyDescent="0.2">
      <c r="A276" s="10"/>
      <c r="B276" s="10"/>
      <c r="C276" s="8"/>
      <c r="D276" s="8"/>
      <c r="E276" s="8"/>
      <c r="F276" s="10"/>
      <c r="G276" s="57"/>
      <c r="H276" s="57"/>
      <c r="J276" s="2">
        <f t="shared" si="28"/>
        <v>0</v>
      </c>
      <c r="K276" s="2">
        <f t="shared" si="30"/>
        <v>38912349.557800002</v>
      </c>
      <c r="L276" s="2">
        <f t="shared" si="31"/>
        <v>1.4915045359494545</v>
      </c>
      <c r="N276" s="4" t="str">
        <f t="shared" si="32"/>
        <v/>
      </c>
      <c r="P276" s="4" t="str">
        <f t="shared" si="33"/>
        <v/>
      </c>
      <c r="AA276" s="2">
        <f t="shared" si="29"/>
        <v>-10132324.891605169</v>
      </c>
      <c r="AB276" s="2" t="str">
        <f t="shared" si="34"/>
        <v/>
      </c>
    </row>
    <row r="277" spans="1:28" x14ac:dyDescent="0.2">
      <c r="A277" s="10"/>
      <c r="B277" s="10"/>
      <c r="C277" s="8"/>
      <c r="D277" s="8"/>
      <c r="E277" s="8"/>
      <c r="F277" s="10"/>
      <c r="G277" s="57"/>
      <c r="H277" s="57"/>
      <c r="J277" s="2">
        <f t="shared" si="28"/>
        <v>0</v>
      </c>
      <c r="K277" s="2">
        <f t="shared" si="30"/>
        <v>38912349.557800002</v>
      </c>
      <c r="L277" s="2">
        <f t="shared" si="31"/>
        <v>1.4915045359494545</v>
      </c>
      <c r="N277" s="4" t="str">
        <f t="shared" si="32"/>
        <v/>
      </c>
      <c r="P277" s="4" t="str">
        <f t="shared" si="33"/>
        <v/>
      </c>
      <c r="AA277" s="2">
        <f t="shared" si="29"/>
        <v>-10132324.891605169</v>
      </c>
      <c r="AB277" s="2" t="str">
        <f t="shared" si="34"/>
        <v/>
      </c>
    </row>
    <row r="278" spans="1:28" x14ac:dyDescent="0.2">
      <c r="A278" s="10"/>
      <c r="B278" s="10"/>
      <c r="C278" s="8"/>
      <c r="D278" s="8"/>
      <c r="E278" s="8"/>
      <c r="F278" s="10"/>
      <c r="G278" s="57"/>
      <c r="H278" s="57"/>
      <c r="J278" s="2">
        <f t="shared" si="28"/>
        <v>0</v>
      </c>
      <c r="K278" s="2">
        <f t="shared" si="30"/>
        <v>38912349.557800002</v>
      </c>
      <c r="L278" s="2">
        <f t="shared" si="31"/>
        <v>1.4915045359494545</v>
      </c>
      <c r="N278" s="4" t="str">
        <f t="shared" si="32"/>
        <v/>
      </c>
      <c r="P278" s="4" t="str">
        <f t="shared" si="33"/>
        <v/>
      </c>
      <c r="AA278" s="2">
        <f t="shared" si="29"/>
        <v>-10132324.891605169</v>
      </c>
      <c r="AB278" s="2" t="str">
        <f t="shared" si="34"/>
        <v/>
      </c>
    </row>
    <row r="279" spans="1:28" x14ac:dyDescent="0.2">
      <c r="A279" s="10"/>
      <c r="B279" s="10"/>
      <c r="C279" s="8"/>
      <c r="D279" s="8"/>
      <c r="E279" s="8"/>
      <c r="F279" s="10"/>
      <c r="G279" s="57"/>
      <c r="H279" s="57"/>
      <c r="J279" s="2">
        <f t="shared" si="28"/>
        <v>0</v>
      </c>
      <c r="K279" s="2">
        <f t="shared" si="30"/>
        <v>38912349.557800002</v>
      </c>
      <c r="L279" s="2">
        <f t="shared" si="31"/>
        <v>1.4915045359494545</v>
      </c>
      <c r="N279" s="4" t="str">
        <f t="shared" si="32"/>
        <v/>
      </c>
      <c r="P279" s="4" t="str">
        <f t="shared" si="33"/>
        <v/>
      </c>
      <c r="AA279" s="2">
        <f t="shared" si="29"/>
        <v>-10132324.891605169</v>
      </c>
      <c r="AB279" s="2" t="str">
        <f t="shared" si="34"/>
        <v/>
      </c>
    </row>
    <row r="280" spans="1:28" x14ac:dyDescent="0.2">
      <c r="A280" s="10"/>
      <c r="B280" s="10"/>
      <c r="C280" s="8"/>
      <c r="D280" s="8"/>
      <c r="E280" s="8"/>
      <c r="F280" s="10"/>
      <c r="G280" s="57"/>
      <c r="H280" s="57"/>
      <c r="J280" s="2">
        <f t="shared" si="28"/>
        <v>0</v>
      </c>
      <c r="K280" s="2">
        <f t="shared" si="30"/>
        <v>38912349.557800002</v>
      </c>
      <c r="L280" s="2">
        <f t="shared" si="31"/>
        <v>1.4915045359494545</v>
      </c>
      <c r="N280" s="4" t="str">
        <f t="shared" si="32"/>
        <v/>
      </c>
      <c r="P280" s="4" t="str">
        <f t="shared" si="33"/>
        <v/>
      </c>
      <c r="AA280" s="2">
        <f t="shared" si="29"/>
        <v>-10132324.891605169</v>
      </c>
      <c r="AB280" s="2" t="str">
        <f t="shared" si="34"/>
        <v/>
      </c>
    </row>
    <row r="281" spans="1:28" x14ac:dyDescent="0.2">
      <c r="A281" s="10"/>
      <c r="B281" s="10"/>
      <c r="C281" s="8"/>
      <c r="D281" s="8"/>
      <c r="E281" s="8"/>
      <c r="F281" s="10"/>
      <c r="G281" s="57"/>
      <c r="H281" s="57"/>
      <c r="J281" s="2">
        <f t="shared" si="28"/>
        <v>0</v>
      </c>
      <c r="K281" s="2">
        <f t="shared" si="30"/>
        <v>38912349.557800002</v>
      </c>
      <c r="L281" s="2">
        <f t="shared" si="31"/>
        <v>1.4915045359494545</v>
      </c>
      <c r="N281" s="4" t="str">
        <f t="shared" si="32"/>
        <v/>
      </c>
      <c r="P281" s="4" t="str">
        <f t="shared" si="33"/>
        <v/>
      </c>
      <c r="AA281" s="2">
        <f t="shared" si="29"/>
        <v>-10132324.891605169</v>
      </c>
      <c r="AB281" s="2" t="str">
        <f t="shared" si="34"/>
        <v/>
      </c>
    </row>
    <row r="282" spans="1:28" x14ac:dyDescent="0.2">
      <c r="A282" s="10"/>
      <c r="B282" s="10"/>
      <c r="C282" s="8"/>
      <c r="D282" s="8"/>
      <c r="E282" s="8"/>
      <c r="F282" s="10"/>
      <c r="G282" s="57"/>
      <c r="H282" s="57"/>
      <c r="J282" s="2">
        <f t="shared" si="28"/>
        <v>0</v>
      </c>
      <c r="K282" s="2">
        <f t="shared" si="30"/>
        <v>38912349.557800002</v>
      </c>
      <c r="L282" s="2">
        <f t="shared" si="31"/>
        <v>1.4915045359494545</v>
      </c>
      <c r="N282" s="4" t="str">
        <f t="shared" si="32"/>
        <v/>
      </c>
      <c r="P282" s="4" t="str">
        <f t="shared" si="33"/>
        <v/>
      </c>
      <c r="AA282" s="2">
        <f t="shared" si="29"/>
        <v>-10132324.891605169</v>
      </c>
      <c r="AB282" s="2" t="str">
        <f t="shared" si="34"/>
        <v/>
      </c>
    </row>
    <row r="283" spans="1:28" x14ac:dyDescent="0.2">
      <c r="A283" s="10"/>
      <c r="B283" s="10"/>
      <c r="C283" s="8"/>
      <c r="D283" s="8"/>
      <c r="E283" s="8"/>
      <c r="F283" s="10"/>
      <c r="G283" s="57"/>
      <c r="H283" s="57"/>
      <c r="J283" s="2">
        <f t="shared" si="28"/>
        <v>0</v>
      </c>
      <c r="K283" s="2">
        <f t="shared" si="30"/>
        <v>38912349.557800002</v>
      </c>
      <c r="L283" s="2">
        <f t="shared" si="31"/>
        <v>1.4915045359494545</v>
      </c>
      <c r="N283" s="4" t="str">
        <f t="shared" si="32"/>
        <v/>
      </c>
      <c r="P283" s="4" t="str">
        <f t="shared" si="33"/>
        <v/>
      </c>
      <c r="AA283" s="2">
        <f t="shared" si="29"/>
        <v>-10132324.891605169</v>
      </c>
      <c r="AB283" s="2" t="str">
        <f t="shared" si="34"/>
        <v/>
      </c>
    </row>
    <row r="284" spans="1:28" x14ac:dyDescent="0.2">
      <c r="A284" s="10"/>
      <c r="B284" s="10"/>
      <c r="C284" s="8"/>
      <c r="D284" s="8"/>
      <c r="E284" s="8"/>
      <c r="F284" s="10"/>
      <c r="G284" s="57"/>
      <c r="H284" s="57"/>
      <c r="J284" s="2">
        <f t="shared" si="28"/>
        <v>0</v>
      </c>
      <c r="K284" s="2">
        <f t="shared" si="30"/>
        <v>38912349.557800002</v>
      </c>
      <c r="L284" s="2">
        <f t="shared" si="31"/>
        <v>1.4915045359494545</v>
      </c>
      <c r="N284" s="4" t="str">
        <f t="shared" si="32"/>
        <v/>
      </c>
      <c r="P284" s="4" t="str">
        <f t="shared" si="33"/>
        <v/>
      </c>
      <c r="AA284" s="2">
        <f t="shared" si="29"/>
        <v>-10132324.891605169</v>
      </c>
      <c r="AB284" s="2" t="str">
        <f t="shared" si="34"/>
        <v/>
      </c>
    </row>
    <row r="285" spans="1:28" x14ac:dyDescent="0.2">
      <c r="A285" s="10"/>
      <c r="B285" s="10"/>
      <c r="C285" s="8"/>
      <c r="D285" s="8"/>
      <c r="E285" s="8"/>
      <c r="F285" s="10"/>
      <c r="G285" s="57"/>
      <c r="H285" s="57"/>
      <c r="J285" s="2">
        <f t="shared" si="28"/>
        <v>0</v>
      </c>
      <c r="K285" s="2">
        <f t="shared" si="30"/>
        <v>38912349.557800002</v>
      </c>
      <c r="L285" s="2">
        <f t="shared" si="31"/>
        <v>1.4915045359494545</v>
      </c>
      <c r="N285" s="4" t="str">
        <f t="shared" si="32"/>
        <v/>
      </c>
      <c r="P285" s="4" t="str">
        <f t="shared" si="33"/>
        <v/>
      </c>
      <c r="AA285" s="2">
        <f t="shared" si="29"/>
        <v>-10132324.891605169</v>
      </c>
      <c r="AB285" s="2" t="str">
        <f t="shared" si="34"/>
        <v/>
      </c>
    </row>
    <row r="286" spans="1:28" x14ac:dyDescent="0.2">
      <c r="A286" s="10"/>
      <c r="B286" s="10"/>
      <c r="C286" s="8"/>
      <c r="D286" s="8"/>
      <c r="E286" s="8"/>
      <c r="F286" s="10"/>
      <c r="G286" s="57"/>
      <c r="H286" s="57"/>
      <c r="J286" s="2">
        <f t="shared" si="28"/>
        <v>0</v>
      </c>
      <c r="K286" s="2">
        <f t="shared" si="30"/>
        <v>38912349.557800002</v>
      </c>
      <c r="L286" s="2">
        <f t="shared" si="31"/>
        <v>1.4915045359494545</v>
      </c>
      <c r="N286" s="4" t="str">
        <f t="shared" si="32"/>
        <v/>
      </c>
      <c r="P286" s="4" t="str">
        <f t="shared" si="33"/>
        <v/>
      </c>
      <c r="AA286" s="2">
        <f t="shared" si="29"/>
        <v>-10132324.891605169</v>
      </c>
      <c r="AB286" s="2" t="str">
        <f t="shared" si="34"/>
        <v/>
      </c>
    </row>
    <row r="287" spans="1:28" x14ac:dyDescent="0.2">
      <c r="A287" s="10"/>
      <c r="B287" s="10"/>
      <c r="C287" s="8"/>
      <c r="D287" s="8"/>
      <c r="E287" s="8"/>
      <c r="F287" s="10"/>
      <c r="G287" s="57"/>
      <c r="H287" s="57"/>
      <c r="J287" s="2">
        <f t="shared" si="28"/>
        <v>0</v>
      </c>
      <c r="K287" s="2">
        <f t="shared" si="30"/>
        <v>38912349.557800002</v>
      </c>
      <c r="L287" s="2">
        <f t="shared" si="31"/>
        <v>1.4915045359494545</v>
      </c>
      <c r="N287" s="4" t="str">
        <f t="shared" si="32"/>
        <v/>
      </c>
      <c r="P287" s="4" t="str">
        <f t="shared" si="33"/>
        <v/>
      </c>
      <c r="AA287" s="2">
        <f t="shared" si="29"/>
        <v>-10132324.891605169</v>
      </c>
      <c r="AB287" s="2" t="str">
        <f t="shared" si="34"/>
        <v/>
      </c>
    </row>
    <row r="288" spans="1:28" x14ac:dyDescent="0.2">
      <c r="A288" s="10"/>
      <c r="B288" s="10"/>
      <c r="C288" s="8"/>
      <c r="D288" s="8"/>
      <c r="E288" s="8"/>
      <c r="F288" s="10"/>
      <c r="G288" s="57"/>
      <c r="H288" s="57"/>
      <c r="J288" s="2">
        <f t="shared" si="28"/>
        <v>0</v>
      </c>
      <c r="K288" s="2">
        <f t="shared" si="30"/>
        <v>38912349.557800002</v>
      </c>
      <c r="L288" s="2">
        <f t="shared" si="31"/>
        <v>1.4915045359494545</v>
      </c>
      <c r="N288" s="4" t="str">
        <f t="shared" si="32"/>
        <v/>
      </c>
      <c r="P288" s="4" t="str">
        <f t="shared" si="33"/>
        <v/>
      </c>
      <c r="AA288" s="2">
        <f t="shared" si="29"/>
        <v>-10132324.891605169</v>
      </c>
      <c r="AB288" s="2" t="str">
        <f t="shared" si="34"/>
        <v/>
      </c>
    </row>
    <row r="289" spans="1:28" x14ac:dyDescent="0.2">
      <c r="A289" s="10"/>
      <c r="B289" s="10"/>
      <c r="C289" s="8"/>
      <c r="D289" s="8"/>
      <c r="E289" s="8"/>
      <c r="F289" s="10"/>
      <c r="G289" s="57"/>
      <c r="H289" s="57"/>
      <c r="J289" s="2">
        <f t="shared" si="28"/>
        <v>0</v>
      </c>
      <c r="K289" s="2">
        <f t="shared" si="30"/>
        <v>38912349.557800002</v>
      </c>
      <c r="L289" s="2">
        <f t="shared" si="31"/>
        <v>1.4915045359494545</v>
      </c>
      <c r="N289" s="4" t="str">
        <f t="shared" si="32"/>
        <v/>
      </c>
      <c r="P289" s="4" t="str">
        <f t="shared" si="33"/>
        <v/>
      </c>
      <c r="AA289" s="2">
        <f t="shared" si="29"/>
        <v>-10132324.891605169</v>
      </c>
      <c r="AB289" s="2" t="str">
        <f t="shared" si="34"/>
        <v/>
      </c>
    </row>
    <row r="290" spans="1:28" x14ac:dyDescent="0.2">
      <c r="A290" s="10"/>
      <c r="B290" s="10"/>
      <c r="C290" s="8"/>
      <c r="D290" s="8"/>
      <c r="E290" s="8"/>
      <c r="F290" s="10"/>
      <c r="G290" s="57"/>
      <c r="H290" s="57"/>
      <c r="J290" s="2">
        <f t="shared" si="28"/>
        <v>0</v>
      </c>
      <c r="K290" s="2">
        <f t="shared" si="30"/>
        <v>38912349.557800002</v>
      </c>
      <c r="L290" s="2">
        <f t="shared" si="31"/>
        <v>1.4915045359494545</v>
      </c>
      <c r="N290" s="4" t="str">
        <f t="shared" si="32"/>
        <v/>
      </c>
      <c r="P290" s="4" t="str">
        <f t="shared" si="33"/>
        <v/>
      </c>
      <c r="AA290" s="2">
        <f t="shared" si="29"/>
        <v>-10132324.891605169</v>
      </c>
      <c r="AB290" s="2" t="str">
        <f t="shared" si="34"/>
        <v/>
      </c>
    </row>
    <row r="291" spans="1:28" x14ac:dyDescent="0.2">
      <c r="A291" s="10"/>
      <c r="B291" s="10"/>
      <c r="C291" s="8"/>
      <c r="D291" s="8"/>
      <c r="E291" s="8"/>
      <c r="F291" s="10"/>
      <c r="G291" s="57"/>
      <c r="H291" s="57"/>
      <c r="J291" s="2">
        <f t="shared" si="28"/>
        <v>0</v>
      </c>
      <c r="K291" s="2">
        <f t="shared" si="30"/>
        <v>38912349.557800002</v>
      </c>
      <c r="L291" s="2">
        <f t="shared" si="31"/>
        <v>1.4915045359494545</v>
      </c>
      <c r="N291" s="4" t="str">
        <f t="shared" si="32"/>
        <v/>
      </c>
      <c r="P291" s="4" t="str">
        <f t="shared" si="33"/>
        <v/>
      </c>
      <c r="AA291" s="2">
        <f t="shared" si="29"/>
        <v>-10132324.891605169</v>
      </c>
      <c r="AB291" s="2" t="str">
        <f t="shared" si="34"/>
        <v/>
      </c>
    </row>
    <row r="292" spans="1:28" x14ac:dyDescent="0.2">
      <c r="A292" s="10"/>
      <c r="B292" s="10"/>
      <c r="C292" s="8"/>
      <c r="D292" s="8"/>
      <c r="E292" s="8"/>
      <c r="F292" s="10"/>
      <c r="G292" s="57"/>
      <c r="H292" s="57"/>
      <c r="J292" s="2">
        <f t="shared" si="28"/>
        <v>0</v>
      </c>
      <c r="K292" s="2">
        <f t="shared" si="30"/>
        <v>38912349.557800002</v>
      </c>
      <c r="L292" s="2">
        <f t="shared" si="31"/>
        <v>1.4915045359494545</v>
      </c>
      <c r="N292" s="4" t="str">
        <f t="shared" si="32"/>
        <v/>
      </c>
      <c r="P292" s="4" t="str">
        <f t="shared" si="33"/>
        <v/>
      </c>
      <c r="AA292" s="2">
        <f t="shared" si="29"/>
        <v>-10132324.891605169</v>
      </c>
      <c r="AB292" s="2" t="str">
        <f t="shared" si="34"/>
        <v/>
      </c>
    </row>
    <row r="293" spans="1:28" x14ac:dyDescent="0.2">
      <c r="A293" s="10"/>
      <c r="B293" s="10"/>
      <c r="C293" s="8"/>
      <c r="D293" s="8"/>
      <c r="E293" s="8"/>
      <c r="F293" s="10"/>
      <c r="G293" s="57"/>
      <c r="H293" s="57"/>
      <c r="J293" s="2">
        <f t="shared" si="28"/>
        <v>0</v>
      </c>
      <c r="K293" s="2">
        <f t="shared" si="30"/>
        <v>38912349.557800002</v>
      </c>
      <c r="L293" s="2">
        <f t="shared" si="31"/>
        <v>1.4915045359494545</v>
      </c>
      <c r="N293" s="4" t="str">
        <f t="shared" si="32"/>
        <v/>
      </c>
      <c r="P293" s="4" t="str">
        <f t="shared" si="33"/>
        <v/>
      </c>
      <c r="AA293" s="2">
        <f t="shared" si="29"/>
        <v>-10132324.891605169</v>
      </c>
      <c r="AB293" s="2" t="str">
        <f t="shared" si="34"/>
        <v/>
      </c>
    </row>
    <row r="294" spans="1:28" x14ac:dyDescent="0.2">
      <c r="A294" s="10"/>
      <c r="B294" s="10"/>
      <c r="C294" s="8"/>
      <c r="D294" s="8"/>
      <c r="E294" s="8"/>
      <c r="F294" s="10"/>
      <c r="G294" s="57"/>
      <c r="H294" s="57"/>
      <c r="J294" s="2">
        <f t="shared" si="28"/>
        <v>0</v>
      </c>
      <c r="K294" s="2">
        <f t="shared" si="30"/>
        <v>38912349.557800002</v>
      </c>
      <c r="L294" s="2">
        <f t="shared" si="31"/>
        <v>1.4915045359494545</v>
      </c>
      <c r="N294" s="4" t="str">
        <f t="shared" si="32"/>
        <v/>
      </c>
      <c r="P294" s="4" t="str">
        <f t="shared" si="33"/>
        <v/>
      </c>
      <c r="AA294" s="2">
        <f t="shared" si="29"/>
        <v>-10132324.891605169</v>
      </c>
      <c r="AB294" s="2" t="str">
        <f t="shared" si="34"/>
        <v/>
      </c>
    </row>
    <row r="295" spans="1:28" x14ac:dyDescent="0.2">
      <c r="A295" s="10"/>
      <c r="B295" s="10"/>
      <c r="C295" s="8"/>
      <c r="D295" s="8"/>
      <c r="E295" s="8"/>
      <c r="F295" s="10"/>
      <c r="G295" s="57"/>
      <c r="H295" s="57"/>
      <c r="J295" s="2">
        <f t="shared" si="28"/>
        <v>0</v>
      </c>
      <c r="K295" s="2">
        <f t="shared" si="30"/>
        <v>38912349.557800002</v>
      </c>
      <c r="L295" s="2">
        <f t="shared" si="31"/>
        <v>1.4915045359494545</v>
      </c>
      <c r="N295" s="4" t="str">
        <f t="shared" si="32"/>
        <v/>
      </c>
      <c r="P295" s="4" t="str">
        <f t="shared" si="33"/>
        <v/>
      </c>
      <c r="AA295" s="2">
        <f t="shared" si="29"/>
        <v>-10132324.891605169</v>
      </c>
      <c r="AB295" s="2" t="str">
        <f t="shared" si="34"/>
        <v/>
      </c>
    </row>
    <row r="296" spans="1:28" x14ac:dyDescent="0.2">
      <c r="A296" s="10"/>
      <c r="B296" s="10"/>
      <c r="C296" s="8"/>
      <c r="D296" s="8"/>
      <c r="E296" s="8"/>
      <c r="F296" s="10"/>
      <c r="G296" s="57"/>
      <c r="H296" s="57"/>
      <c r="J296" s="2">
        <f t="shared" si="28"/>
        <v>0</v>
      </c>
      <c r="K296" s="2">
        <f t="shared" si="30"/>
        <v>38912349.557800002</v>
      </c>
      <c r="L296" s="2">
        <f t="shared" si="31"/>
        <v>1.4915045359494545</v>
      </c>
      <c r="N296" s="4" t="str">
        <f t="shared" si="32"/>
        <v/>
      </c>
      <c r="P296" s="4" t="str">
        <f t="shared" si="33"/>
        <v/>
      </c>
      <c r="AA296" s="2">
        <f t="shared" si="29"/>
        <v>-10132324.891605169</v>
      </c>
      <c r="AB296" s="2" t="str">
        <f t="shared" si="34"/>
        <v/>
      </c>
    </row>
    <row r="297" spans="1:28" x14ac:dyDescent="0.2">
      <c r="A297" s="10"/>
      <c r="B297" s="10"/>
      <c r="C297" s="8"/>
      <c r="D297" s="8"/>
      <c r="E297" s="8"/>
      <c r="F297" s="10"/>
      <c r="G297" s="57"/>
      <c r="H297" s="57"/>
      <c r="J297" s="2">
        <f t="shared" si="28"/>
        <v>0</v>
      </c>
      <c r="K297" s="2">
        <f t="shared" si="30"/>
        <v>38912349.557800002</v>
      </c>
      <c r="L297" s="2">
        <f t="shared" si="31"/>
        <v>1.4915045359494545</v>
      </c>
      <c r="N297" s="4" t="str">
        <f t="shared" si="32"/>
        <v/>
      </c>
      <c r="P297" s="4" t="str">
        <f t="shared" si="33"/>
        <v/>
      </c>
      <c r="AA297" s="2">
        <f t="shared" si="29"/>
        <v>-10132324.891605169</v>
      </c>
      <c r="AB297" s="2" t="str">
        <f t="shared" si="34"/>
        <v/>
      </c>
    </row>
    <row r="298" spans="1:28" x14ac:dyDescent="0.2">
      <c r="A298" s="10"/>
      <c r="B298" s="10"/>
      <c r="C298" s="8"/>
      <c r="D298" s="8"/>
      <c r="E298" s="8"/>
      <c r="F298" s="10"/>
      <c r="G298" s="57"/>
      <c r="H298" s="57"/>
      <c r="J298" s="2">
        <f t="shared" si="28"/>
        <v>0</v>
      </c>
      <c r="K298" s="2">
        <f t="shared" si="30"/>
        <v>38912349.557800002</v>
      </c>
      <c r="L298" s="2">
        <f t="shared" si="31"/>
        <v>1.4915045359494545</v>
      </c>
      <c r="N298" s="4" t="str">
        <f t="shared" si="32"/>
        <v/>
      </c>
      <c r="P298" s="4" t="str">
        <f t="shared" si="33"/>
        <v/>
      </c>
      <c r="AA298" s="2">
        <f t="shared" si="29"/>
        <v>-10132324.891605169</v>
      </c>
      <c r="AB298" s="2" t="str">
        <f t="shared" si="34"/>
        <v/>
      </c>
    </row>
    <row r="299" spans="1:28" x14ac:dyDescent="0.2">
      <c r="A299" s="10"/>
      <c r="B299" s="10"/>
      <c r="C299" s="8"/>
      <c r="D299" s="8"/>
      <c r="E299" s="8"/>
      <c r="F299" s="10"/>
      <c r="G299" s="57"/>
      <c r="H299" s="57"/>
      <c r="J299" s="2">
        <f t="shared" si="28"/>
        <v>0</v>
      </c>
      <c r="K299" s="2">
        <f t="shared" si="30"/>
        <v>38912349.557800002</v>
      </c>
      <c r="L299" s="2">
        <f t="shared" si="31"/>
        <v>1.4915045359494545</v>
      </c>
      <c r="N299" s="4" t="str">
        <f t="shared" si="32"/>
        <v/>
      </c>
      <c r="P299" s="4" t="str">
        <f t="shared" si="33"/>
        <v/>
      </c>
      <c r="AA299" s="2">
        <f t="shared" si="29"/>
        <v>-10132324.891605169</v>
      </c>
      <c r="AB299" s="2" t="str">
        <f t="shared" si="34"/>
        <v/>
      </c>
    </row>
    <row r="300" spans="1:28" x14ac:dyDescent="0.2">
      <c r="A300" s="10"/>
      <c r="B300" s="10"/>
      <c r="C300" s="8"/>
      <c r="D300" s="8"/>
      <c r="E300" s="8"/>
      <c r="F300" s="10"/>
      <c r="G300" s="57"/>
      <c r="H300" s="57"/>
      <c r="J300" s="2">
        <f t="shared" si="28"/>
        <v>0</v>
      </c>
      <c r="K300" s="2">
        <f t="shared" si="30"/>
        <v>38912349.557800002</v>
      </c>
      <c r="L300" s="2">
        <f t="shared" si="31"/>
        <v>1.4915045359494545</v>
      </c>
      <c r="N300" s="4" t="str">
        <f t="shared" si="32"/>
        <v/>
      </c>
      <c r="P300" s="4" t="str">
        <f t="shared" si="33"/>
        <v/>
      </c>
      <c r="AA300" s="2">
        <f t="shared" si="29"/>
        <v>-10132324.891605169</v>
      </c>
      <c r="AB300" s="2" t="str">
        <f t="shared" si="34"/>
        <v/>
      </c>
    </row>
  </sheetData>
  <mergeCells count="4">
    <mergeCell ref="A1:G1"/>
    <mergeCell ref="U2:X2"/>
    <mergeCell ref="S23:T23"/>
    <mergeCell ref="S13:T13"/>
  </mergeCells>
  <phoneticPr fontId="0" type="noConversion"/>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029" r:id="rId4" name="ExportToPRJ">
          <controlPr defaultSize="0" autoLine="0" r:id="rId5">
            <anchor moveWithCells="1">
              <from>
                <xdr:col>28</xdr:col>
                <xdr:colOff>38100</xdr:colOff>
                <xdr:row>14</xdr:row>
                <xdr:rowOff>19050</xdr:rowOff>
              </from>
              <to>
                <xdr:col>28</xdr:col>
                <xdr:colOff>1847850</xdr:colOff>
                <xdr:row>15</xdr:row>
                <xdr:rowOff>104775</xdr:rowOff>
              </to>
            </anchor>
          </controlPr>
        </control>
      </mc:Choice>
      <mc:Fallback>
        <control shapeId="1029" r:id="rId4" name="ExportToPRJ"/>
      </mc:Fallback>
    </mc:AlternateContent>
    <mc:AlternateContent xmlns:mc="http://schemas.openxmlformats.org/markup-compatibility/2006">
      <mc:Choice Requires="x14">
        <control shapeId="1028" r:id="rId6" name="StoreButton">
          <controlPr defaultSize="0" autoLine="0" r:id="rId7">
            <anchor moveWithCells="1">
              <from>
                <xdr:col>28</xdr:col>
                <xdr:colOff>0</xdr:colOff>
                <xdr:row>10</xdr:row>
                <xdr:rowOff>171450</xdr:rowOff>
              </from>
              <to>
                <xdr:col>28</xdr:col>
                <xdr:colOff>1866900</xdr:colOff>
                <xdr:row>12</xdr:row>
                <xdr:rowOff>76200</xdr:rowOff>
              </to>
            </anchor>
          </controlPr>
        </control>
      </mc:Choice>
      <mc:Fallback>
        <control shapeId="1028" r:id="rId6" name="StoreButton"/>
      </mc:Fallback>
    </mc:AlternateContent>
    <mc:AlternateContent xmlns:mc="http://schemas.openxmlformats.org/markup-compatibility/2006">
      <mc:Choice Requires="x14">
        <control shapeId="1027" r:id="rId8" name="Import_LatLong">
          <controlPr defaultSize="0" autoLine="0" autoPict="0" r:id="rId9">
            <anchor moveWithCells="1">
              <from>
                <xdr:col>28</xdr:col>
                <xdr:colOff>19050</xdr:colOff>
                <xdr:row>4</xdr:row>
                <xdr:rowOff>9525</xdr:rowOff>
              </from>
              <to>
                <xdr:col>29</xdr:col>
                <xdr:colOff>0</xdr:colOff>
                <xdr:row>5</xdr:row>
                <xdr:rowOff>57150</xdr:rowOff>
              </to>
            </anchor>
          </controlPr>
        </control>
      </mc:Choice>
      <mc:Fallback>
        <control shapeId="1027" r:id="rId8" name="Import_LatLong"/>
      </mc:Fallback>
    </mc:AlternateContent>
    <mc:AlternateContent xmlns:mc="http://schemas.openxmlformats.org/markup-compatibility/2006">
      <mc:Choice Requires="x14">
        <control shapeId="1026" r:id="rId10" name="Import_NE">
          <controlPr defaultSize="0" autoLine="0" autoPict="0" r:id="rId11">
            <anchor moveWithCells="1">
              <from>
                <xdr:col>28</xdr:col>
                <xdr:colOff>19050</xdr:colOff>
                <xdr:row>1</xdr:row>
                <xdr:rowOff>38100</xdr:rowOff>
              </from>
              <to>
                <xdr:col>29</xdr:col>
                <xdr:colOff>0</xdr:colOff>
                <xdr:row>3</xdr:row>
                <xdr:rowOff>57150</xdr:rowOff>
              </to>
            </anchor>
          </controlPr>
        </control>
      </mc:Choice>
      <mc:Fallback>
        <control shapeId="1026" r:id="rId10" name="Import_NE"/>
      </mc:Fallback>
    </mc:AlternateContent>
    <mc:AlternateContent xmlns:mc="http://schemas.openxmlformats.org/markup-compatibility/2006">
      <mc:Choice Requires="x14">
        <control shapeId="1025" r:id="rId12" name="CommandButton1">
          <controlPr autoLine="0" autoPict="0" r:id="rId13">
            <anchor moveWithCells="1">
              <from>
                <xdr:col>28</xdr:col>
                <xdr:colOff>28575</xdr:colOff>
                <xdr:row>7</xdr:row>
                <xdr:rowOff>28575</xdr:rowOff>
              </from>
              <to>
                <xdr:col>29</xdr:col>
                <xdr:colOff>0</xdr:colOff>
                <xdr:row>8</xdr:row>
                <xdr:rowOff>133350</xdr:rowOff>
              </to>
            </anchor>
          </controlPr>
        </control>
      </mc:Choice>
      <mc:Fallback>
        <control shapeId="1025" r:id="rId12"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37E674-0058-4FA7-BA3E-FC810CDEDF7B}">
  <sheetPr codeName="Sheet4"/>
  <dimension ref="A1:FA27"/>
  <sheetViews>
    <sheetView workbookViewId="0">
      <pane ySplit="1" topLeftCell="A2" activePane="bottomLeft" state="frozen"/>
      <selection pane="bottomLeft" activeCell="A2" sqref="A2:H3"/>
    </sheetView>
  </sheetViews>
  <sheetFormatPr defaultRowHeight="15.75" x14ac:dyDescent="0.25"/>
  <cols>
    <col min="1" max="1" width="14.77734375" style="42" customWidth="1"/>
    <col min="2" max="2" width="18.5546875" style="38" customWidth="1"/>
    <col min="3" max="3" width="20.21875" style="39" customWidth="1"/>
    <col min="4" max="4" width="17" style="32" customWidth="1"/>
    <col min="5" max="5" width="17.5546875" style="32" customWidth="1"/>
    <col min="6" max="6" width="17.44140625" style="32" customWidth="1"/>
    <col min="7" max="7" width="18.44140625" style="32" customWidth="1"/>
    <col min="8" max="8" width="17.77734375" style="34" customWidth="1"/>
  </cols>
  <sheetData>
    <row r="1" spans="1:157" s="31" customFormat="1" ht="15" x14ac:dyDescent="0.2">
      <c r="A1" s="47" t="s">
        <v>58</v>
      </c>
      <c r="B1" s="47" t="s">
        <v>59</v>
      </c>
      <c r="C1" s="47" t="s">
        <v>60</v>
      </c>
      <c r="D1" s="47" t="s">
        <v>61</v>
      </c>
      <c r="E1" s="47" t="s">
        <v>45</v>
      </c>
      <c r="F1" s="47" t="s">
        <v>20</v>
      </c>
      <c r="G1" s="47" t="s">
        <v>21</v>
      </c>
      <c r="H1" s="47" t="s">
        <v>40</v>
      </c>
    </row>
    <row r="2" spans="1:157" x14ac:dyDescent="0.25">
      <c r="B2" s="48"/>
      <c r="C2" s="49"/>
      <c r="D2" s="49"/>
      <c r="E2" s="49"/>
      <c r="F2" s="50"/>
      <c r="G2" s="50"/>
      <c r="H2" s="49"/>
    </row>
    <row r="3" spans="1:157" s="30" customFormat="1" x14ac:dyDescent="0.25">
      <c r="A3" s="43"/>
      <c r="B3" s="51"/>
      <c r="C3" s="37"/>
      <c r="D3" s="37"/>
      <c r="E3" s="37"/>
      <c r="F3" s="52"/>
      <c r="G3" s="52"/>
      <c r="H3" s="37"/>
      <c r="I3" s="53"/>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c r="CD3" s="53"/>
      <c r="CE3" s="53"/>
      <c r="CF3" s="53"/>
      <c r="CG3" s="53"/>
      <c r="CH3" s="53"/>
      <c r="CI3" s="53"/>
      <c r="CJ3" s="53"/>
      <c r="CK3" s="53"/>
      <c r="CL3" s="53"/>
      <c r="CM3" s="53"/>
      <c r="CN3" s="53"/>
      <c r="CO3" s="53"/>
      <c r="CP3" s="53"/>
      <c r="CQ3" s="53"/>
      <c r="CR3" s="53"/>
      <c r="CS3" s="53"/>
      <c r="CT3" s="53"/>
      <c r="CU3" s="53"/>
      <c r="CV3" s="53"/>
      <c r="CW3" s="53"/>
      <c r="CX3" s="53"/>
      <c r="CY3" s="53"/>
      <c r="CZ3" s="53"/>
      <c r="DA3" s="53"/>
      <c r="DB3" s="53"/>
      <c r="DC3" s="53"/>
      <c r="DD3" s="53"/>
      <c r="DE3" s="53"/>
      <c r="DF3" s="53"/>
      <c r="DG3" s="53"/>
      <c r="DH3" s="53"/>
      <c r="DI3" s="53"/>
      <c r="DJ3" s="53"/>
      <c r="DK3" s="53"/>
      <c r="DL3" s="53"/>
      <c r="DM3" s="53"/>
      <c r="DN3" s="53"/>
      <c r="DO3" s="53"/>
      <c r="DP3" s="53"/>
      <c r="DQ3" s="53"/>
      <c r="DR3" s="53"/>
      <c r="DS3" s="53"/>
      <c r="DT3" s="53"/>
      <c r="DU3" s="53"/>
      <c r="DV3" s="53"/>
      <c r="DW3" s="53"/>
      <c r="DX3" s="53"/>
      <c r="DY3" s="53"/>
      <c r="DZ3" s="53"/>
      <c r="EA3" s="53"/>
      <c r="EB3" s="53"/>
      <c r="EC3" s="53"/>
      <c r="ED3" s="53"/>
      <c r="EE3" s="53"/>
      <c r="EF3" s="53"/>
      <c r="EG3" s="53"/>
      <c r="EH3" s="53"/>
      <c r="EI3" s="53"/>
      <c r="EJ3" s="53"/>
      <c r="EK3" s="53"/>
      <c r="EL3" s="53"/>
      <c r="EM3" s="53"/>
      <c r="EN3" s="53"/>
      <c r="EO3" s="53"/>
      <c r="EP3" s="53"/>
      <c r="EQ3" s="53"/>
      <c r="ER3" s="53"/>
      <c r="ES3" s="53"/>
      <c r="ET3" s="53"/>
      <c r="EU3" s="53"/>
      <c r="EV3" s="53"/>
      <c r="EW3" s="53"/>
      <c r="EX3" s="53"/>
      <c r="EY3" s="53"/>
      <c r="EZ3" s="53"/>
      <c r="FA3" s="53"/>
    </row>
    <row r="4" spans="1:157" x14ac:dyDescent="0.25">
      <c r="D4" s="36"/>
      <c r="E4" s="36"/>
      <c r="F4" s="36"/>
      <c r="G4" s="36"/>
    </row>
    <row r="5" spans="1:157" s="30" customFormat="1" x14ac:dyDescent="0.25">
      <c r="A5" s="43"/>
      <c r="B5" s="40"/>
      <c r="C5" s="41"/>
      <c r="D5" s="37"/>
      <c r="E5" s="37"/>
      <c r="F5" s="37"/>
      <c r="G5" s="37"/>
      <c r="H5" s="35"/>
      <c r="I5" s="53"/>
      <c r="J5" s="53"/>
      <c r="K5" s="53"/>
      <c r="L5" s="53"/>
      <c r="M5" s="53"/>
      <c r="N5" s="53"/>
      <c r="O5" s="53"/>
      <c r="P5" s="53"/>
      <c r="Q5" s="53"/>
      <c r="R5" s="53"/>
      <c r="S5" s="53"/>
      <c r="T5" s="53"/>
      <c r="U5" s="53"/>
      <c r="V5" s="53"/>
      <c r="W5" s="53"/>
      <c r="X5" s="53"/>
      <c r="Y5" s="53"/>
      <c r="Z5" s="53"/>
      <c r="AA5" s="53"/>
      <c r="AB5" s="53"/>
      <c r="AC5" s="53"/>
      <c r="AD5" s="53"/>
      <c r="AE5" s="53"/>
      <c r="AF5" s="53"/>
      <c r="AG5" s="53"/>
      <c r="AH5" s="53"/>
      <c r="AI5" s="53"/>
      <c r="AJ5" s="53"/>
      <c r="AK5" s="53"/>
      <c r="AL5" s="53"/>
      <c r="AM5" s="53"/>
      <c r="AN5" s="53"/>
      <c r="AO5" s="53"/>
      <c r="AP5" s="53"/>
      <c r="AQ5" s="53"/>
      <c r="AR5" s="53"/>
      <c r="AS5" s="53"/>
      <c r="AT5" s="53"/>
      <c r="AU5" s="53"/>
      <c r="AV5" s="53"/>
      <c r="AW5" s="53"/>
      <c r="AX5" s="53"/>
      <c r="AY5" s="53"/>
      <c r="AZ5" s="53"/>
      <c r="BA5" s="53"/>
      <c r="BB5" s="53"/>
      <c r="BC5" s="53"/>
      <c r="BD5" s="53"/>
      <c r="BE5" s="53"/>
      <c r="BF5" s="53"/>
      <c r="BG5" s="53"/>
      <c r="BH5" s="53"/>
      <c r="BI5" s="53"/>
      <c r="BJ5" s="53"/>
      <c r="BK5" s="53"/>
      <c r="BL5" s="53"/>
      <c r="BM5" s="53"/>
      <c r="BN5" s="53"/>
      <c r="BO5" s="53"/>
      <c r="BP5" s="53"/>
      <c r="BQ5" s="53"/>
      <c r="BR5" s="53"/>
      <c r="BS5" s="53"/>
      <c r="BT5" s="53"/>
      <c r="BU5" s="53"/>
      <c r="BV5" s="53"/>
      <c r="BW5" s="53"/>
      <c r="BX5" s="53"/>
      <c r="BY5" s="53"/>
      <c r="BZ5" s="53"/>
      <c r="CA5" s="53"/>
      <c r="CB5" s="53"/>
      <c r="CC5" s="53"/>
      <c r="CD5" s="53"/>
      <c r="CE5" s="53"/>
      <c r="CF5" s="53"/>
      <c r="CG5" s="53"/>
      <c r="CH5" s="53"/>
      <c r="CI5" s="53"/>
      <c r="CJ5" s="53"/>
      <c r="CK5" s="53"/>
      <c r="CL5" s="53"/>
      <c r="CM5" s="53"/>
      <c r="CN5" s="53"/>
      <c r="CO5" s="53"/>
      <c r="CP5" s="53"/>
      <c r="CQ5" s="53"/>
      <c r="CR5" s="53"/>
      <c r="CS5" s="53"/>
      <c r="CT5" s="53"/>
      <c r="CU5" s="53"/>
      <c r="CV5" s="53"/>
      <c r="CW5" s="53"/>
      <c r="CX5" s="53"/>
      <c r="CY5" s="53"/>
      <c r="CZ5" s="53"/>
      <c r="DA5" s="53"/>
      <c r="DB5" s="53"/>
      <c r="DC5" s="53"/>
      <c r="DD5" s="53"/>
      <c r="DE5" s="53"/>
      <c r="DF5" s="53"/>
      <c r="DG5" s="53"/>
      <c r="DH5" s="53"/>
      <c r="DI5" s="53"/>
      <c r="DJ5" s="53"/>
      <c r="DK5" s="53"/>
      <c r="DL5" s="53"/>
      <c r="DM5" s="53"/>
      <c r="DN5" s="53"/>
      <c r="DO5" s="53"/>
      <c r="DP5" s="53"/>
      <c r="DQ5" s="53"/>
      <c r="DR5" s="53"/>
      <c r="DS5" s="53"/>
      <c r="DT5" s="53"/>
      <c r="DU5" s="53"/>
      <c r="DV5" s="53"/>
      <c r="DW5" s="53"/>
      <c r="DX5" s="53"/>
      <c r="DY5" s="53"/>
      <c r="DZ5" s="53"/>
      <c r="EA5" s="53"/>
      <c r="EB5" s="53"/>
      <c r="EC5" s="53"/>
      <c r="ED5" s="53"/>
      <c r="EE5" s="53"/>
      <c r="EF5" s="53"/>
      <c r="EG5" s="53"/>
      <c r="EH5" s="53"/>
      <c r="EI5" s="53"/>
      <c r="EJ5" s="53"/>
      <c r="EK5" s="53"/>
      <c r="EL5" s="53"/>
      <c r="EM5" s="53"/>
      <c r="EN5" s="53"/>
      <c r="EO5" s="53"/>
      <c r="EP5" s="53"/>
      <c r="EQ5" s="53"/>
      <c r="ER5" s="53"/>
      <c r="ES5" s="53"/>
      <c r="ET5" s="53"/>
      <c r="EU5" s="53"/>
      <c r="EV5" s="53"/>
      <c r="EW5" s="53"/>
      <c r="EX5" s="53"/>
      <c r="EY5" s="53"/>
      <c r="EZ5" s="53"/>
      <c r="FA5" s="53"/>
    </row>
    <row r="6" spans="1:157" x14ac:dyDescent="0.25">
      <c r="D6" s="36"/>
      <c r="E6" s="36"/>
      <c r="F6" s="36"/>
      <c r="G6" s="36"/>
    </row>
    <row r="7" spans="1:157" s="30" customFormat="1" x14ac:dyDescent="0.25">
      <c r="A7" s="43"/>
      <c r="B7" s="40"/>
      <c r="C7" s="41"/>
      <c r="D7" s="37"/>
      <c r="E7" s="37"/>
      <c r="F7" s="37"/>
      <c r="G7" s="37"/>
      <c r="H7" s="35"/>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row>
    <row r="8" spans="1:157" x14ac:dyDescent="0.25">
      <c r="D8" s="36"/>
      <c r="E8" s="36"/>
      <c r="F8" s="36"/>
      <c r="G8" s="36"/>
    </row>
    <row r="9" spans="1:157" s="30" customFormat="1" x14ac:dyDescent="0.25">
      <c r="A9" s="43"/>
      <c r="B9" s="40"/>
      <c r="C9" s="41"/>
      <c r="D9" s="37"/>
      <c r="E9" s="37"/>
      <c r="F9" s="37"/>
      <c r="G9" s="37"/>
      <c r="H9" s="35"/>
      <c r="I9" s="53"/>
      <c r="J9" s="53"/>
      <c r="K9" s="53"/>
      <c r="L9" s="53"/>
      <c r="M9" s="53"/>
      <c r="N9" s="53"/>
      <c r="O9" s="53"/>
      <c r="P9" s="53"/>
      <c r="Q9" s="53"/>
      <c r="R9" s="53"/>
      <c r="S9" s="53"/>
      <c r="T9" s="53"/>
      <c r="U9" s="53"/>
      <c r="V9" s="53"/>
      <c r="W9" s="53"/>
      <c r="X9" s="53"/>
      <c r="Y9" s="53"/>
      <c r="Z9" s="53"/>
      <c r="AA9" s="53"/>
      <c r="AB9" s="53"/>
      <c r="AC9" s="53"/>
      <c r="AD9" s="53"/>
      <c r="AE9" s="53"/>
      <c r="AF9" s="53"/>
      <c r="AG9" s="53"/>
      <c r="AH9" s="53"/>
      <c r="AI9" s="53"/>
      <c r="AJ9" s="53"/>
      <c r="AK9" s="53"/>
      <c r="AL9" s="53"/>
      <c r="AM9" s="53"/>
      <c r="AN9" s="53"/>
      <c r="AO9" s="53"/>
      <c r="AP9" s="53"/>
      <c r="AQ9" s="53"/>
      <c r="AR9" s="53"/>
      <c r="AS9" s="53"/>
      <c r="AT9" s="53"/>
      <c r="AU9" s="53"/>
      <c r="AV9" s="53"/>
      <c r="AW9" s="53"/>
      <c r="AX9" s="53"/>
      <c r="AY9" s="53"/>
      <c r="AZ9" s="53"/>
      <c r="BA9" s="53"/>
      <c r="BB9" s="53"/>
      <c r="BC9" s="53"/>
      <c r="BD9" s="53"/>
      <c r="BE9" s="53"/>
      <c r="BF9" s="53"/>
      <c r="BG9" s="53"/>
      <c r="BH9" s="53"/>
      <c r="BI9" s="53"/>
      <c r="BJ9" s="53"/>
      <c r="BK9" s="53"/>
      <c r="BL9" s="53"/>
      <c r="BM9" s="53"/>
      <c r="BN9" s="53"/>
      <c r="BO9" s="53"/>
      <c r="BP9" s="53"/>
      <c r="BQ9" s="53"/>
      <c r="BR9" s="53"/>
      <c r="BS9" s="53"/>
      <c r="BT9" s="53"/>
      <c r="BU9" s="53"/>
      <c r="BV9" s="53"/>
      <c r="BW9" s="53"/>
      <c r="BX9" s="53"/>
      <c r="BY9" s="53"/>
      <c r="BZ9" s="53"/>
      <c r="CA9" s="53"/>
      <c r="CB9" s="53"/>
      <c r="CC9" s="53"/>
      <c r="CD9" s="53"/>
      <c r="CE9" s="53"/>
      <c r="CF9" s="53"/>
      <c r="CG9" s="53"/>
      <c r="CH9" s="53"/>
      <c r="CI9" s="53"/>
      <c r="CJ9" s="53"/>
      <c r="CK9" s="53"/>
      <c r="CL9" s="53"/>
      <c r="CM9" s="53"/>
      <c r="CN9" s="53"/>
      <c r="CO9" s="53"/>
      <c r="CP9" s="53"/>
      <c r="CQ9" s="53"/>
      <c r="CR9" s="53"/>
      <c r="CS9" s="53"/>
      <c r="CT9" s="53"/>
      <c r="CU9" s="53"/>
      <c r="CV9" s="53"/>
      <c r="CW9" s="53"/>
      <c r="CX9" s="53"/>
      <c r="CY9" s="53"/>
      <c r="CZ9" s="53"/>
      <c r="DA9" s="53"/>
      <c r="DB9" s="53"/>
      <c r="DC9" s="53"/>
      <c r="DD9" s="53"/>
      <c r="DE9" s="53"/>
      <c r="DF9" s="53"/>
      <c r="DG9" s="53"/>
      <c r="DH9" s="53"/>
      <c r="DI9" s="53"/>
      <c r="DJ9" s="53"/>
      <c r="DK9" s="53"/>
      <c r="DL9" s="53"/>
      <c r="DM9" s="53"/>
      <c r="DN9" s="53"/>
      <c r="DO9" s="53"/>
      <c r="DP9" s="53"/>
      <c r="DQ9" s="53"/>
      <c r="DR9" s="53"/>
      <c r="DS9" s="53"/>
      <c r="DT9" s="53"/>
      <c r="DU9" s="53"/>
      <c r="DV9" s="53"/>
      <c r="DW9" s="53"/>
      <c r="DX9" s="53"/>
      <c r="DY9" s="53"/>
      <c r="DZ9" s="53"/>
      <c r="EA9" s="53"/>
      <c r="EB9" s="53"/>
      <c r="EC9" s="53"/>
      <c r="ED9" s="53"/>
      <c r="EE9" s="53"/>
      <c r="EF9" s="53"/>
      <c r="EG9" s="53"/>
      <c r="EH9" s="53"/>
      <c r="EI9" s="53"/>
      <c r="EJ9" s="53"/>
      <c r="EK9" s="53"/>
      <c r="EL9" s="53"/>
      <c r="EM9" s="53"/>
      <c r="EN9" s="53"/>
      <c r="EO9" s="53"/>
      <c r="EP9" s="53"/>
      <c r="EQ9" s="53"/>
      <c r="ER9" s="53"/>
      <c r="ES9" s="53"/>
      <c r="ET9" s="53"/>
      <c r="EU9" s="53"/>
      <c r="EV9" s="53"/>
      <c r="EW9" s="53"/>
      <c r="EX9" s="53"/>
      <c r="EY9" s="53"/>
      <c r="EZ9" s="53"/>
      <c r="FA9" s="53"/>
    </row>
    <row r="11" spans="1:157" s="30" customFormat="1" x14ac:dyDescent="0.25">
      <c r="A11" s="43"/>
      <c r="B11" s="40"/>
      <c r="C11" s="41"/>
      <c r="D11" s="33"/>
      <c r="E11" s="33"/>
      <c r="F11" s="33"/>
      <c r="G11" s="33"/>
      <c r="H11" s="35"/>
      <c r="I11" s="53"/>
      <c r="J11" s="53"/>
      <c r="K11" s="53"/>
      <c r="L11" s="53"/>
      <c r="M11" s="53"/>
      <c r="N11" s="53"/>
      <c r="O11" s="53"/>
      <c r="P11" s="53"/>
      <c r="Q11" s="53"/>
      <c r="R11" s="53"/>
      <c r="S11" s="53"/>
      <c r="T11" s="53"/>
      <c r="U11" s="53"/>
      <c r="V11" s="53"/>
      <c r="W11" s="53"/>
      <c r="X11" s="53"/>
      <c r="Y11" s="53"/>
      <c r="Z11" s="53"/>
      <c r="AA11" s="53"/>
      <c r="AB11" s="53"/>
      <c r="AC11" s="53"/>
      <c r="AD11" s="53"/>
      <c r="AE11" s="53"/>
      <c r="AF11" s="53"/>
      <c r="AG11" s="53"/>
      <c r="AH11" s="53"/>
      <c r="AI11" s="53"/>
      <c r="AJ11" s="53"/>
      <c r="AK11" s="53"/>
      <c r="AL11" s="53"/>
      <c r="AM11" s="53"/>
      <c r="AN11" s="53"/>
      <c r="AO11" s="53"/>
      <c r="AP11" s="53"/>
      <c r="AQ11" s="53"/>
      <c r="AR11" s="53"/>
      <c r="AS11" s="53"/>
      <c r="AT11" s="53"/>
      <c r="AU11" s="53"/>
      <c r="AV11" s="53"/>
      <c r="AW11" s="53"/>
      <c r="AX11" s="53"/>
      <c r="AY11" s="53"/>
      <c r="AZ11" s="53"/>
      <c r="BA11" s="53"/>
      <c r="BB11" s="53"/>
      <c r="BC11" s="53"/>
      <c r="BD11" s="53"/>
      <c r="BE11" s="53"/>
      <c r="BF11" s="53"/>
      <c r="BG11" s="53"/>
      <c r="BH11" s="53"/>
      <c r="BI11" s="53"/>
      <c r="BJ11" s="53"/>
      <c r="BK11" s="53"/>
      <c r="BL11" s="53"/>
      <c r="BM11" s="53"/>
      <c r="BN11" s="53"/>
      <c r="BO11" s="53"/>
      <c r="BP11" s="53"/>
      <c r="BQ11" s="53"/>
      <c r="BR11" s="53"/>
      <c r="BS11" s="53"/>
      <c r="BT11" s="53"/>
      <c r="BU11" s="53"/>
      <c r="BV11" s="53"/>
      <c r="BW11" s="53"/>
      <c r="BX11" s="53"/>
      <c r="BY11" s="53"/>
      <c r="BZ11" s="53"/>
      <c r="CA11" s="53"/>
      <c r="CB11" s="53"/>
      <c r="CC11" s="53"/>
      <c r="CD11" s="53"/>
      <c r="CE11" s="53"/>
      <c r="CF11" s="53"/>
      <c r="CG11" s="53"/>
      <c r="CH11" s="53"/>
      <c r="CI11" s="53"/>
      <c r="CJ11" s="53"/>
      <c r="CK11" s="53"/>
      <c r="CL11" s="53"/>
      <c r="CM11" s="53"/>
      <c r="CN11" s="53"/>
      <c r="CO11" s="53"/>
      <c r="CP11" s="53"/>
      <c r="CQ11" s="53"/>
      <c r="CR11" s="53"/>
      <c r="CS11" s="53"/>
      <c r="CT11" s="53"/>
      <c r="CU11" s="53"/>
      <c r="CV11" s="53"/>
      <c r="CW11" s="53"/>
      <c r="CX11" s="53"/>
      <c r="CY11" s="53"/>
      <c r="CZ11" s="53"/>
      <c r="DA11" s="53"/>
      <c r="DB11" s="53"/>
      <c r="DC11" s="53"/>
      <c r="DD11" s="53"/>
      <c r="DE11" s="53"/>
      <c r="DF11" s="53"/>
      <c r="DG11" s="53"/>
      <c r="DH11" s="53"/>
      <c r="DI11" s="53"/>
      <c r="DJ11" s="53"/>
      <c r="DK11" s="53"/>
      <c r="DL11" s="53"/>
      <c r="DM11" s="53"/>
      <c r="DN11" s="53"/>
      <c r="DO11" s="53"/>
      <c r="DP11" s="53"/>
      <c r="DQ11" s="53"/>
      <c r="DR11" s="53"/>
      <c r="DS11" s="53"/>
      <c r="DT11" s="53"/>
      <c r="DU11" s="53"/>
      <c r="DV11" s="53"/>
      <c r="DW11" s="53"/>
      <c r="DX11" s="53"/>
      <c r="DY11" s="53"/>
      <c r="DZ11" s="53"/>
      <c r="EA11" s="53"/>
      <c r="EB11" s="53"/>
      <c r="EC11" s="53"/>
      <c r="ED11" s="53"/>
      <c r="EE11" s="53"/>
      <c r="EF11" s="53"/>
      <c r="EG11" s="53"/>
      <c r="EH11" s="53"/>
      <c r="EI11" s="53"/>
      <c r="EJ11" s="53"/>
      <c r="EK11" s="53"/>
      <c r="EL11" s="53"/>
      <c r="EM11" s="53"/>
      <c r="EN11" s="53"/>
      <c r="EO11" s="53"/>
      <c r="EP11" s="53"/>
      <c r="EQ11" s="53"/>
      <c r="ER11" s="53"/>
      <c r="ES11" s="53"/>
      <c r="ET11" s="53"/>
      <c r="EU11" s="53"/>
      <c r="EV11" s="53"/>
      <c r="EW11" s="53"/>
      <c r="EX11" s="53"/>
      <c r="EY11" s="53"/>
      <c r="EZ11" s="53"/>
      <c r="FA11" s="53"/>
    </row>
    <row r="13" spans="1:157" s="30" customFormat="1" x14ac:dyDescent="0.25">
      <c r="A13" s="43"/>
      <c r="B13" s="40"/>
      <c r="C13" s="41"/>
      <c r="D13" s="33"/>
      <c r="E13" s="33"/>
      <c r="F13" s="33"/>
      <c r="G13" s="33"/>
      <c r="H13" s="35"/>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c r="DM13" s="53"/>
      <c r="DN13" s="53"/>
      <c r="DO13" s="53"/>
      <c r="DP13" s="53"/>
      <c r="DQ13" s="53"/>
      <c r="DR13" s="53"/>
      <c r="DS13" s="53"/>
      <c r="DT13" s="53"/>
      <c r="DU13" s="53"/>
      <c r="DV13" s="53"/>
      <c r="DW13" s="53"/>
      <c r="DX13" s="53"/>
      <c r="DY13" s="53"/>
      <c r="DZ13" s="53"/>
      <c r="EA13" s="53"/>
      <c r="EB13" s="53"/>
      <c r="EC13" s="53"/>
      <c r="ED13" s="53"/>
      <c r="EE13" s="53"/>
      <c r="EF13" s="53"/>
      <c r="EG13" s="53"/>
      <c r="EH13" s="53"/>
      <c r="EI13" s="53"/>
      <c r="EJ13" s="53"/>
      <c r="EK13" s="53"/>
      <c r="EL13" s="53"/>
      <c r="EM13" s="53"/>
      <c r="EN13" s="53"/>
      <c r="EO13" s="53"/>
      <c r="EP13" s="53"/>
      <c r="EQ13" s="53"/>
      <c r="ER13" s="53"/>
      <c r="ES13" s="53"/>
      <c r="ET13" s="53"/>
      <c r="EU13" s="53"/>
      <c r="EV13" s="53"/>
      <c r="EW13" s="53"/>
      <c r="EX13" s="53"/>
      <c r="EY13" s="53"/>
      <c r="EZ13" s="53"/>
      <c r="FA13" s="53"/>
    </row>
    <row r="15" spans="1:157" s="30" customFormat="1" x14ac:dyDescent="0.25">
      <c r="A15" s="43"/>
      <c r="B15" s="40"/>
      <c r="C15" s="41"/>
      <c r="D15" s="33"/>
      <c r="E15" s="33"/>
      <c r="F15" s="33"/>
      <c r="G15" s="33"/>
      <c r="H15" s="35"/>
      <c r="I15" s="53"/>
      <c r="J15" s="53"/>
      <c r="K15" s="53"/>
      <c r="L15" s="53"/>
      <c r="M15" s="53"/>
      <c r="N15" s="53"/>
      <c r="O15" s="53"/>
      <c r="P15" s="53"/>
      <c r="Q15" s="53"/>
      <c r="R15" s="53"/>
      <c r="S15" s="53"/>
      <c r="T15" s="53"/>
      <c r="U15" s="53"/>
      <c r="V15" s="53"/>
      <c r="W15" s="53"/>
      <c r="X15" s="53"/>
      <c r="Y15" s="53"/>
      <c r="Z15" s="53"/>
      <c r="AA15" s="53"/>
      <c r="AB15" s="53"/>
      <c r="AC15" s="53"/>
      <c r="AD15" s="53"/>
      <c r="AE15" s="53"/>
      <c r="AF15" s="53"/>
      <c r="AG15" s="53"/>
      <c r="AH15" s="53"/>
      <c r="AI15" s="53"/>
      <c r="AJ15" s="53"/>
      <c r="AK15" s="53"/>
      <c r="AL15" s="53"/>
      <c r="AM15" s="53"/>
      <c r="AN15" s="53"/>
      <c r="AO15" s="53"/>
      <c r="AP15" s="53"/>
      <c r="AQ15" s="53"/>
      <c r="AR15" s="53"/>
      <c r="AS15" s="53"/>
      <c r="AT15" s="53"/>
      <c r="AU15" s="53"/>
      <c r="AV15" s="53"/>
      <c r="AW15" s="53"/>
      <c r="AX15" s="53"/>
      <c r="AY15" s="53"/>
      <c r="AZ15" s="53"/>
      <c r="BA15" s="53"/>
      <c r="BB15" s="53"/>
      <c r="BC15" s="53"/>
      <c r="BD15" s="53"/>
      <c r="BE15" s="53"/>
      <c r="BF15" s="53"/>
      <c r="BG15" s="53"/>
      <c r="BH15" s="53"/>
      <c r="BI15" s="53"/>
      <c r="BJ15" s="53"/>
      <c r="BK15" s="53"/>
      <c r="BL15" s="53"/>
      <c r="BM15" s="53"/>
      <c r="BN15" s="53"/>
      <c r="BO15" s="53"/>
      <c r="BP15" s="53"/>
      <c r="BQ15" s="53"/>
      <c r="BR15" s="53"/>
      <c r="BS15" s="53"/>
      <c r="BT15" s="53"/>
      <c r="BU15" s="53"/>
      <c r="BV15" s="53"/>
      <c r="BW15" s="53"/>
      <c r="BX15" s="53"/>
      <c r="BY15" s="53"/>
      <c r="BZ15" s="53"/>
      <c r="CA15" s="53"/>
      <c r="CB15" s="53"/>
      <c r="CC15" s="53"/>
      <c r="CD15" s="53"/>
      <c r="CE15" s="53"/>
      <c r="CF15" s="53"/>
      <c r="CG15" s="53"/>
      <c r="CH15" s="53"/>
      <c r="CI15" s="53"/>
      <c r="CJ15" s="53"/>
      <c r="CK15" s="53"/>
      <c r="CL15" s="53"/>
      <c r="CM15" s="53"/>
      <c r="CN15" s="53"/>
      <c r="CO15" s="53"/>
      <c r="CP15" s="53"/>
      <c r="CQ15" s="53"/>
      <c r="CR15" s="53"/>
      <c r="CS15" s="53"/>
      <c r="CT15" s="53"/>
      <c r="CU15" s="53"/>
      <c r="CV15" s="53"/>
      <c r="CW15" s="53"/>
      <c r="CX15" s="53"/>
      <c r="CY15" s="53"/>
      <c r="CZ15" s="53"/>
      <c r="DA15" s="53"/>
      <c r="DB15" s="53"/>
      <c r="DC15" s="53"/>
      <c r="DD15" s="53"/>
      <c r="DE15" s="53"/>
      <c r="DF15" s="53"/>
      <c r="DG15" s="53"/>
      <c r="DH15" s="53"/>
      <c r="DI15" s="53"/>
      <c r="DJ15" s="53"/>
      <c r="DK15" s="53"/>
      <c r="DL15" s="53"/>
      <c r="DM15" s="53"/>
      <c r="DN15" s="53"/>
      <c r="DO15" s="53"/>
      <c r="DP15" s="53"/>
      <c r="DQ15" s="53"/>
      <c r="DR15" s="53"/>
      <c r="DS15" s="53"/>
      <c r="DT15" s="53"/>
      <c r="DU15" s="53"/>
      <c r="DV15" s="53"/>
      <c r="DW15" s="53"/>
      <c r="DX15" s="53"/>
      <c r="DY15" s="53"/>
      <c r="DZ15" s="53"/>
      <c r="EA15" s="53"/>
      <c r="EB15" s="53"/>
      <c r="EC15" s="53"/>
      <c r="ED15" s="53"/>
      <c r="EE15" s="53"/>
      <c r="EF15" s="53"/>
      <c r="EG15" s="53"/>
      <c r="EH15" s="53"/>
      <c r="EI15" s="53"/>
      <c r="EJ15" s="53"/>
      <c r="EK15" s="53"/>
      <c r="EL15" s="53"/>
      <c r="EM15" s="53"/>
      <c r="EN15" s="53"/>
      <c r="EO15" s="53"/>
      <c r="EP15" s="53"/>
      <c r="EQ15" s="53"/>
      <c r="ER15" s="53"/>
      <c r="ES15" s="53"/>
      <c r="ET15" s="53"/>
      <c r="EU15" s="53"/>
      <c r="EV15" s="53"/>
      <c r="EW15" s="53"/>
      <c r="EX15" s="53"/>
      <c r="EY15" s="53"/>
      <c r="EZ15" s="53"/>
      <c r="FA15" s="53"/>
    </row>
    <row r="17" spans="1:157" s="30" customFormat="1" x14ac:dyDescent="0.25">
      <c r="A17" s="43"/>
      <c r="B17" s="40"/>
      <c r="C17" s="41"/>
      <c r="D17" s="33"/>
      <c r="E17" s="33"/>
      <c r="F17" s="33"/>
      <c r="G17" s="33"/>
      <c r="H17" s="35"/>
      <c r="I17" s="53"/>
      <c r="J17" s="53"/>
      <c r="K17" s="53"/>
      <c r="L17" s="53"/>
      <c r="M17" s="53"/>
      <c r="N17" s="53"/>
      <c r="O17" s="53"/>
      <c r="P17" s="53"/>
      <c r="Q17" s="53"/>
      <c r="R17" s="53"/>
      <c r="S17" s="53"/>
      <c r="T17" s="53"/>
      <c r="U17" s="53"/>
      <c r="V17" s="53"/>
      <c r="W17" s="53"/>
      <c r="X17" s="53"/>
      <c r="Y17" s="53"/>
      <c r="Z17" s="53"/>
      <c r="AA17" s="53"/>
      <c r="AB17" s="53"/>
      <c r="AC17" s="53"/>
      <c r="AD17" s="53"/>
      <c r="AE17" s="53"/>
      <c r="AF17" s="53"/>
      <c r="AG17" s="53"/>
      <c r="AH17" s="53"/>
      <c r="AI17" s="53"/>
      <c r="AJ17" s="53"/>
      <c r="AK17" s="53"/>
      <c r="AL17" s="53"/>
      <c r="AM17" s="53"/>
      <c r="AN17" s="53"/>
      <c r="AO17" s="53"/>
      <c r="AP17" s="53"/>
      <c r="AQ17" s="53"/>
      <c r="AR17" s="53"/>
      <c r="AS17" s="53"/>
      <c r="AT17" s="53"/>
      <c r="AU17" s="53"/>
      <c r="AV17" s="53"/>
      <c r="AW17" s="53"/>
      <c r="AX17" s="53"/>
      <c r="AY17" s="53"/>
      <c r="AZ17" s="53"/>
      <c r="BA17" s="53"/>
      <c r="BB17" s="53"/>
      <c r="BC17" s="53"/>
      <c r="BD17" s="53"/>
      <c r="BE17" s="53"/>
      <c r="BF17" s="53"/>
      <c r="BG17" s="53"/>
      <c r="BH17" s="53"/>
      <c r="BI17" s="53"/>
      <c r="BJ17" s="53"/>
      <c r="BK17" s="53"/>
      <c r="BL17" s="53"/>
      <c r="BM17" s="53"/>
      <c r="BN17" s="53"/>
      <c r="BO17" s="53"/>
      <c r="BP17" s="53"/>
      <c r="BQ17" s="53"/>
      <c r="BR17" s="53"/>
      <c r="BS17" s="53"/>
      <c r="BT17" s="53"/>
      <c r="BU17" s="53"/>
      <c r="BV17" s="53"/>
      <c r="BW17" s="53"/>
      <c r="BX17" s="53"/>
      <c r="BY17" s="53"/>
      <c r="BZ17" s="53"/>
      <c r="CA17" s="53"/>
      <c r="CB17" s="53"/>
      <c r="CC17" s="53"/>
      <c r="CD17" s="53"/>
      <c r="CE17" s="53"/>
      <c r="CF17" s="53"/>
      <c r="CG17" s="53"/>
      <c r="CH17" s="53"/>
      <c r="CI17" s="53"/>
      <c r="CJ17" s="53"/>
      <c r="CK17" s="53"/>
      <c r="CL17" s="53"/>
      <c r="CM17" s="53"/>
      <c r="CN17" s="53"/>
      <c r="CO17" s="53"/>
      <c r="CP17" s="53"/>
      <c r="CQ17" s="53"/>
      <c r="CR17" s="53"/>
      <c r="CS17" s="53"/>
      <c r="CT17" s="53"/>
      <c r="CU17" s="53"/>
      <c r="CV17" s="53"/>
      <c r="CW17" s="53"/>
      <c r="CX17" s="53"/>
      <c r="CY17" s="53"/>
      <c r="CZ17" s="53"/>
      <c r="DA17" s="53"/>
      <c r="DB17" s="53"/>
      <c r="DC17" s="53"/>
      <c r="DD17" s="53"/>
      <c r="DE17" s="53"/>
      <c r="DF17" s="53"/>
      <c r="DG17" s="53"/>
      <c r="DH17" s="53"/>
      <c r="DI17" s="53"/>
      <c r="DJ17" s="53"/>
      <c r="DK17" s="53"/>
      <c r="DL17" s="53"/>
      <c r="DM17" s="53"/>
      <c r="DN17" s="53"/>
      <c r="DO17" s="53"/>
      <c r="DP17" s="53"/>
      <c r="DQ17" s="53"/>
      <c r="DR17" s="53"/>
      <c r="DS17" s="53"/>
      <c r="DT17" s="53"/>
      <c r="DU17" s="53"/>
      <c r="DV17" s="53"/>
      <c r="DW17" s="53"/>
      <c r="DX17" s="53"/>
      <c r="DY17" s="53"/>
      <c r="DZ17" s="53"/>
      <c r="EA17" s="53"/>
      <c r="EB17" s="53"/>
      <c r="EC17" s="53"/>
      <c r="ED17" s="53"/>
      <c r="EE17" s="53"/>
      <c r="EF17" s="53"/>
      <c r="EG17" s="53"/>
      <c r="EH17" s="53"/>
      <c r="EI17" s="53"/>
      <c r="EJ17" s="53"/>
      <c r="EK17" s="53"/>
      <c r="EL17" s="53"/>
      <c r="EM17" s="53"/>
      <c r="EN17" s="53"/>
      <c r="EO17" s="53"/>
      <c r="EP17" s="53"/>
      <c r="EQ17" s="53"/>
      <c r="ER17" s="53"/>
      <c r="ES17" s="53"/>
      <c r="ET17" s="53"/>
      <c r="EU17" s="53"/>
      <c r="EV17" s="53"/>
      <c r="EW17" s="53"/>
      <c r="EX17" s="53"/>
      <c r="EY17" s="53"/>
      <c r="EZ17" s="53"/>
      <c r="FA17" s="53"/>
    </row>
    <row r="19" spans="1:157" s="30" customFormat="1" x14ac:dyDescent="0.25">
      <c r="A19" s="43"/>
      <c r="B19" s="40"/>
      <c r="C19" s="41"/>
      <c r="D19" s="33"/>
      <c r="E19" s="33"/>
      <c r="F19" s="33"/>
      <c r="G19" s="33"/>
      <c r="H19" s="35"/>
      <c r="I19" s="53"/>
      <c r="J19" s="53"/>
      <c r="K19" s="53"/>
      <c r="L19" s="53"/>
      <c r="M19" s="53"/>
      <c r="N19" s="53"/>
      <c r="O19" s="53"/>
      <c r="P19" s="53"/>
      <c r="Q19" s="53"/>
      <c r="R19" s="53"/>
      <c r="S19" s="53"/>
      <c r="T19" s="53"/>
      <c r="U19" s="53"/>
      <c r="V19" s="53"/>
      <c r="W19" s="53"/>
      <c r="X19" s="53"/>
      <c r="Y19" s="53"/>
      <c r="Z19" s="53"/>
      <c r="AA19" s="53"/>
      <c r="AB19" s="53"/>
      <c r="AC19" s="53"/>
      <c r="AD19" s="53"/>
      <c r="AE19" s="53"/>
      <c r="AF19" s="53"/>
      <c r="AG19" s="53"/>
      <c r="AH19" s="53"/>
      <c r="AI19" s="53"/>
      <c r="AJ19" s="53"/>
      <c r="AK19" s="53"/>
      <c r="AL19" s="53"/>
      <c r="AM19" s="53"/>
      <c r="AN19" s="53"/>
      <c r="AO19" s="53"/>
      <c r="AP19" s="53"/>
      <c r="AQ19" s="53"/>
      <c r="AR19" s="53"/>
      <c r="AS19" s="53"/>
      <c r="AT19" s="53"/>
      <c r="AU19" s="53"/>
      <c r="AV19" s="53"/>
      <c r="AW19" s="53"/>
      <c r="AX19" s="53"/>
      <c r="AY19" s="53"/>
      <c r="AZ19" s="53"/>
      <c r="BA19" s="53"/>
      <c r="BB19" s="53"/>
      <c r="BC19" s="53"/>
      <c r="BD19" s="53"/>
      <c r="BE19" s="53"/>
      <c r="BF19" s="53"/>
      <c r="BG19" s="53"/>
      <c r="BH19" s="53"/>
      <c r="BI19" s="53"/>
      <c r="BJ19" s="53"/>
      <c r="BK19" s="53"/>
      <c r="BL19" s="53"/>
      <c r="BM19" s="53"/>
      <c r="BN19" s="53"/>
      <c r="BO19" s="53"/>
      <c r="BP19" s="53"/>
      <c r="BQ19" s="53"/>
      <c r="BR19" s="53"/>
      <c r="BS19" s="53"/>
      <c r="BT19" s="53"/>
      <c r="BU19" s="53"/>
      <c r="BV19" s="53"/>
      <c r="BW19" s="53"/>
      <c r="BX19" s="53"/>
      <c r="BY19" s="53"/>
      <c r="BZ19" s="53"/>
      <c r="CA19" s="53"/>
      <c r="CB19" s="53"/>
      <c r="CC19" s="53"/>
      <c r="CD19" s="53"/>
      <c r="CE19" s="53"/>
      <c r="CF19" s="53"/>
      <c r="CG19" s="53"/>
      <c r="CH19" s="53"/>
      <c r="CI19" s="53"/>
      <c r="CJ19" s="53"/>
      <c r="CK19" s="53"/>
      <c r="CL19" s="53"/>
      <c r="CM19" s="53"/>
      <c r="CN19" s="53"/>
      <c r="CO19" s="53"/>
      <c r="CP19" s="53"/>
      <c r="CQ19" s="53"/>
      <c r="CR19" s="53"/>
      <c r="CS19" s="53"/>
      <c r="CT19" s="53"/>
      <c r="CU19" s="53"/>
      <c r="CV19" s="53"/>
      <c r="CW19" s="53"/>
      <c r="CX19" s="53"/>
      <c r="CY19" s="53"/>
      <c r="CZ19" s="53"/>
      <c r="DA19" s="53"/>
      <c r="DB19" s="53"/>
      <c r="DC19" s="53"/>
      <c r="DD19" s="53"/>
      <c r="DE19" s="53"/>
      <c r="DF19" s="53"/>
      <c r="DG19" s="53"/>
      <c r="DH19" s="53"/>
      <c r="DI19" s="53"/>
      <c r="DJ19" s="53"/>
      <c r="DK19" s="53"/>
      <c r="DL19" s="53"/>
      <c r="DM19" s="53"/>
      <c r="DN19" s="53"/>
      <c r="DO19" s="53"/>
      <c r="DP19" s="53"/>
      <c r="DQ19" s="53"/>
      <c r="DR19" s="53"/>
      <c r="DS19" s="53"/>
      <c r="DT19" s="53"/>
      <c r="DU19" s="53"/>
      <c r="DV19" s="53"/>
      <c r="DW19" s="53"/>
      <c r="DX19" s="53"/>
      <c r="DY19" s="53"/>
      <c r="DZ19" s="53"/>
      <c r="EA19" s="53"/>
      <c r="EB19" s="53"/>
      <c r="EC19" s="53"/>
      <c r="ED19" s="53"/>
      <c r="EE19" s="53"/>
      <c r="EF19" s="53"/>
      <c r="EG19" s="53"/>
      <c r="EH19" s="53"/>
      <c r="EI19" s="53"/>
      <c r="EJ19" s="53"/>
      <c r="EK19" s="53"/>
      <c r="EL19" s="53"/>
      <c r="EM19" s="53"/>
      <c r="EN19" s="53"/>
      <c r="EO19" s="53"/>
      <c r="EP19" s="53"/>
      <c r="EQ19" s="53"/>
      <c r="ER19" s="53"/>
      <c r="ES19" s="53"/>
      <c r="ET19" s="53"/>
      <c r="EU19" s="53"/>
      <c r="EV19" s="53"/>
      <c r="EW19" s="53"/>
      <c r="EX19" s="53"/>
      <c r="EY19" s="53"/>
      <c r="EZ19" s="53"/>
      <c r="FA19" s="53"/>
    </row>
    <row r="21" spans="1:157" s="30" customFormat="1" x14ac:dyDescent="0.25">
      <c r="A21" s="43"/>
      <c r="B21" s="40"/>
      <c r="C21" s="41"/>
      <c r="D21" s="33"/>
      <c r="E21" s="33"/>
      <c r="F21" s="33"/>
      <c r="G21" s="33"/>
      <c r="H21" s="35"/>
      <c r="I21" s="53"/>
      <c r="J21" s="53"/>
      <c r="K21" s="53"/>
      <c r="L21" s="53"/>
      <c r="M21" s="53"/>
      <c r="N21" s="53"/>
      <c r="O21" s="53"/>
      <c r="P21" s="53"/>
      <c r="Q21" s="53"/>
      <c r="R21" s="53"/>
      <c r="S21" s="53"/>
      <c r="T21" s="53"/>
      <c r="U21" s="53"/>
      <c r="V21" s="53"/>
      <c r="W21" s="53"/>
      <c r="X21" s="53"/>
      <c r="Y21" s="53"/>
      <c r="Z21" s="53"/>
      <c r="AA21" s="53"/>
      <c r="AB21" s="53"/>
      <c r="AC21" s="53"/>
      <c r="AD21" s="53"/>
      <c r="AE21" s="53"/>
      <c r="AF21" s="53"/>
      <c r="AG21" s="53"/>
      <c r="AH21" s="53"/>
      <c r="AI21" s="53"/>
      <c r="AJ21" s="53"/>
      <c r="AK21" s="53"/>
      <c r="AL21" s="53"/>
      <c r="AM21" s="53"/>
      <c r="AN21" s="53"/>
      <c r="AO21" s="53"/>
      <c r="AP21" s="53"/>
      <c r="AQ21" s="53"/>
      <c r="AR21" s="53"/>
      <c r="AS21" s="53"/>
      <c r="AT21" s="53"/>
      <c r="AU21" s="53"/>
      <c r="AV21" s="53"/>
      <c r="AW21" s="53"/>
      <c r="AX21" s="53"/>
      <c r="AY21" s="53"/>
      <c r="AZ21" s="53"/>
      <c r="BA21" s="53"/>
      <c r="BB21" s="53"/>
      <c r="BC21" s="53"/>
      <c r="BD21" s="53"/>
      <c r="BE21" s="53"/>
      <c r="BF21" s="53"/>
      <c r="BG21" s="53"/>
      <c r="BH21" s="53"/>
      <c r="BI21" s="53"/>
      <c r="BJ21" s="53"/>
      <c r="BK21" s="53"/>
      <c r="BL21" s="53"/>
      <c r="BM21" s="53"/>
      <c r="BN21" s="53"/>
      <c r="BO21" s="53"/>
      <c r="BP21" s="53"/>
      <c r="BQ21" s="53"/>
      <c r="BR21" s="53"/>
      <c r="BS21" s="53"/>
      <c r="BT21" s="53"/>
      <c r="BU21" s="53"/>
      <c r="BV21" s="53"/>
      <c r="BW21" s="53"/>
      <c r="BX21" s="53"/>
      <c r="BY21" s="53"/>
      <c r="BZ21" s="53"/>
      <c r="CA21" s="53"/>
      <c r="CB21" s="53"/>
      <c r="CC21" s="53"/>
      <c r="CD21" s="53"/>
      <c r="CE21" s="53"/>
      <c r="CF21" s="53"/>
      <c r="CG21" s="53"/>
      <c r="CH21" s="53"/>
      <c r="CI21" s="53"/>
      <c r="CJ21" s="53"/>
      <c r="CK21" s="53"/>
      <c r="CL21" s="53"/>
      <c r="CM21" s="53"/>
      <c r="CN21" s="53"/>
      <c r="CO21" s="53"/>
      <c r="CP21" s="53"/>
      <c r="CQ21" s="53"/>
      <c r="CR21" s="53"/>
      <c r="CS21" s="53"/>
      <c r="CT21" s="53"/>
      <c r="CU21" s="53"/>
      <c r="CV21" s="53"/>
      <c r="CW21" s="53"/>
      <c r="CX21" s="53"/>
      <c r="CY21" s="53"/>
      <c r="CZ21" s="53"/>
      <c r="DA21" s="53"/>
      <c r="DB21" s="53"/>
      <c r="DC21" s="53"/>
      <c r="DD21" s="53"/>
      <c r="DE21" s="53"/>
      <c r="DF21" s="53"/>
      <c r="DG21" s="53"/>
      <c r="DH21" s="53"/>
      <c r="DI21" s="53"/>
      <c r="DJ21" s="53"/>
      <c r="DK21" s="53"/>
      <c r="DL21" s="53"/>
      <c r="DM21" s="53"/>
      <c r="DN21" s="53"/>
      <c r="DO21" s="53"/>
      <c r="DP21" s="53"/>
      <c r="DQ21" s="53"/>
      <c r="DR21" s="53"/>
      <c r="DS21" s="53"/>
      <c r="DT21" s="53"/>
      <c r="DU21" s="53"/>
      <c r="DV21" s="53"/>
      <c r="DW21" s="53"/>
      <c r="DX21" s="53"/>
      <c r="DY21" s="53"/>
      <c r="DZ21" s="53"/>
      <c r="EA21" s="53"/>
      <c r="EB21" s="53"/>
      <c r="EC21" s="53"/>
      <c r="ED21" s="53"/>
      <c r="EE21" s="53"/>
      <c r="EF21" s="53"/>
      <c r="EG21" s="53"/>
      <c r="EH21" s="53"/>
      <c r="EI21" s="53"/>
      <c r="EJ21" s="53"/>
      <c r="EK21" s="53"/>
      <c r="EL21" s="53"/>
      <c r="EM21" s="53"/>
      <c r="EN21" s="53"/>
      <c r="EO21" s="53"/>
      <c r="EP21" s="53"/>
      <c r="EQ21" s="53"/>
      <c r="ER21" s="53"/>
      <c r="ES21" s="53"/>
      <c r="ET21" s="53"/>
      <c r="EU21" s="53"/>
      <c r="EV21" s="53"/>
      <c r="EW21" s="53"/>
      <c r="EX21" s="53"/>
      <c r="EY21" s="53"/>
      <c r="EZ21" s="53"/>
      <c r="FA21" s="53"/>
    </row>
    <row r="23" spans="1:157" s="30" customFormat="1" x14ac:dyDescent="0.25">
      <c r="A23" s="43"/>
      <c r="B23" s="40"/>
      <c r="C23" s="41"/>
      <c r="D23" s="33"/>
      <c r="E23" s="33"/>
      <c r="F23" s="33"/>
      <c r="G23" s="33"/>
      <c r="H23" s="35"/>
      <c r="I23" s="53"/>
      <c r="J23" s="53"/>
      <c r="K23" s="53"/>
      <c r="L23" s="53"/>
      <c r="M23" s="53"/>
      <c r="N23" s="53"/>
      <c r="O23" s="53"/>
      <c r="P23" s="53"/>
      <c r="Q23" s="53"/>
      <c r="R23" s="53"/>
      <c r="S23" s="53"/>
      <c r="T23" s="53"/>
      <c r="U23" s="53"/>
      <c r="V23" s="53"/>
      <c r="W23" s="53"/>
      <c r="X23" s="53"/>
      <c r="Y23" s="53"/>
      <c r="Z23" s="53"/>
      <c r="AA23" s="53"/>
      <c r="AB23" s="53"/>
      <c r="AC23" s="53"/>
      <c r="AD23" s="53"/>
      <c r="AE23" s="53"/>
      <c r="AF23" s="53"/>
      <c r="AG23" s="53"/>
      <c r="AH23" s="53"/>
      <c r="AI23" s="53"/>
      <c r="AJ23" s="53"/>
      <c r="AK23" s="53"/>
      <c r="AL23" s="53"/>
      <c r="AM23" s="53"/>
      <c r="AN23" s="53"/>
      <c r="AO23" s="53"/>
      <c r="AP23" s="53"/>
      <c r="AQ23" s="53"/>
      <c r="AR23" s="53"/>
      <c r="AS23" s="53"/>
      <c r="AT23" s="53"/>
      <c r="AU23" s="53"/>
      <c r="AV23" s="53"/>
      <c r="AW23" s="53"/>
      <c r="AX23" s="53"/>
      <c r="AY23" s="53"/>
      <c r="AZ23" s="53"/>
      <c r="BA23" s="53"/>
      <c r="BB23" s="53"/>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3"/>
      <c r="CB23" s="53"/>
      <c r="CC23" s="53"/>
      <c r="CD23" s="53"/>
      <c r="CE23" s="53"/>
      <c r="CF23" s="53"/>
      <c r="CG23" s="53"/>
      <c r="CH23" s="53"/>
      <c r="CI23" s="53"/>
      <c r="CJ23" s="53"/>
      <c r="CK23" s="53"/>
      <c r="CL23" s="53"/>
      <c r="CM23" s="53"/>
      <c r="CN23" s="53"/>
      <c r="CO23" s="53"/>
      <c r="CP23" s="53"/>
      <c r="CQ23" s="53"/>
      <c r="CR23" s="53"/>
      <c r="CS23" s="53"/>
      <c r="CT23" s="53"/>
      <c r="CU23" s="53"/>
      <c r="CV23" s="53"/>
      <c r="CW23" s="53"/>
      <c r="CX23" s="53"/>
      <c r="CY23" s="53"/>
      <c r="CZ23" s="53"/>
      <c r="DA23" s="53"/>
      <c r="DB23" s="53"/>
      <c r="DC23" s="53"/>
      <c r="DD23" s="53"/>
      <c r="DE23" s="53"/>
      <c r="DF23" s="53"/>
      <c r="DG23" s="53"/>
      <c r="DH23" s="53"/>
      <c r="DI23" s="53"/>
      <c r="DJ23" s="53"/>
      <c r="DK23" s="53"/>
      <c r="DL23" s="53"/>
      <c r="DM23" s="53"/>
      <c r="DN23" s="53"/>
      <c r="DO23" s="53"/>
      <c r="DP23" s="53"/>
      <c r="DQ23" s="53"/>
      <c r="DR23" s="53"/>
      <c r="DS23" s="53"/>
      <c r="DT23" s="53"/>
      <c r="DU23" s="53"/>
      <c r="DV23" s="53"/>
      <c r="DW23" s="53"/>
      <c r="DX23" s="53"/>
      <c r="DY23" s="53"/>
      <c r="DZ23" s="53"/>
      <c r="EA23" s="53"/>
      <c r="EB23" s="53"/>
      <c r="EC23" s="53"/>
      <c r="ED23" s="53"/>
      <c r="EE23" s="53"/>
      <c r="EF23" s="53"/>
      <c r="EG23" s="53"/>
      <c r="EH23" s="53"/>
      <c r="EI23" s="53"/>
      <c r="EJ23" s="53"/>
      <c r="EK23" s="53"/>
      <c r="EL23" s="53"/>
      <c r="EM23" s="53"/>
      <c r="EN23" s="53"/>
      <c r="EO23" s="53"/>
      <c r="EP23" s="53"/>
      <c r="EQ23" s="53"/>
      <c r="ER23" s="53"/>
      <c r="ES23" s="53"/>
      <c r="ET23" s="53"/>
      <c r="EU23" s="53"/>
      <c r="EV23" s="53"/>
      <c r="EW23" s="53"/>
      <c r="EX23" s="53"/>
      <c r="EY23" s="53"/>
      <c r="EZ23" s="53"/>
      <c r="FA23" s="53"/>
    </row>
    <row r="25" spans="1:157" s="30" customFormat="1" x14ac:dyDescent="0.25">
      <c r="A25" s="43"/>
      <c r="B25" s="40"/>
      <c r="C25" s="41"/>
      <c r="D25" s="33"/>
      <c r="E25" s="33"/>
      <c r="F25" s="33"/>
      <c r="G25" s="33"/>
      <c r="H25" s="35"/>
      <c r="I25" s="53"/>
      <c r="J25" s="53"/>
      <c r="K25" s="53"/>
      <c r="L25" s="53"/>
      <c r="M25" s="53"/>
      <c r="N25" s="53"/>
      <c r="O25" s="53"/>
      <c r="P25" s="53"/>
      <c r="Q25" s="53"/>
      <c r="R25" s="53"/>
      <c r="S25" s="53"/>
      <c r="T25" s="53"/>
      <c r="U25" s="53"/>
      <c r="V25" s="53"/>
      <c r="W25" s="53"/>
      <c r="X25" s="53"/>
      <c r="Y25" s="53"/>
      <c r="Z25" s="53"/>
      <c r="AA25" s="53"/>
      <c r="AB25" s="53"/>
      <c r="AC25" s="53"/>
      <c r="AD25" s="53"/>
      <c r="AE25" s="53"/>
      <c r="AF25" s="53"/>
      <c r="AG25" s="53"/>
      <c r="AH25" s="53"/>
      <c r="AI25" s="53"/>
      <c r="AJ25" s="53"/>
      <c r="AK25" s="53"/>
      <c r="AL25" s="53"/>
      <c r="AM25" s="53"/>
      <c r="AN25" s="53"/>
      <c r="AO25" s="53"/>
      <c r="AP25" s="53"/>
      <c r="AQ25" s="53"/>
      <c r="AR25" s="53"/>
      <c r="AS25" s="53"/>
      <c r="AT25" s="53"/>
      <c r="AU25" s="53"/>
      <c r="AV25" s="53"/>
      <c r="AW25" s="53"/>
      <c r="AX25" s="53"/>
      <c r="AY25" s="53"/>
      <c r="AZ25" s="53"/>
      <c r="BA25" s="53"/>
      <c r="BB25" s="53"/>
      <c r="BC25" s="53"/>
      <c r="BD25" s="53"/>
      <c r="BE25" s="53"/>
      <c r="BF25" s="53"/>
      <c r="BG25" s="53"/>
      <c r="BH25" s="53"/>
      <c r="BI25" s="53"/>
      <c r="BJ25" s="53"/>
      <c r="BK25" s="53"/>
      <c r="BL25" s="53"/>
      <c r="BM25" s="53"/>
      <c r="BN25" s="53"/>
      <c r="BO25" s="53"/>
      <c r="BP25" s="53"/>
      <c r="BQ25" s="53"/>
      <c r="BR25" s="53"/>
      <c r="BS25" s="53"/>
      <c r="BT25" s="53"/>
      <c r="BU25" s="53"/>
      <c r="BV25" s="53"/>
      <c r="BW25" s="53"/>
      <c r="BX25" s="53"/>
      <c r="BY25" s="53"/>
      <c r="BZ25" s="53"/>
      <c r="CA25" s="53"/>
      <c r="CB25" s="53"/>
      <c r="CC25" s="53"/>
      <c r="CD25" s="53"/>
      <c r="CE25" s="53"/>
      <c r="CF25" s="53"/>
      <c r="CG25" s="53"/>
      <c r="CH25" s="53"/>
      <c r="CI25" s="53"/>
      <c r="CJ25" s="53"/>
      <c r="CK25" s="53"/>
      <c r="CL25" s="53"/>
      <c r="CM25" s="53"/>
      <c r="CN25" s="53"/>
      <c r="CO25" s="53"/>
      <c r="CP25" s="53"/>
      <c r="CQ25" s="53"/>
      <c r="CR25" s="53"/>
      <c r="CS25" s="53"/>
      <c r="CT25" s="53"/>
      <c r="CU25" s="53"/>
      <c r="CV25" s="53"/>
      <c r="CW25" s="53"/>
      <c r="CX25" s="53"/>
      <c r="CY25" s="53"/>
      <c r="CZ25" s="53"/>
      <c r="DA25" s="53"/>
      <c r="DB25" s="53"/>
      <c r="DC25" s="53"/>
      <c r="DD25" s="53"/>
      <c r="DE25" s="53"/>
      <c r="DF25" s="53"/>
      <c r="DG25" s="53"/>
      <c r="DH25" s="53"/>
      <c r="DI25" s="53"/>
      <c r="DJ25" s="53"/>
      <c r="DK25" s="53"/>
      <c r="DL25" s="53"/>
      <c r="DM25" s="53"/>
      <c r="DN25" s="53"/>
      <c r="DO25" s="53"/>
      <c r="DP25" s="53"/>
      <c r="DQ25" s="53"/>
      <c r="DR25" s="53"/>
      <c r="DS25" s="53"/>
      <c r="DT25" s="53"/>
      <c r="DU25" s="53"/>
      <c r="DV25" s="53"/>
      <c r="DW25" s="53"/>
      <c r="DX25" s="53"/>
      <c r="DY25" s="53"/>
      <c r="DZ25" s="53"/>
      <c r="EA25" s="53"/>
      <c r="EB25" s="53"/>
      <c r="EC25" s="53"/>
      <c r="ED25" s="53"/>
      <c r="EE25" s="53"/>
      <c r="EF25" s="53"/>
      <c r="EG25" s="53"/>
      <c r="EH25" s="53"/>
      <c r="EI25" s="53"/>
      <c r="EJ25" s="53"/>
      <c r="EK25" s="53"/>
      <c r="EL25" s="53"/>
      <c r="EM25" s="53"/>
      <c r="EN25" s="53"/>
      <c r="EO25" s="53"/>
      <c r="EP25" s="53"/>
      <c r="EQ25" s="53"/>
      <c r="ER25" s="53"/>
      <c r="ES25" s="53"/>
      <c r="ET25" s="53"/>
      <c r="EU25" s="53"/>
      <c r="EV25" s="53"/>
      <c r="EW25" s="53"/>
      <c r="EX25" s="53"/>
      <c r="EY25" s="53"/>
      <c r="EZ25" s="53"/>
      <c r="FA25" s="53"/>
    </row>
    <row r="27" spans="1:157" s="30" customFormat="1" x14ac:dyDescent="0.25">
      <c r="A27" s="43"/>
      <c r="B27" s="40"/>
      <c r="C27" s="41"/>
      <c r="D27" s="33"/>
      <c r="E27" s="33"/>
      <c r="F27" s="33"/>
      <c r="G27" s="33"/>
      <c r="H27" s="35"/>
      <c r="I27" s="53"/>
      <c r="J27" s="53"/>
      <c r="K27" s="53"/>
      <c r="L27" s="53"/>
      <c r="M27" s="53"/>
      <c r="N27" s="53"/>
      <c r="O27" s="53"/>
      <c r="P27" s="53"/>
      <c r="Q27" s="53"/>
      <c r="R27" s="53"/>
      <c r="S27" s="53"/>
      <c r="T27" s="53"/>
      <c r="U27" s="53"/>
      <c r="V27" s="53"/>
      <c r="W27" s="53"/>
      <c r="X27" s="53"/>
      <c r="Y27" s="53"/>
      <c r="Z27" s="53"/>
      <c r="AA27" s="53"/>
      <c r="AB27" s="53"/>
      <c r="AC27" s="53"/>
      <c r="AD27" s="53"/>
      <c r="AE27" s="53"/>
      <c r="AF27" s="53"/>
      <c r="AG27" s="53"/>
      <c r="AH27" s="53"/>
      <c r="AI27" s="53"/>
      <c r="AJ27" s="53"/>
      <c r="AK27" s="53"/>
      <c r="AL27" s="53"/>
      <c r="AM27" s="53"/>
      <c r="AN27" s="53"/>
      <c r="AO27" s="53"/>
      <c r="AP27" s="53"/>
      <c r="AQ27" s="53"/>
      <c r="AR27" s="53"/>
      <c r="AS27" s="53"/>
      <c r="AT27" s="53"/>
      <c r="AU27" s="53"/>
      <c r="AV27" s="53"/>
      <c r="AW27" s="53"/>
      <c r="AX27" s="53"/>
      <c r="AY27" s="53"/>
      <c r="AZ27" s="53"/>
      <c r="BA27" s="53"/>
      <c r="BB27" s="53"/>
      <c r="BC27" s="53"/>
      <c r="BD27" s="53"/>
      <c r="BE27" s="53"/>
      <c r="BF27" s="53"/>
      <c r="BG27" s="53"/>
      <c r="BH27" s="53"/>
      <c r="BI27" s="53"/>
      <c r="BJ27" s="53"/>
      <c r="BK27" s="53"/>
      <c r="BL27" s="53"/>
      <c r="BM27" s="53"/>
      <c r="BN27" s="53"/>
      <c r="BO27" s="53"/>
      <c r="BP27" s="53"/>
      <c r="BQ27" s="53"/>
      <c r="BR27" s="53"/>
      <c r="BS27" s="53"/>
      <c r="BT27" s="53"/>
      <c r="BU27" s="53"/>
      <c r="BV27" s="53"/>
      <c r="BW27" s="53"/>
      <c r="BX27" s="53"/>
      <c r="BY27" s="53"/>
      <c r="BZ27" s="53"/>
      <c r="CA27" s="53"/>
      <c r="CB27" s="53"/>
      <c r="CC27" s="53"/>
      <c r="CD27" s="53"/>
      <c r="CE27" s="53"/>
      <c r="CF27" s="53"/>
      <c r="CG27" s="53"/>
      <c r="CH27" s="53"/>
      <c r="CI27" s="53"/>
      <c r="CJ27" s="53"/>
      <c r="CK27" s="53"/>
      <c r="CL27" s="53"/>
      <c r="CM27" s="53"/>
      <c r="CN27" s="53"/>
      <c r="CO27" s="53"/>
      <c r="CP27" s="53"/>
      <c r="CQ27" s="53"/>
      <c r="CR27" s="53"/>
      <c r="CS27" s="53"/>
      <c r="CT27" s="53"/>
      <c r="CU27" s="53"/>
      <c r="CV27" s="53"/>
      <c r="CW27" s="53"/>
      <c r="CX27" s="53"/>
      <c r="CY27" s="53"/>
      <c r="CZ27" s="53"/>
      <c r="DA27" s="53"/>
      <c r="DB27" s="53"/>
      <c r="DC27" s="53"/>
      <c r="DD27" s="53"/>
      <c r="DE27" s="53"/>
      <c r="DF27" s="53"/>
      <c r="DG27" s="53"/>
      <c r="DH27" s="53"/>
      <c r="DI27" s="53"/>
      <c r="DJ27" s="53"/>
      <c r="DK27" s="53"/>
      <c r="DL27" s="53"/>
      <c r="DM27" s="53"/>
      <c r="DN27" s="53"/>
      <c r="DO27" s="53"/>
      <c r="DP27" s="53"/>
      <c r="DQ27" s="53"/>
      <c r="DR27" s="53"/>
      <c r="DS27" s="53"/>
      <c r="DT27" s="53"/>
      <c r="DU27" s="53"/>
      <c r="DV27" s="53"/>
      <c r="DW27" s="53"/>
      <c r="DX27" s="53"/>
      <c r="DY27" s="53"/>
      <c r="DZ27" s="53"/>
      <c r="EA27" s="53"/>
      <c r="EB27" s="53"/>
      <c r="EC27" s="53"/>
      <c r="ED27" s="53"/>
      <c r="EE27" s="53"/>
      <c r="EF27" s="53"/>
      <c r="EG27" s="53"/>
      <c r="EH27" s="53"/>
      <c r="EI27" s="53"/>
      <c r="EJ27" s="53"/>
      <c r="EK27" s="53"/>
      <c r="EL27" s="53"/>
      <c r="EM27" s="53"/>
      <c r="EN27" s="53"/>
      <c r="EO27" s="53"/>
      <c r="EP27" s="53"/>
      <c r="EQ27" s="53"/>
      <c r="ER27" s="53"/>
      <c r="ES27" s="53"/>
      <c r="ET27" s="53"/>
      <c r="EU27" s="53"/>
      <c r="EV27" s="53"/>
      <c r="EW27" s="53"/>
      <c r="EX27" s="53"/>
      <c r="EY27" s="53"/>
      <c r="EZ27" s="53"/>
      <c r="FA27" s="53"/>
    </row>
  </sheetData>
  <phoneticPr fontId="5" type="noConversion"/>
  <pageMargins left="0.75" right="0.75" top="1" bottom="1" header="0.5" footer="0.5"/>
  <pageSetup orientation="portrait" verticalDpi="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73FD3-45A7-4CE1-B280-C4AB7FACA3F4}">
  <sheetPr codeName="Sheet3"/>
  <dimension ref="A1"/>
  <sheetViews>
    <sheetView workbookViewId="0">
      <selection activeCell="F14" sqref="F14"/>
    </sheetView>
  </sheetViews>
  <sheetFormatPr defaultRowHeight="15" x14ac:dyDescent="0.2"/>
  <sheetData/>
  <phoneticPr fontId="5"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81A5B-3509-4B15-BC8C-0128AE7F85E8}">
  <sheetPr codeName="Sheet5"/>
  <dimension ref="A1:J19"/>
  <sheetViews>
    <sheetView workbookViewId="0">
      <selection activeCell="J8" sqref="J8"/>
    </sheetView>
  </sheetViews>
  <sheetFormatPr defaultRowHeight="15" x14ac:dyDescent="0.2"/>
  <cols>
    <col min="2" max="7" width="16.88671875" customWidth="1"/>
    <col min="9" max="10" width="17.88671875" customWidth="1"/>
  </cols>
  <sheetData>
    <row r="1" spans="1:10" x14ac:dyDescent="0.2">
      <c r="A1" t="s">
        <v>46</v>
      </c>
    </row>
    <row r="4" spans="1:10" x14ac:dyDescent="0.2">
      <c r="A4" t="s">
        <v>47</v>
      </c>
      <c r="B4" t="s">
        <v>48</v>
      </c>
      <c r="C4" t="s">
        <v>49</v>
      </c>
      <c r="D4" t="s">
        <v>50</v>
      </c>
      <c r="E4" t="s">
        <v>51</v>
      </c>
      <c r="F4" t="s">
        <v>52</v>
      </c>
      <c r="G4" t="s">
        <v>53</v>
      </c>
      <c r="I4" t="s">
        <v>54</v>
      </c>
    </row>
    <row r="5" spans="1:10" x14ac:dyDescent="0.2">
      <c r="A5">
        <f>Worksheet!A4</f>
        <v>180</v>
      </c>
      <c r="B5" s="44">
        <f>Worksheet!C4</f>
        <v>2850.4049</v>
      </c>
      <c r="C5" s="44">
        <f>Worksheet!E4</f>
        <v>9484.4433000000008</v>
      </c>
      <c r="D5" s="44">
        <f>LambertNorthing(Worksheet!G4,Worksheet!H4)</f>
        <v>-3386351.5089594121</v>
      </c>
      <c r="E5" s="44">
        <f>LambertEasting(Worksheet!G4,Worksheet!H4)</f>
        <v>25669.608397519278</v>
      </c>
      <c r="F5" s="44">
        <f t="shared" ref="F5:G9" si="0">D5-B5</f>
        <v>-3389201.9138594121</v>
      </c>
      <c r="G5" s="44">
        <f t="shared" si="0"/>
        <v>16185.165097519277</v>
      </c>
      <c r="I5" s="46"/>
      <c r="J5" s="45">
        <f>SQRT(AVERAGE(F5:F9^2))</f>
        <v>3389201.9138594121</v>
      </c>
    </row>
    <row r="6" spans="1:10" x14ac:dyDescent="0.2">
      <c r="A6">
        <f>Worksheet!A5</f>
        <v>200</v>
      </c>
      <c r="B6" s="44">
        <f>Worksheet!C5</f>
        <v>8054.7961999999998</v>
      </c>
      <c r="C6" s="44">
        <f>Worksheet!E5</f>
        <v>17510.600999999999</v>
      </c>
      <c r="D6" s="44">
        <f>LambertNorthing(Worksheet!G5,Worksheet!H5)</f>
        <v>-945120.52761860134</v>
      </c>
      <c r="E6" s="44">
        <f>LambertEasting(Worksheet!G5,Worksheet!H5)</f>
        <v>34063.998260615146</v>
      </c>
      <c r="F6" s="44">
        <f t="shared" si="0"/>
        <v>-953175.32381860132</v>
      </c>
      <c r="G6" s="44">
        <f t="shared" si="0"/>
        <v>16553.397260615147</v>
      </c>
      <c r="I6" s="46"/>
      <c r="J6" s="45">
        <f>SQRT(AVERAGE(G5:G9^2))</f>
        <v>16553.397260615147</v>
      </c>
    </row>
    <row r="7" spans="1:10" x14ac:dyDescent="0.2">
      <c r="A7">
        <f>Worksheet!A6</f>
        <v>5913</v>
      </c>
      <c r="B7" s="44">
        <f>Worksheet!C6</f>
        <v>-7787.1563999999998</v>
      </c>
      <c r="C7" s="44">
        <f>Worksheet!E6</f>
        <v>4045.5988000000002</v>
      </c>
      <c r="D7" s="44">
        <f>LambertNorthing(Worksheet!G6,Worksheet!H6)</f>
        <v>-638705.45776173938</v>
      </c>
      <c r="E7" s="44">
        <f>LambertEasting(Worksheet!G6,Worksheet!H6)</f>
        <v>19985.916433647846</v>
      </c>
      <c r="F7" s="44">
        <f t="shared" si="0"/>
        <v>-630918.3013617394</v>
      </c>
      <c r="G7" s="44">
        <f t="shared" si="0"/>
        <v>15940.317633647846</v>
      </c>
      <c r="I7" s="46"/>
      <c r="J7" s="45">
        <f>SQRT(J5^2+J6^2)</f>
        <v>3389242.3383212313</v>
      </c>
    </row>
    <row r="8" spans="1:10" x14ac:dyDescent="0.2">
      <c r="A8">
        <f>Worksheet!A7</f>
        <v>5921</v>
      </c>
      <c r="B8" s="44">
        <f>Worksheet!C7</f>
        <v>-8039.1863000000003</v>
      </c>
      <c r="C8" s="44">
        <f>Worksheet!E7</f>
        <v>14914.625</v>
      </c>
      <c r="D8" s="44">
        <f>LambertNorthing(Worksheet!G7,Worksheet!H7)</f>
        <v>-485708.25007001898</v>
      </c>
      <c r="E8" s="44">
        <f>LambertEasting(Worksheet!G7,Worksheet!H7)</f>
        <v>31352.578661969084</v>
      </c>
      <c r="F8" s="44">
        <f t="shared" si="0"/>
        <v>-477669.06377001898</v>
      </c>
      <c r="G8" s="44">
        <f t="shared" si="0"/>
        <v>16437.953661969084</v>
      </c>
    </row>
    <row r="9" spans="1:10" x14ac:dyDescent="0.2">
      <c r="A9">
        <f>Worksheet!A8</f>
        <v>6109</v>
      </c>
      <c r="B9" s="44">
        <f>Worksheet!C8</f>
        <v>21242.420399999999</v>
      </c>
      <c r="C9" s="44">
        <f>Worksheet!E8</f>
        <v>-961.94439999999997</v>
      </c>
      <c r="D9" s="44">
        <f>LambertNorthing(Worksheet!G8,Worksheet!H8)</f>
        <v>-368813.79355844366</v>
      </c>
      <c r="E9" s="44">
        <f>LambertEasting(Worksheet!G8,Worksheet!H8)</f>
        <v>14731.244980897669</v>
      </c>
      <c r="F9" s="44">
        <f t="shared" si="0"/>
        <v>-390056.21395844367</v>
      </c>
      <c r="G9" s="44">
        <f t="shared" si="0"/>
        <v>15693.189380897669</v>
      </c>
      <c r="J9" s="45">
        <f>MAX(ABS(F5:F9))</f>
        <v>390056.21395844367</v>
      </c>
    </row>
    <row r="10" spans="1:10" x14ac:dyDescent="0.2">
      <c r="B10" s="44"/>
      <c r="C10" s="44"/>
      <c r="D10" s="44"/>
      <c r="E10" s="44"/>
      <c r="F10" s="44"/>
      <c r="G10" s="44"/>
      <c r="J10" s="45" t="e">
        <f>MAX(ABS(G5:G9))</f>
        <v>#VALUE!</v>
      </c>
    </row>
    <row r="11" spans="1:10" x14ac:dyDescent="0.2">
      <c r="B11" s="44"/>
      <c r="C11" s="44"/>
      <c r="D11" s="44"/>
      <c r="E11" s="44"/>
      <c r="F11" s="44"/>
      <c r="G11" s="44"/>
    </row>
    <row r="12" spans="1:10" x14ac:dyDescent="0.2">
      <c r="B12" s="44"/>
      <c r="C12" s="44"/>
      <c r="D12" s="44"/>
      <c r="E12" s="44"/>
      <c r="F12" s="44"/>
      <c r="G12" s="44"/>
      <c r="J12">
        <f>COUNTA(A5:A9)</f>
        <v>5</v>
      </c>
    </row>
    <row r="13" spans="1:10" x14ac:dyDescent="0.2">
      <c r="B13" s="44"/>
      <c r="C13" s="44"/>
      <c r="D13" s="44"/>
      <c r="E13" s="44"/>
      <c r="F13" s="44"/>
      <c r="G13" s="44"/>
    </row>
    <row r="14" spans="1:10" x14ac:dyDescent="0.2">
      <c r="B14" s="44"/>
      <c r="C14" s="44"/>
      <c r="D14" s="44"/>
      <c r="E14" s="44"/>
      <c r="F14" s="44"/>
      <c r="G14" s="44"/>
    </row>
    <row r="15" spans="1:10" x14ac:dyDescent="0.2">
      <c r="B15" s="44"/>
      <c r="C15" s="44"/>
      <c r="D15" s="44"/>
      <c r="E15" s="44"/>
      <c r="F15" s="44"/>
      <c r="G15" s="44"/>
    </row>
    <row r="16" spans="1:10" x14ac:dyDescent="0.2">
      <c r="B16" s="44"/>
      <c r="C16" s="44"/>
      <c r="D16" s="44"/>
      <c r="E16" s="44"/>
      <c r="F16" s="44"/>
      <c r="G16" s="44"/>
    </row>
    <row r="17" spans="2:10" x14ac:dyDescent="0.2">
      <c r="B17" s="44"/>
      <c r="C17" s="44"/>
      <c r="D17" s="44"/>
      <c r="E17" s="44"/>
      <c r="F17" s="44"/>
      <c r="G17" s="44"/>
    </row>
    <row r="18" spans="2:10" x14ac:dyDescent="0.2">
      <c r="B18" s="44"/>
      <c r="C18" s="44"/>
      <c r="D18" s="44"/>
      <c r="E18" s="44"/>
      <c r="F18" s="44"/>
      <c r="G18" s="44"/>
      <c r="J18" s="46"/>
    </row>
    <row r="19" spans="2:10" x14ac:dyDescent="0.2">
      <c r="B19" s="44"/>
      <c r="C19" s="44"/>
      <c r="D19" s="44"/>
      <c r="E19" s="44"/>
      <c r="F19" s="44"/>
      <c r="G19" s="44"/>
      <c r="J19" s="46"/>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5D5FA5-B024-41B7-940D-B70A44C43F14}">
  <sheetPr codeName="Sheet2"/>
  <dimension ref="B3:P17"/>
  <sheetViews>
    <sheetView topLeftCell="D1" workbookViewId="0">
      <selection activeCell="G8" sqref="G8"/>
    </sheetView>
  </sheetViews>
  <sheetFormatPr defaultRowHeight="15" x14ac:dyDescent="0.2"/>
  <cols>
    <col min="2" max="2" width="10.88671875" customWidth="1"/>
    <col min="3" max="3" width="13.6640625" customWidth="1"/>
    <col min="7" max="7" width="12.44140625" customWidth="1"/>
    <col min="9" max="12" width="12.77734375" bestFit="1" customWidth="1"/>
  </cols>
  <sheetData>
    <row r="3" spans="2:16" x14ac:dyDescent="0.2">
      <c r="B3">
        <v>18610.329399999999</v>
      </c>
      <c r="C3">
        <v>17411.3475</v>
      </c>
      <c r="D3">
        <v>1</v>
      </c>
      <c r="E3">
        <v>0</v>
      </c>
      <c r="G3">
        <v>18610.329399999999</v>
      </c>
      <c r="H3">
        <v>17411.3475</v>
      </c>
      <c r="I3">
        <v>16187.7372</v>
      </c>
      <c r="J3">
        <v>24889.932400000002</v>
      </c>
      <c r="K3">
        <v>17349.581699999999</v>
      </c>
      <c r="L3">
        <v>24122.115600000001</v>
      </c>
      <c r="M3">
        <v>18011.2274</v>
      </c>
      <c r="N3">
        <v>22763.4764</v>
      </c>
      <c r="O3">
        <v>17339.6319</v>
      </c>
      <c r="P3">
        <v>24121.896700000001</v>
      </c>
    </row>
    <row r="4" spans="2:16" x14ac:dyDescent="0.2">
      <c r="B4">
        <v>17411.3475</v>
      </c>
      <c r="C4">
        <v>-18610.329399999999</v>
      </c>
      <c r="D4">
        <v>0</v>
      </c>
      <c r="E4">
        <v>1</v>
      </c>
      <c r="G4">
        <v>17411.3475</v>
      </c>
      <c r="H4">
        <v>-18610.329399999999</v>
      </c>
      <c r="I4">
        <v>24889.932400000002</v>
      </c>
      <c r="J4">
        <v>-16187.7372</v>
      </c>
      <c r="K4">
        <v>24122.115600000001</v>
      </c>
      <c r="L4">
        <v>-17349.581699999999</v>
      </c>
      <c r="M4">
        <v>22763.4764</v>
      </c>
      <c r="N4">
        <v>-18011.2274</v>
      </c>
      <c r="O4">
        <v>24121.896700000001</v>
      </c>
      <c r="P4">
        <v>-17339.6319</v>
      </c>
    </row>
    <row r="5" spans="2:16" x14ac:dyDescent="0.2">
      <c r="B5">
        <v>16187.7372</v>
      </c>
      <c r="C5">
        <v>24889.932400000002</v>
      </c>
      <c r="D5">
        <v>1</v>
      </c>
      <c r="E5">
        <v>0</v>
      </c>
      <c r="G5">
        <v>1</v>
      </c>
      <c r="H5">
        <v>0</v>
      </c>
      <c r="I5">
        <v>1</v>
      </c>
      <c r="J5">
        <v>0</v>
      </c>
      <c r="K5">
        <v>1</v>
      </c>
      <c r="L5">
        <v>0</v>
      </c>
      <c r="M5">
        <v>1</v>
      </c>
      <c r="N5">
        <v>0</v>
      </c>
      <c r="O5">
        <v>1</v>
      </c>
      <c r="P5">
        <v>0</v>
      </c>
    </row>
    <row r="6" spans="2:16" x14ac:dyDescent="0.2">
      <c r="B6">
        <v>24889.932400000002</v>
      </c>
      <c r="C6">
        <v>-16187.7372</v>
      </c>
      <c r="D6">
        <v>0</v>
      </c>
      <c r="E6">
        <v>1</v>
      </c>
      <c r="G6">
        <v>0</v>
      </c>
      <c r="H6">
        <v>1</v>
      </c>
      <c r="I6">
        <v>0</v>
      </c>
      <c r="J6">
        <v>1</v>
      </c>
      <c r="K6">
        <v>0</v>
      </c>
      <c r="L6">
        <v>1</v>
      </c>
      <c r="M6">
        <v>0</v>
      </c>
      <c r="N6">
        <v>1</v>
      </c>
      <c r="O6">
        <v>0</v>
      </c>
      <c r="P6">
        <v>1</v>
      </c>
    </row>
    <row r="7" spans="2:16" x14ac:dyDescent="0.2">
      <c r="B7">
        <v>17349.581699999999</v>
      </c>
      <c r="C7">
        <v>24122.115600000001</v>
      </c>
      <c r="D7">
        <v>1</v>
      </c>
      <c r="E7">
        <v>0</v>
      </c>
    </row>
    <row r="8" spans="2:16" x14ac:dyDescent="0.2">
      <c r="B8">
        <v>24122.115600000001</v>
      </c>
      <c r="C8">
        <v>-17349.581699999999</v>
      </c>
      <c r="D8">
        <v>0</v>
      </c>
      <c r="E8">
        <v>1</v>
      </c>
      <c r="G8">
        <v>8826832.1506746542</v>
      </c>
      <c r="I8" s="6">
        <f t="array" ref="I8:L11">MINVERSE(MMULT(BTra,BMat))</f>
        <v>2.4955623171224846E-8</v>
      </c>
      <c r="J8" s="6">
        <v>-2.8325270954029054E-22</v>
      </c>
      <c r="K8" s="6">
        <v>-4.3671595674202426E-4</v>
      </c>
      <c r="L8" s="6">
        <v>-5.6553818623542777E-4</v>
      </c>
    </row>
    <row r="9" spans="2:16" x14ac:dyDescent="0.2">
      <c r="B9">
        <v>18011.2274</v>
      </c>
      <c r="C9">
        <v>22763.4764</v>
      </c>
      <c r="D9">
        <v>1</v>
      </c>
      <c r="E9">
        <v>0</v>
      </c>
      <c r="G9">
        <v>691154.10660463572</v>
      </c>
      <c r="I9" s="6">
        <v>1.7338499190042026E-22</v>
      </c>
      <c r="J9" s="6">
        <v>2.4955623171224819E-8</v>
      </c>
      <c r="K9" s="6">
        <v>-5.6553818623542517E-4</v>
      </c>
      <c r="L9" s="6">
        <v>4.3671595674202627E-4</v>
      </c>
    </row>
    <row r="10" spans="2:16" x14ac:dyDescent="0.2">
      <c r="B10">
        <v>22763.4764</v>
      </c>
      <c r="C10">
        <v>-18011.2274</v>
      </c>
      <c r="D10">
        <v>0</v>
      </c>
      <c r="E10">
        <v>1</v>
      </c>
      <c r="G10">
        <v>8824185.0834767949</v>
      </c>
      <c r="I10" s="6">
        <v>-4.3671595674203467E-4</v>
      </c>
      <c r="J10" s="6">
        <v>-5.6553818623541715E-4</v>
      </c>
      <c r="K10" s="6">
        <v>20.658485987729353</v>
      </c>
      <c r="L10" s="6">
        <v>1.8952530358671816E-13</v>
      </c>
    </row>
    <row r="11" spans="2:16" x14ac:dyDescent="0.2">
      <c r="B11">
        <v>17339.6319</v>
      </c>
      <c r="C11">
        <v>24121.896700000001</v>
      </c>
      <c r="D11">
        <v>1</v>
      </c>
      <c r="E11">
        <v>0</v>
      </c>
      <c r="G11">
        <v>698554.28088259697</v>
      </c>
      <c r="I11" s="6">
        <v>-5.6553818623541975E-4</v>
      </c>
      <c r="J11" s="6">
        <v>4.3671595674203668E-4</v>
      </c>
      <c r="K11" s="6">
        <v>-1.8952530358671816E-13</v>
      </c>
      <c r="L11" s="6">
        <v>20.658485987729449</v>
      </c>
    </row>
    <row r="12" spans="2:16" x14ac:dyDescent="0.2">
      <c r="B12">
        <v>24121.896700000001</v>
      </c>
      <c r="C12">
        <v>-17339.6319</v>
      </c>
      <c r="D12">
        <v>0</v>
      </c>
      <c r="E12">
        <v>1</v>
      </c>
      <c r="G12">
        <v>8825369.3468160816</v>
      </c>
    </row>
    <row r="13" spans="2:16" x14ac:dyDescent="0.2">
      <c r="G13">
        <v>697822.12603382021</v>
      </c>
      <c r="I13" s="6">
        <f t="array" ref="I13:I16">MMULT(BTra,FMat)</f>
        <v>851168202815.10364</v>
      </c>
      <c r="K13" s="6">
        <f t="array" ref="K13:K16">MMULT(I8:L11,I13:I16)</f>
        <v>0.99931081004365296</v>
      </c>
    </row>
    <row r="14" spans="2:16" x14ac:dyDescent="0.2">
      <c r="G14">
        <v>8826071.6209158134</v>
      </c>
      <c r="I14" s="6">
        <v>939081422895.56311</v>
      </c>
      <c r="K14" s="6">
        <v>-3.0238806674788066E-2</v>
      </c>
    </row>
    <row r="15" spans="2:16" x14ac:dyDescent="0.2">
      <c r="G15">
        <v>696484.42913074791</v>
      </c>
      <c r="I15" s="6">
        <v>44127817.612578571</v>
      </c>
      <c r="K15" s="6">
        <v>8808761.1460037865</v>
      </c>
    </row>
    <row r="16" spans="2:16" x14ac:dyDescent="0.2">
      <c r="G16">
        <v>8825359.4106952269</v>
      </c>
      <c r="I16" s="6">
        <v>3481836.5484122746</v>
      </c>
      <c r="K16" s="6">
        <v>673192.00412425399</v>
      </c>
    </row>
    <row r="17" spans="7:7" x14ac:dyDescent="0.2">
      <c r="G17">
        <v>697821.60576047376</v>
      </c>
    </row>
  </sheetData>
  <phoneticPr fontId="5"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Worksheet</vt:lpstr>
      <vt:lpstr>Stored</vt:lpstr>
      <vt:lpstr>Info</vt:lpstr>
      <vt:lpstr>Validation</vt:lpstr>
      <vt:lpstr>Computations</vt:lpstr>
      <vt:lpstr>BMat</vt:lpstr>
      <vt:lpstr>BTra</vt:lpstr>
      <vt:lpstr>FMat</vt:lpstr>
    </vt:vector>
  </TitlesOfParts>
  <Company>OIT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 Hsu</dc:creator>
  <cp:lastModifiedBy>Jeff Hsu</cp:lastModifiedBy>
  <cp:lastPrinted>2026-02-09T21:19:26Z</cp:lastPrinted>
  <dcterms:created xsi:type="dcterms:W3CDTF">1999-12-16T17:57:13Z</dcterms:created>
  <dcterms:modified xsi:type="dcterms:W3CDTF">2026-02-11T14:54:21Z</dcterms:modified>
</cp:coreProperties>
</file>