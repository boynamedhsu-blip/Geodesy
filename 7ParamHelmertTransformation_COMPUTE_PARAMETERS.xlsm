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B:\Civil 3D Projects\UnionCountyGPSAdjustment\RESULTS\"/>
    </mc:Choice>
  </mc:AlternateContent>
  <xr:revisionPtr revIDLastSave="0" documentId="13_ncr:1_{C609C153-5DD7-4B85-8AD7-F2A50E0A7B52}" xr6:coauthVersionLast="45" xr6:coauthVersionMax="47" xr10:uidLastSave="{00000000-0000-0000-0000-000000000000}"/>
  <bookViews>
    <workbookView xWindow="1815" yWindow="2445" windowWidth="23325" windowHeight="12045" activeTab="1" xr2:uid="{402D637F-11C6-4C5B-84C3-5F7054BDCC08}"/>
  </bookViews>
  <sheets>
    <sheet name="COMPUTE PARAMETERS" sheetId="1" r:id="rId1"/>
    <sheet name="APPLY TRANSFORMATION" sheetId="3" r:id="rId2"/>
    <sheet name="RESIDUALS" sheetId="2" r:id="rId3"/>
    <sheet name="GEOD-&gt;GEOC" sheetId="4" r:id="rId4"/>
    <sheet name="GEOC-&gt;GEOD" sheetId="5" r:id="rId5"/>
    <sheet name="Sheet1" sheetId="6" r:id="rId6"/>
  </sheets>
  <functionGroups builtInGroupCount="19"/>
  <definedNames>
    <definedName name="BMat">#REF!</definedName>
    <definedName name="BMatrix">TRUE</definedName>
    <definedName name="BTra">#REF!</definedName>
    <definedName name="BTranspose">TRUE</definedName>
    <definedName name="FMat">#REF!</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2" i="4" l="1"/>
  <c r="F15" i="3"/>
  <c r="F16" i="3"/>
  <c r="F17" i="3"/>
  <c r="F18" i="3"/>
  <c r="F19" i="3"/>
  <c r="F20" i="3"/>
  <c r="F21" i="3"/>
  <c r="F22" i="3"/>
  <c r="L15" i="3"/>
  <c r="F4" i="3"/>
  <c r="L13" i="3"/>
  <c r="L20" i="3"/>
  <c r="L19" i="3"/>
  <c r="L18" i="3"/>
  <c r="G4" i="3"/>
  <c r="H4" i="6"/>
  <c r="I4" i="6"/>
  <c r="J4" i="6"/>
  <c r="H5" i="6"/>
  <c r="I5" i="6"/>
  <c r="J5" i="6"/>
  <c r="H6" i="6"/>
  <c r="I6" i="6"/>
  <c r="J6" i="6"/>
  <c r="H7" i="6"/>
  <c r="I7" i="6"/>
  <c r="J7" i="6"/>
  <c r="H8" i="6"/>
  <c r="I8" i="6"/>
  <c r="J8" i="6"/>
  <c r="H9" i="6"/>
  <c r="I9" i="6"/>
  <c r="J9" i="6"/>
  <c r="H10" i="6"/>
  <c r="I10" i="6"/>
  <c r="J10" i="6"/>
  <c r="I3" i="6"/>
  <c r="J3" i="6"/>
  <c r="H3" i="6"/>
  <c r="C18" i="4" a="1"/>
  <c r="B18" i="4" a="1"/>
  <c r="C29" i="6" a="1"/>
  <c r="D32" i="6" a="1"/>
  <c r="E35" i="6" a="1"/>
  <c r="E32" i="6" a="1"/>
  <c r="F32" i="6" a="1"/>
  <c r="G32" i="6" a="1"/>
  <c r="G29" i="6" a="1"/>
  <c r="D33" i="6" a="1"/>
  <c r="D30" i="6" a="1"/>
  <c r="D29" i="6" a="1"/>
  <c r="F35" i="6" a="1"/>
  <c r="E29" i="6" a="1"/>
  <c r="G35" i="6" a="1"/>
  <c r="F29" i="6" a="1"/>
  <c r="C33" i="6" a="1"/>
  <c r="C30" i="6" a="1"/>
  <c r="F36" i="6" a="1"/>
  <c r="F33" i="6" a="1"/>
  <c r="F30" i="6" a="1"/>
  <c r="G33" i="6" a="1"/>
  <c r="F34" i="6" a="1"/>
  <c r="G34" i="6" a="1"/>
  <c r="C35" i="6" a="1"/>
  <c r="C32" i="6" a="1"/>
  <c r="G36" i="6" a="1"/>
  <c r="G30" i="6" a="1"/>
  <c r="C34" i="6" a="1"/>
  <c r="C31" i="6" a="1"/>
  <c r="D34" i="6" a="1"/>
  <c r="D31" i="6" a="1"/>
  <c r="E34" i="6" a="1"/>
  <c r="E31" i="6" a="1"/>
  <c r="F31" i="6" a="1"/>
  <c r="G31" i="6" a="1"/>
  <c r="D35" i="6" a="1"/>
  <c r="C36" i="6" a="1"/>
  <c r="D36" i="6" a="1"/>
  <c r="E36" i="6" a="1"/>
  <c r="E33" i="6" a="1"/>
  <c r="E30" i="6" a="1"/>
  <c r="B30" i="6" a="1"/>
  <c r="B33" i="6" a="1"/>
  <c r="B34" i="6" a="1"/>
  <c r="B31" i="6" a="1"/>
  <c r="B32" i="6" a="1"/>
  <c r="B36" i="6" a="1"/>
  <c r="B35" i="6" a="1"/>
  <c r="B29" i="6" a="1"/>
  <c r="C18" i="4" l="1"/>
  <c r="B18" i="4"/>
  <c r="E30" i="6"/>
  <c r="E33" i="6"/>
  <c r="E36" i="6"/>
  <c r="D36" i="6"/>
  <c r="C36" i="6"/>
  <c r="D35" i="6"/>
  <c r="G31" i="6"/>
  <c r="F31" i="6"/>
  <c r="E31" i="6"/>
  <c r="E34" i="6"/>
  <c r="D31" i="6"/>
  <c r="D34" i="6"/>
  <c r="C31" i="6"/>
  <c r="C34" i="6"/>
  <c r="G30" i="6"/>
  <c r="G36" i="6"/>
  <c r="C32" i="6"/>
  <c r="C35" i="6"/>
  <c r="G34" i="6"/>
  <c r="F34" i="6"/>
  <c r="G33" i="6"/>
  <c r="F30" i="6"/>
  <c r="F33" i="6"/>
  <c r="F36" i="6"/>
  <c r="C30" i="6"/>
  <c r="C33" i="6"/>
  <c r="F29" i="6"/>
  <c r="G35" i="6"/>
  <c r="E29" i="6"/>
  <c r="F35" i="6"/>
  <c r="D29" i="6"/>
  <c r="D30" i="6"/>
  <c r="D33" i="6"/>
  <c r="G29" i="6"/>
  <c r="G32" i="6"/>
  <c r="F32" i="6"/>
  <c r="E32" i="6"/>
  <c r="E35" i="6"/>
  <c r="D32" i="6"/>
  <c r="C29" i="6"/>
  <c r="B35" i="6"/>
  <c r="B36" i="6"/>
  <c r="B32" i="6"/>
  <c r="B31" i="6"/>
  <c r="B34" i="6"/>
  <c r="B33" i="6"/>
  <c r="B30" i="6"/>
  <c r="B29" i="6"/>
  <c r="G5" i="4"/>
  <c r="G6" i="4"/>
  <c r="G7" i="4"/>
  <c r="G16" i="4"/>
  <c r="G17"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89" i="4"/>
  <c r="G190" i="4"/>
  <c r="G191" i="4"/>
  <c r="G192" i="4"/>
  <c r="G193" i="4"/>
  <c r="G194" i="4"/>
  <c r="G195" i="4"/>
  <c r="G196" i="4"/>
  <c r="G197" i="4"/>
  <c r="G198" i="4"/>
  <c r="G199" i="4"/>
  <c r="G200" i="4"/>
  <c r="G201" i="4"/>
  <c r="G202" i="4"/>
  <c r="G203" i="4"/>
  <c r="G204" i="4"/>
  <c r="G205" i="4"/>
  <c r="G206" i="4"/>
  <c r="G207" i="4"/>
  <c r="G208" i="4"/>
  <c r="G209" i="4"/>
  <c r="G210" i="4"/>
  <c r="G211" i="4"/>
  <c r="G212" i="4"/>
  <c r="G213" i="4"/>
  <c r="G214" i="4"/>
  <c r="G215" i="4"/>
  <c r="G216" i="4"/>
  <c r="G217" i="4"/>
  <c r="G218" i="4"/>
  <c r="G219" i="4"/>
  <c r="G220" i="4"/>
  <c r="G221" i="4"/>
  <c r="G222" i="4"/>
  <c r="G223" i="4"/>
  <c r="G224"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297" i="4"/>
  <c r="G298" i="4"/>
  <c r="G299" i="4"/>
  <c r="G300" i="4"/>
  <c r="G301" i="4"/>
  <c r="G302" i="4"/>
  <c r="G303" i="4"/>
  <c r="G304" i="4"/>
  <c r="G305" i="4"/>
  <c r="G306" i="4"/>
  <c r="G307" i="4"/>
  <c r="G308" i="4"/>
  <c r="G309" i="4"/>
  <c r="G310" i="4"/>
  <c r="G311" i="4"/>
  <c r="G312" i="4"/>
  <c r="G313" i="4"/>
  <c r="G314" i="4"/>
  <c r="G315" i="4"/>
  <c r="G316" i="4"/>
  <c r="G317" i="4"/>
  <c r="G318" i="4"/>
  <c r="G319" i="4"/>
  <c r="G320" i="4"/>
  <c r="G321" i="4"/>
  <c r="G322" i="4"/>
  <c r="G323" i="4"/>
  <c r="G324" i="4"/>
  <c r="G325" i="4"/>
  <c r="G326" i="4"/>
  <c r="G327" i="4"/>
  <c r="G328" i="4"/>
  <c r="G329" i="4"/>
  <c r="G330" i="4"/>
  <c r="G331" i="4"/>
  <c r="G332" i="4"/>
  <c r="G333" i="4"/>
  <c r="G334" i="4"/>
  <c r="G335" i="4"/>
  <c r="G336" i="4"/>
  <c r="G337" i="4"/>
  <c r="G338" i="4"/>
  <c r="G339" i="4"/>
  <c r="G340" i="4"/>
  <c r="G341" i="4"/>
  <c r="G342" i="4"/>
  <c r="G343" i="4"/>
  <c r="G344" i="4"/>
  <c r="G345" i="4"/>
  <c r="G346" i="4"/>
  <c r="G347" i="4"/>
  <c r="G348" i="4"/>
  <c r="G349" i="4"/>
  <c r="G350" i="4"/>
  <c r="G351" i="4"/>
  <c r="G352" i="4"/>
  <c r="G353" i="4"/>
  <c r="G354" i="4"/>
  <c r="G355" i="4"/>
  <c r="G356" i="4"/>
  <c r="G357" i="4"/>
  <c r="G358" i="4"/>
  <c r="G359" i="4"/>
  <c r="G360" i="4"/>
  <c r="G361" i="4"/>
  <c r="G362" i="4"/>
  <c r="G363" i="4"/>
  <c r="G364" i="4"/>
  <c r="G365" i="4"/>
  <c r="G366" i="4"/>
  <c r="G367" i="4"/>
  <c r="G368" i="4"/>
  <c r="G369" i="4"/>
  <c r="G370" i="4"/>
  <c r="G371" i="4"/>
  <c r="G372" i="4"/>
  <c r="G373" i="4"/>
  <c r="G374" i="4"/>
  <c r="G375" i="4"/>
  <c r="G376" i="4"/>
  <c r="G377" i="4"/>
  <c r="G378" i="4"/>
  <c r="G379" i="4"/>
  <c r="G380" i="4"/>
  <c r="G381" i="4"/>
  <c r="G382" i="4"/>
  <c r="G383" i="4"/>
  <c r="G384" i="4"/>
  <c r="G385" i="4"/>
  <c r="G386" i="4"/>
  <c r="G387" i="4"/>
  <c r="G388" i="4"/>
  <c r="G389" i="4"/>
  <c r="G390" i="4"/>
  <c r="G391" i="4"/>
  <c r="G392" i="4"/>
  <c r="G393" i="4"/>
  <c r="G394" i="4"/>
  <c r="G395" i="4"/>
  <c r="G396" i="4"/>
  <c r="G397" i="4"/>
  <c r="G398" i="4"/>
  <c r="G399" i="4"/>
  <c r="G400" i="4"/>
  <c r="G401" i="4"/>
  <c r="G402" i="4"/>
  <c r="G403" i="4"/>
  <c r="G404" i="4"/>
  <c r="G405" i="4"/>
  <c r="G406" i="4"/>
  <c r="G407" i="4"/>
  <c r="G408" i="4"/>
  <c r="G409" i="4"/>
  <c r="G410" i="4"/>
  <c r="G411" i="4"/>
  <c r="G412" i="4"/>
  <c r="G413" i="4"/>
  <c r="G414" i="4"/>
  <c r="G415" i="4"/>
  <c r="G416" i="4"/>
  <c r="G417" i="4"/>
  <c r="G418" i="4"/>
  <c r="G419" i="4"/>
  <c r="G420" i="4"/>
  <c r="G421" i="4"/>
  <c r="G422" i="4"/>
  <c r="G423" i="4"/>
  <c r="G424" i="4"/>
  <c r="G425" i="4"/>
  <c r="G426" i="4"/>
  <c r="G427" i="4"/>
  <c r="G428" i="4"/>
  <c r="G429" i="4"/>
  <c r="G430" i="4"/>
  <c r="G431" i="4"/>
  <c r="G432" i="4"/>
  <c r="G433" i="4"/>
  <c r="G434" i="4"/>
  <c r="G435" i="4"/>
  <c r="G436" i="4"/>
  <c r="G437" i="4"/>
  <c r="G438" i="4"/>
  <c r="G439" i="4"/>
  <c r="G440" i="4"/>
  <c r="G441" i="4"/>
  <c r="G442" i="4"/>
  <c r="G443" i="4"/>
  <c r="G444" i="4"/>
  <c r="G445" i="4"/>
  <c r="G446" i="4"/>
  <c r="G447" i="4"/>
  <c r="G448" i="4"/>
  <c r="G449" i="4"/>
  <c r="G450" i="4"/>
  <c r="G451" i="4"/>
  <c r="G452" i="4"/>
  <c r="G453" i="4"/>
  <c r="G454" i="4"/>
  <c r="G455" i="4"/>
  <c r="G456" i="4"/>
  <c r="G457" i="4"/>
  <c r="G458" i="4"/>
  <c r="G459" i="4"/>
  <c r="G460" i="4"/>
  <c r="G461" i="4"/>
  <c r="G462" i="4"/>
  <c r="G463" i="4"/>
  <c r="G464" i="4"/>
  <c r="G465" i="4"/>
  <c r="G466" i="4"/>
  <c r="G467" i="4"/>
  <c r="G468" i="4"/>
  <c r="G469" i="4"/>
  <c r="G470" i="4"/>
  <c r="G471" i="4"/>
  <c r="G472" i="4"/>
  <c r="G473" i="4"/>
  <c r="G474" i="4"/>
  <c r="G475" i="4"/>
  <c r="G476" i="4"/>
  <c r="G477" i="4"/>
  <c r="G478" i="4"/>
  <c r="G479" i="4"/>
  <c r="G480" i="4"/>
  <c r="G481" i="4"/>
  <c r="G482" i="4"/>
  <c r="G483" i="4"/>
  <c r="G484" i="4"/>
  <c r="G485" i="4"/>
  <c r="G486" i="4"/>
  <c r="G487" i="4"/>
  <c r="G488" i="4"/>
  <c r="G489" i="4"/>
  <c r="G490" i="4"/>
  <c r="G491" i="4"/>
  <c r="G492" i="4"/>
  <c r="G493" i="4"/>
  <c r="G494" i="4"/>
  <c r="G495" i="4"/>
  <c r="G496" i="4"/>
  <c r="G497" i="4"/>
  <c r="G498" i="4"/>
  <c r="G499" i="4"/>
  <c r="G500" i="4"/>
  <c r="G501" i="4"/>
  <c r="G502" i="4"/>
  <c r="G503" i="4"/>
  <c r="G504" i="4"/>
  <c r="G505" i="4"/>
  <c r="G506" i="4"/>
  <c r="G507" i="4"/>
  <c r="G508" i="4"/>
  <c r="G509" i="4"/>
  <c r="G510" i="4"/>
  <c r="G511" i="4"/>
  <c r="G512" i="4"/>
  <c r="G513" i="4"/>
  <c r="G514" i="4"/>
  <c r="G515" i="4"/>
  <c r="G516" i="4"/>
  <c r="G517" i="4"/>
  <c r="G518" i="4"/>
  <c r="G519" i="4"/>
  <c r="G520" i="4"/>
  <c r="G521" i="4"/>
  <c r="G522" i="4"/>
  <c r="G523" i="4"/>
  <c r="G524" i="4"/>
  <c r="G525" i="4"/>
  <c r="G526" i="4"/>
  <c r="G527" i="4"/>
  <c r="G528" i="4"/>
  <c r="G529" i="4"/>
  <c r="G530" i="4"/>
  <c r="G531" i="4"/>
  <c r="G532" i="4"/>
  <c r="G533" i="4"/>
  <c r="G534" i="4"/>
  <c r="G535" i="4"/>
  <c r="G536" i="4"/>
  <c r="G537" i="4"/>
  <c r="G538" i="4"/>
  <c r="G539" i="4"/>
  <c r="G540" i="4"/>
  <c r="G541" i="4"/>
  <c r="G542" i="4"/>
  <c r="G543" i="4"/>
  <c r="G544" i="4"/>
  <c r="G545" i="4"/>
  <c r="G546" i="4"/>
  <c r="G547" i="4"/>
  <c r="G548" i="4"/>
  <c r="G549" i="4"/>
  <c r="G550" i="4"/>
  <c r="G551" i="4"/>
  <c r="G552" i="4"/>
  <c r="G553" i="4"/>
  <c r="G554" i="4"/>
  <c r="G555" i="4"/>
  <c r="G556" i="4"/>
  <c r="G557" i="4"/>
  <c r="G558" i="4"/>
  <c r="G559" i="4"/>
  <c r="G560" i="4"/>
  <c r="G561" i="4"/>
  <c r="G562" i="4"/>
  <c r="G563" i="4"/>
  <c r="G564" i="4"/>
  <c r="G565" i="4"/>
  <c r="G566" i="4"/>
  <c r="G567" i="4"/>
  <c r="G568" i="4"/>
  <c r="G569" i="4"/>
  <c r="G570" i="4"/>
  <c r="G571" i="4"/>
  <c r="G572" i="4"/>
  <c r="G573" i="4"/>
  <c r="G574" i="4"/>
  <c r="G575" i="4"/>
  <c r="G576" i="4"/>
  <c r="G577" i="4"/>
  <c r="G578" i="4"/>
  <c r="G579" i="4"/>
  <c r="G580" i="4"/>
  <c r="G581" i="4"/>
  <c r="G582" i="4"/>
  <c r="G583" i="4"/>
  <c r="G584" i="4"/>
  <c r="G585" i="4"/>
  <c r="G586" i="4"/>
  <c r="G587" i="4"/>
  <c r="G588" i="4"/>
  <c r="G589" i="4"/>
  <c r="G590" i="4"/>
  <c r="G591" i="4"/>
  <c r="G592" i="4"/>
  <c r="G593" i="4"/>
  <c r="G594" i="4"/>
  <c r="G595" i="4"/>
  <c r="G596" i="4"/>
  <c r="G597" i="4"/>
  <c r="G598" i="4"/>
  <c r="G599" i="4"/>
  <c r="G600" i="4"/>
  <c r="G601" i="4"/>
  <c r="G602" i="4"/>
  <c r="G603" i="4"/>
  <c r="G604" i="4"/>
  <c r="G605" i="4"/>
  <c r="G606" i="4"/>
  <c r="G607" i="4"/>
  <c r="G608" i="4"/>
  <c r="G609" i="4"/>
  <c r="G610" i="4"/>
  <c r="G611" i="4"/>
  <c r="G612" i="4"/>
  <c r="G613" i="4"/>
  <c r="G614" i="4"/>
  <c r="G615" i="4"/>
  <c r="G616" i="4"/>
  <c r="G617" i="4"/>
  <c r="G618" i="4"/>
  <c r="G619" i="4"/>
  <c r="G620" i="4"/>
  <c r="G621" i="4"/>
  <c r="G622" i="4"/>
  <c r="G623" i="4"/>
  <c r="G624" i="4"/>
  <c r="G625" i="4"/>
  <c r="G626" i="4"/>
  <c r="G627" i="4"/>
  <c r="G628" i="4"/>
  <c r="G629" i="4"/>
  <c r="G630" i="4"/>
  <c r="G631" i="4"/>
  <c r="G632" i="4"/>
  <c r="G633" i="4"/>
  <c r="G634" i="4"/>
  <c r="G635" i="4"/>
  <c r="G636" i="4"/>
  <c r="G637" i="4"/>
  <c r="G638" i="4"/>
  <c r="G639" i="4"/>
  <c r="G640" i="4"/>
  <c r="G641" i="4"/>
  <c r="G642" i="4"/>
  <c r="G643" i="4"/>
  <c r="G644" i="4"/>
  <c r="G645" i="4"/>
  <c r="G646" i="4"/>
  <c r="G647" i="4"/>
  <c r="G648" i="4"/>
  <c r="G649" i="4"/>
  <c r="G650" i="4"/>
  <c r="G651" i="4"/>
  <c r="G652" i="4"/>
  <c r="G653" i="4"/>
  <c r="G654" i="4"/>
  <c r="G655" i="4"/>
  <c r="G656"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G1001" i="4"/>
  <c r="G1002" i="4"/>
  <c r="G1003" i="4"/>
  <c r="G1004" i="4"/>
  <c r="G1005" i="4"/>
  <c r="G1006" i="4"/>
  <c r="G1007" i="4"/>
  <c r="G1008" i="4"/>
  <c r="G1009" i="4"/>
  <c r="G1010" i="4"/>
  <c r="G1011" i="4"/>
  <c r="G1012" i="4"/>
  <c r="G1013" i="4"/>
  <c r="G1014" i="4"/>
  <c r="G1015" i="4"/>
  <c r="G1016" i="4"/>
  <c r="G1017" i="4"/>
  <c r="G1018" i="4"/>
  <c r="G1019" i="4"/>
  <c r="G1020" i="4"/>
  <c r="G1021" i="4"/>
  <c r="G1022" i="4"/>
  <c r="G1023" i="4"/>
  <c r="G1024" i="4"/>
  <c r="G1025" i="4"/>
  <c r="G1026" i="4"/>
  <c r="G1027" i="4"/>
  <c r="G1028" i="4"/>
  <c r="G1029" i="4"/>
  <c r="G1030" i="4"/>
  <c r="G1031" i="4"/>
  <c r="G1032" i="4"/>
  <c r="G1033" i="4"/>
  <c r="B14" i="2"/>
  <c r="E14" i="2" s="1"/>
  <c r="C14" i="2"/>
  <c r="D14" i="2"/>
  <c r="B15" i="2"/>
  <c r="E15" i="2" s="1"/>
  <c r="C15" i="2"/>
  <c r="D15" i="2"/>
  <c r="B16" i="2"/>
  <c r="E16" i="2" s="1"/>
  <c r="C16" i="2"/>
  <c r="D16" i="2"/>
  <c r="B17" i="2"/>
  <c r="E17" i="2" s="1"/>
  <c r="C17" i="2"/>
  <c r="D17" i="2"/>
  <c r="B18" i="2"/>
  <c r="E18" i="2" s="1"/>
  <c r="C18" i="2"/>
  <c r="D18" i="2"/>
  <c r="B19" i="2"/>
  <c r="E19" i="2" s="1"/>
  <c r="C19" i="2"/>
  <c r="D19" i="2"/>
  <c r="B20" i="2"/>
  <c r="E20" i="2" s="1"/>
  <c r="C20" i="2"/>
  <c r="D20" i="2"/>
  <c r="B21" i="2"/>
  <c r="E21" i="2" s="1"/>
  <c r="C21" i="2"/>
  <c r="D21" i="2"/>
  <c r="B22" i="2"/>
  <c r="E22" i="2" s="1"/>
  <c r="C22" i="2"/>
  <c r="D22" i="2"/>
  <c r="B23" i="2"/>
  <c r="E23" i="2" s="1"/>
  <c r="C23" i="2"/>
  <c r="D23" i="2"/>
  <c r="B24" i="2"/>
  <c r="E24" i="2" s="1"/>
  <c r="C24" i="2"/>
  <c r="D24" i="2"/>
  <c r="B25" i="2"/>
  <c r="E25" i="2" s="1"/>
  <c r="C25" i="2"/>
  <c r="D25" i="2"/>
  <c r="B26" i="2"/>
  <c r="E26" i="2" s="1"/>
  <c r="C26" i="2"/>
  <c r="D26" i="2"/>
  <c r="B27" i="2"/>
  <c r="E27" i="2" s="1"/>
  <c r="C27" i="2"/>
  <c r="D27" i="2"/>
  <c r="B28" i="2"/>
  <c r="E28" i="2" s="1"/>
  <c r="C28" i="2"/>
  <c r="D28" i="2"/>
  <c r="B29" i="2"/>
  <c r="E29" i="2" s="1"/>
  <c r="C29" i="2"/>
  <c r="D29" i="2"/>
  <c r="B30" i="2"/>
  <c r="E30" i="2" s="1"/>
  <c r="C30" i="2"/>
  <c r="D30" i="2"/>
  <c r="B31" i="2"/>
  <c r="E31" i="2" s="1"/>
  <c r="C31" i="2"/>
  <c r="D31" i="2"/>
  <c r="B32" i="2"/>
  <c r="E32" i="2" s="1"/>
  <c r="C32" i="2"/>
  <c r="D32" i="2"/>
  <c r="B33" i="2"/>
  <c r="E33" i="2" s="1"/>
  <c r="C33" i="2"/>
  <c r="D33" i="2"/>
  <c r="B34" i="2"/>
  <c r="E34" i="2" s="1"/>
  <c r="C34" i="2"/>
  <c r="D34" i="2"/>
  <c r="B35" i="2"/>
  <c r="E35" i="2" s="1"/>
  <c r="C35" i="2"/>
  <c r="D35" i="2"/>
  <c r="B36" i="2"/>
  <c r="E36" i="2" s="1"/>
  <c r="C36" i="2"/>
  <c r="D36" i="2"/>
  <c r="B37" i="2"/>
  <c r="E37" i="2" s="1"/>
  <c r="C37" i="2"/>
  <c r="D37" i="2"/>
  <c r="B38" i="2"/>
  <c r="E38" i="2" s="1"/>
  <c r="C38" i="2"/>
  <c r="D38" i="2"/>
  <c r="B39" i="2"/>
  <c r="E39" i="2" s="1"/>
  <c r="C39" i="2"/>
  <c r="D39" i="2"/>
  <c r="B40" i="2"/>
  <c r="E40" i="2" s="1"/>
  <c r="C40" i="2"/>
  <c r="D40" i="2"/>
  <c r="B41" i="2"/>
  <c r="E41" i="2" s="1"/>
  <c r="C41" i="2"/>
  <c r="D41" i="2"/>
  <c r="B42" i="2"/>
  <c r="E42" i="2" s="1"/>
  <c r="C42" i="2"/>
  <c r="D42" i="2"/>
  <c r="B43" i="2"/>
  <c r="E43" i="2" s="1"/>
  <c r="C43" i="2"/>
  <c r="D43" i="2"/>
  <c r="B44" i="2"/>
  <c r="E44" i="2" s="1"/>
  <c r="C44" i="2"/>
  <c r="D44" i="2"/>
  <c r="B45" i="2"/>
  <c r="E45" i="2" s="1"/>
  <c r="C45" i="2"/>
  <c r="D45" i="2"/>
  <c r="B46" i="2"/>
  <c r="E46" i="2" s="1"/>
  <c r="C46" i="2"/>
  <c r="D46" i="2"/>
  <c r="B47" i="2"/>
  <c r="E47" i="2" s="1"/>
  <c r="C47" i="2"/>
  <c r="D47" i="2"/>
  <c r="B48" i="2"/>
  <c r="E48" i="2" s="1"/>
  <c r="C48" i="2"/>
  <c r="D48" i="2"/>
  <c r="B49" i="2"/>
  <c r="E49" i="2" s="1"/>
  <c r="C49" i="2"/>
  <c r="D49" i="2"/>
  <c r="B50" i="2"/>
  <c r="E50" i="2" s="1"/>
  <c r="C50" i="2"/>
  <c r="D50" i="2"/>
  <c r="B51" i="2"/>
  <c r="E51" i="2" s="1"/>
  <c r="C51" i="2"/>
  <c r="D51" i="2"/>
  <c r="B52" i="2"/>
  <c r="E52" i="2" s="1"/>
  <c r="C52" i="2"/>
  <c r="D52" i="2"/>
  <c r="B53" i="2"/>
  <c r="E53" i="2" s="1"/>
  <c r="C53" i="2"/>
  <c r="D53" i="2"/>
  <c r="B54" i="2"/>
  <c r="E54" i="2" s="1"/>
  <c r="C54" i="2"/>
  <c r="D54" i="2"/>
  <c r="B55" i="2"/>
  <c r="E55" i="2" s="1"/>
  <c r="C55" i="2"/>
  <c r="D55" i="2"/>
  <c r="B56" i="2"/>
  <c r="E56" i="2" s="1"/>
  <c r="C56" i="2"/>
  <c r="D56" i="2"/>
  <c r="B57" i="2"/>
  <c r="E57" i="2" s="1"/>
  <c r="C57" i="2"/>
  <c r="D57" i="2"/>
  <c r="B58" i="2"/>
  <c r="E58" i="2" s="1"/>
  <c r="C58" i="2"/>
  <c r="D58" i="2"/>
  <c r="B59" i="2"/>
  <c r="E59" i="2" s="1"/>
  <c r="C59" i="2"/>
  <c r="D59" i="2"/>
  <c r="B60" i="2"/>
  <c r="E60" i="2" s="1"/>
  <c r="C60" i="2"/>
  <c r="D60" i="2"/>
  <c r="B61" i="2"/>
  <c r="E61" i="2" s="1"/>
  <c r="C61" i="2"/>
  <c r="D61" i="2"/>
  <c r="B62" i="2"/>
  <c r="E62" i="2" s="1"/>
  <c r="C62" i="2"/>
  <c r="D62" i="2"/>
  <c r="B63" i="2"/>
  <c r="E63" i="2" s="1"/>
  <c r="C63" i="2"/>
  <c r="D63" i="2"/>
  <c r="B64" i="2"/>
  <c r="E64" i="2" s="1"/>
  <c r="C64" i="2"/>
  <c r="D64" i="2"/>
  <c r="B65" i="2"/>
  <c r="E65" i="2" s="1"/>
  <c r="C65" i="2"/>
  <c r="D65" i="2"/>
  <c r="B66" i="2"/>
  <c r="E66" i="2" s="1"/>
  <c r="C66" i="2"/>
  <c r="D66" i="2"/>
  <c r="B67" i="2"/>
  <c r="E67" i="2" s="1"/>
  <c r="C67" i="2"/>
  <c r="D67" i="2"/>
  <c r="B68" i="2"/>
  <c r="E68" i="2" s="1"/>
  <c r="C68" i="2"/>
  <c r="D68" i="2"/>
  <c r="B69" i="2"/>
  <c r="E69" i="2" s="1"/>
  <c r="C69" i="2"/>
  <c r="D69" i="2"/>
  <c r="B70" i="2"/>
  <c r="E70" i="2" s="1"/>
  <c r="C70" i="2"/>
  <c r="D70" i="2"/>
  <c r="B71" i="2"/>
  <c r="E71" i="2" s="1"/>
  <c r="C71" i="2"/>
  <c r="D71" i="2"/>
  <c r="B72" i="2"/>
  <c r="E72" i="2" s="1"/>
  <c r="C72" i="2"/>
  <c r="D72" i="2"/>
  <c r="B73" i="2"/>
  <c r="E73" i="2" s="1"/>
  <c r="C73" i="2"/>
  <c r="D73" i="2"/>
  <c r="B74" i="2"/>
  <c r="E74" i="2" s="1"/>
  <c r="C74" i="2"/>
  <c r="D74" i="2"/>
  <c r="B75" i="2"/>
  <c r="E75" i="2" s="1"/>
  <c r="C75" i="2"/>
  <c r="D75" i="2"/>
  <c r="B76" i="2"/>
  <c r="E76" i="2" s="1"/>
  <c r="C76" i="2"/>
  <c r="D76" i="2"/>
  <c r="B77" i="2"/>
  <c r="E77" i="2" s="1"/>
  <c r="C77" i="2"/>
  <c r="D77" i="2"/>
  <c r="B78" i="2"/>
  <c r="E78" i="2" s="1"/>
  <c r="C78" i="2"/>
  <c r="D78" i="2"/>
  <c r="B79" i="2"/>
  <c r="E79" i="2" s="1"/>
  <c r="C79" i="2"/>
  <c r="D79" i="2"/>
  <c r="B80" i="2"/>
  <c r="E80" i="2" s="1"/>
  <c r="C80" i="2"/>
  <c r="D80" i="2"/>
  <c r="B81" i="2"/>
  <c r="E81" i="2" s="1"/>
  <c r="C81" i="2"/>
  <c r="D81" i="2"/>
  <c r="B82" i="2"/>
  <c r="E82" i="2" s="1"/>
  <c r="C82" i="2"/>
  <c r="D82" i="2"/>
  <c r="B83" i="2"/>
  <c r="E83" i="2" s="1"/>
  <c r="C83" i="2"/>
  <c r="D83" i="2"/>
  <c r="B84" i="2"/>
  <c r="E84" i="2" s="1"/>
  <c r="C84" i="2"/>
  <c r="D84" i="2"/>
  <c r="B85" i="2"/>
  <c r="E85" i="2" s="1"/>
  <c r="C85" i="2"/>
  <c r="D85" i="2"/>
  <c r="B86" i="2"/>
  <c r="E86" i="2" s="1"/>
  <c r="C86" i="2"/>
  <c r="D86" i="2"/>
  <c r="B87" i="2"/>
  <c r="E87" i="2" s="1"/>
  <c r="C87" i="2"/>
  <c r="D87" i="2"/>
  <c r="B88" i="2"/>
  <c r="E88" i="2" s="1"/>
  <c r="C88" i="2"/>
  <c r="D88" i="2"/>
  <c r="B89" i="2"/>
  <c r="E89" i="2" s="1"/>
  <c r="C89" i="2"/>
  <c r="D89" i="2"/>
  <c r="B90" i="2"/>
  <c r="E90" i="2" s="1"/>
  <c r="C90" i="2"/>
  <c r="D90" i="2"/>
  <c r="B91" i="2"/>
  <c r="E91" i="2" s="1"/>
  <c r="C91" i="2"/>
  <c r="D91" i="2"/>
  <c r="B92" i="2"/>
  <c r="E92" i="2" s="1"/>
  <c r="C92" i="2"/>
  <c r="D92" i="2"/>
  <c r="B93" i="2"/>
  <c r="E93" i="2" s="1"/>
  <c r="C93" i="2"/>
  <c r="D93" i="2"/>
  <c r="B94" i="2"/>
  <c r="E94" i="2" s="1"/>
  <c r="C94" i="2"/>
  <c r="D94" i="2"/>
  <c r="B95" i="2"/>
  <c r="E95" i="2" s="1"/>
  <c r="C95" i="2"/>
  <c r="D95" i="2"/>
  <c r="B96" i="2"/>
  <c r="E96" i="2" s="1"/>
  <c r="C96" i="2"/>
  <c r="D96" i="2"/>
  <c r="B97" i="2"/>
  <c r="E97" i="2" s="1"/>
  <c r="C97" i="2"/>
  <c r="D97" i="2"/>
  <c r="B98" i="2"/>
  <c r="E98" i="2" s="1"/>
  <c r="C98" i="2"/>
  <c r="D98" i="2"/>
  <c r="B99" i="2"/>
  <c r="E99" i="2" s="1"/>
  <c r="C99" i="2"/>
  <c r="D99" i="2"/>
  <c r="B100" i="2"/>
  <c r="E100" i="2" s="1"/>
  <c r="C100" i="2"/>
  <c r="D100" i="2"/>
  <c r="B101" i="2"/>
  <c r="E101" i="2" s="1"/>
  <c r="C101" i="2"/>
  <c r="D101" i="2"/>
  <c r="B102" i="2"/>
  <c r="E102" i="2" s="1"/>
  <c r="C102" i="2"/>
  <c r="D102" i="2"/>
  <c r="B103" i="2"/>
  <c r="E103" i="2" s="1"/>
  <c r="C103" i="2"/>
  <c r="D103" i="2"/>
  <c r="E788" i="5"/>
  <c r="F788" i="5"/>
  <c r="G788" i="5"/>
  <c r="E797" i="5"/>
  <c r="F797" i="5"/>
  <c r="G797" i="5"/>
  <c r="E799" i="5"/>
  <c r="F799" i="5"/>
  <c r="G799" i="5"/>
  <c r="E808" i="5"/>
  <c r="F808" i="5"/>
  <c r="G808" i="5"/>
  <c r="E810" i="5"/>
  <c r="F810" i="5"/>
  <c r="G810" i="5"/>
  <c r="E811" i="5"/>
  <c r="F811" i="5"/>
  <c r="G811" i="5"/>
  <c r="E812" i="5"/>
  <c r="F812" i="5"/>
  <c r="G812" i="5"/>
  <c r="E813" i="5"/>
  <c r="F813" i="5"/>
  <c r="G813" i="5"/>
  <c r="E814" i="5"/>
  <c r="F814" i="5"/>
  <c r="G814" i="5"/>
  <c r="E815" i="5"/>
  <c r="F815" i="5"/>
  <c r="G815" i="5"/>
  <c r="E816" i="5"/>
  <c r="F816" i="5"/>
  <c r="G816" i="5"/>
  <c r="E817" i="5"/>
  <c r="F817" i="5"/>
  <c r="G817" i="5"/>
  <c r="E818" i="5"/>
  <c r="F818" i="5"/>
  <c r="G818" i="5"/>
  <c r="E819" i="5"/>
  <c r="F819" i="5"/>
  <c r="G819" i="5"/>
  <c r="E820" i="5"/>
  <c r="F820" i="5"/>
  <c r="G820" i="5"/>
  <c r="E821" i="5"/>
  <c r="F821" i="5"/>
  <c r="G821" i="5"/>
  <c r="E822" i="5"/>
  <c r="F822" i="5"/>
  <c r="G822" i="5"/>
  <c r="E823" i="5"/>
  <c r="F823" i="5"/>
  <c r="G823" i="5"/>
  <c r="E824" i="5"/>
  <c r="F824" i="5"/>
  <c r="G824" i="5"/>
  <c r="E825" i="5"/>
  <c r="F825" i="5"/>
  <c r="G825" i="5"/>
  <c r="E826" i="5"/>
  <c r="F826" i="5"/>
  <c r="G826" i="5"/>
  <c r="E827" i="5"/>
  <c r="F827" i="5"/>
  <c r="G827" i="5"/>
  <c r="E828" i="5"/>
  <c r="F828" i="5"/>
  <c r="G828" i="5"/>
  <c r="E829" i="5"/>
  <c r="F829" i="5"/>
  <c r="G829" i="5"/>
  <c r="E830" i="5"/>
  <c r="F830" i="5"/>
  <c r="G830" i="5"/>
  <c r="E831" i="5"/>
  <c r="F831" i="5"/>
  <c r="G831" i="5"/>
  <c r="E832" i="5"/>
  <c r="F832" i="5"/>
  <c r="G832" i="5"/>
  <c r="E833" i="5"/>
  <c r="F833" i="5"/>
  <c r="G833" i="5"/>
  <c r="E834" i="5"/>
  <c r="F834" i="5"/>
  <c r="G834" i="5"/>
  <c r="E835" i="5"/>
  <c r="F835" i="5"/>
  <c r="G835" i="5"/>
  <c r="E836" i="5"/>
  <c r="F836" i="5"/>
  <c r="G836" i="5"/>
  <c r="E837" i="5"/>
  <c r="F837" i="5"/>
  <c r="G837" i="5"/>
  <c r="E838" i="5"/>
  <c r="F838" i="5"/>
  <c r="G838" i="5"/>
  <c r="E839" i="5"/>
  <c r="F839" i="5"/>
  <c r="G839" i="5"/>
  <c r="E840" i="5"/>
  <c r="F840" i="5"/>
  <c r="G840" i="5"/>
  <c r="E841" i="5"/>
  <c r="F841" i="5"/>
  <c r="G841" i="5"/>
  <c r="E842" i="5"/>
  <c r="F842" i="5"/>
  <c r="G842" i="5"/>
  <c r="E843" i="5"/>
  <c r="F843" i="5"/>
  <c r="G843" i="5"/>
  <c r="E844" i="5"/>
  <c r="F844" i="5"/>
  <c r="G844" i="5"/>
  <c r="E845" i="5"/>
  <c r="F845" i="5"/>
  <c r="G845" i="5"/>
  <c r="E846" i="5"/>
  <c r="F846" i="5"/>
  <c r="G846" i="5"/>
  <c r="E847" i="5"/>
  <c r="F847" i="5"/>
  <c r="G847" i="5"/>
  <c r="E848" i="5"/>
  <c r="F848" i="5"/>
  <c r="G848" i="5"/>
  <c r="E849" i="5"/>
  <c r="F849" i="5"/>
  <c r="G849" i="5"/>
  <c r="E850" i="5"/>
  <c r="F850" i="5"/>
  <c r="G850" i="5"/>
  <c r="E851" i="5"/>
  <c r="F851" i="5"/>
  <c r="G851" i="5"/>
  <c r="E852" i="5"/>
  <c r="F852" i="5"/>
  <c r="G852" i="5"/>
  <c r="E853" i="5"/>
  <c r="F853" i="5"/>
  <c r="G853" i="5"/>
  <c r="E854" i="5"/>
  <c r="F854" i="5"/>
  <c r="G854" i="5"/>
  <c r="E855" i="5"/>
  <c r="F855" i="5"/>
  <c r="G855" i="5"/>
  <c r="E856" i="5"/>
  <c r="F856" i="5"/>
  <c r="G856" i="5"/>
  <c r="E857" i="5"/>
  <c r="F857" i="5"/>
  <c r="G857" i="5"/>
  <c r="E858" i="5"/>
  <c r="F858" i="5"/>
  <c r="G858" i="5"/>
  <c r="E859" i="5"/>
  <c r="F859" i="5"/>
  <c r="G859" i="5"/>
  <c r="E860" i="5"/>
  <c r="F860" i="5"/>
  <c r="G860" i="5"/>
  <c r="E861" i="5"/>
  <c r="F861" i="5"/>
  <c r="G861" i="5"/>
  <c r="E862" i="5"/>
  <c r="F862" i="5"/>
  <c r="G862" i="5"/>
  <c r="E863" i="5"/>
  <c r="F863" i="5"/>
  <c r="G863" i="5"/>
  <c r="E864" i="5"/>
  <c r="F864" i="5"/>
  <c r="G864" i="5"/>
  <c r="E865" i="5"/>
  <c r="F865" i="5"/>
  <c r="G865" i="5"/>
  <c r="E866" i="5"/>
  <c r="F866" i="5"/>
  <c r="G866" i="5"/>
  <c r="E867" i="5"/>
  <c r="F867" i="5"/>
  <c r="G867" i="5"/>
  <c r="E868" i="5"/>
  <c r="F868" i="5"/>
  <c r="G868" i="5"/>
  <c r="E869" i="5"/>
  <c r="F869" i="5"/>
  <c r="G869" i="5"/>
  <c r="E870" i="5"/>
  <c r="F870" i="5"/>
  <c r="G870" i="5"/>
  <c r="E871" i="5"/>
  <c r="F871" i="5"/>
  <c r="G871" i="5"/>
  <c r="E872" i="5"/>
  <c r="F872" i="5"/>
  <c r="G872" i="5"/>
  <c r="E873" i="5"/>
  <c r="F873" i="5"/>
  <c r="G873" i="5"/>
  <c r="E874" i="5"/>
  <c r="F874" i="5"/>
  <c r="G874" i="5"/>
  <c r="E875" i="5"/>
  <c r="F875" i="5"/>
  <c r="G875" i="5"/>
  <c r="E876" i="5"/>
  <c r="F876" i="5"/>
  <c r="G876" i="5"/>
  <c r="E877" i="5"/>
  <c r="F877" i="5"/>
  <c r="G877" i="5"/>
  <c r="E878" i="5"/>
  <c r="F878" i="5"/>
  <c r="G878" i="5"/>
  <c r="E879" i="5"/>
  <c r="F879" i="5"/>
  <c r="G879" i="5"/>
  <c r="E880" i="5"/>
  <c r="F880" i="5"/>
  <c r="G880" i="5"/>
  <c r="E881" i="5"/>
  <c r="F881" i="5"/>
  <c r="G881" i="5"/>
  <c r="E882" i="5"/>
  <c r="F882" i="5"/>
  <c r="G882" i="5"/>
  <c r="E883" i="5"/>
  <c r="F883" i="5"/>
  <c r="G883" i="5"/>
  <c r="E884" i="5"/>
  <c r="F884" i="5"/>
  <c r="G884" i="5"/>
  <c r="E885" i="5"/>
  <c r="F885" i="5"/>
  <c r="G885" i="5"/>
  <c r="E886" i="5"/>
  <c r="F886" i="5"/>
  <c r="G886" i="5"/>
  <c r="E887" i="5"/>
  <c r="F887" i="5"/>
  <c r="G887" i="5"/>
  <c r="E888" i="5"/>
  <c r="F888" i="5"/>
  <c r="G888" i="5"/>
  <c r="E889" i="5"/>
  <c r="F889" i="5"/>
  <c r="G889" i="5"/>
  <c r="E890" i="5"/>
  <c r="F890" i="5"/>
  <c r="G890" i="5"/>
  <c r="E891" i="5"/>
  <c r="F891" i="5"/>
  <c r="G891" i="5"/>
  <c r="E892" i="5"/>
  <c r="F892" i="5"/>
  <c r="G892" i="5"/>
  <c r="E893" i="5"/>
  <c r="F893" i="5"/>
  <c r="G893" i="5"/>
  <c r="E894" i="5"/>
  <c r="F894" i="5"/>
  <c r="G894" i="5"/>
  <c r="E895" i="5"/>
  <c r="F895" i="5"/>
  <c r="G895" i="5"/>
  <c r="E896" i="5"/>
  <c r="F896" i="5"/>
  <c r="G896" i="5"/>
  <c r="E897" i="5"/>
  <c r="F897" i="5"/>
  <c r="G897" i="5"/>
  <c r="E898" i="5"/>
  <c r="F898" i="5"/>
  <c r="G898" i="5"/>
  <c r="E899" i="5"/>
  <c r="F899" i="5"/>
  <c r="G899" i="5"/>
  <c r="E900" i="5"/>
  <c r="F900" i="5"/>
  <c r="G900" i="5"/>
  <c r="E901" i="5"/>
  <c r="F901" i="5"/>
  <c r="G901" i="5"/>
  <c r="E902" i="5"/>
  <c r="F902" i="5"/>
  <c r="G902" i="5"/>
  <c r="E903" i="5"/>
  <c r="F903" i="5"/>
  <c r="G903" i="5"/>
  <c r="E904" i="5"/>
  <c r="F904" i="5"/>
  <c r="G904" i="5"/>
  <c r="E905" i="5"/>
  <c r="F905" i="5"/>
  <c r="G905" i="5"/>
  <c r="E906" i="5"/>
  <c r="F906" i="5"/>
  <c r="G906" i="5"/>
  <c r="E907" i="5"/>
  <c r="F907" i="5"/>
  <c r="G907" i="5"/>
  <c r="E908" i="5"/>
  <c r="F908" i="5"/>
  <c r="G908" i="5"/>
  <c r="E909" i="5"/>
  <c r="F909" i="5"/>
  <c r="G909" i="5"/>
  <c r="E910" i="5"/>
  <c r="F910" i="5"/>
  <c r="G910" i="5"/>
  <c r="E911" i="5"/>
  <c r="F911" i="5"/>
  <c r="G911" i="5"/>
  <c r="E912" i="5"/>
  <c r="F912" i="5"/>
  <c r="G912" i="5"/>
  <c r="E913" i="5"/>
  <c r="F913" i="5"/>
  <c r="G913" i="5"/>
  <c r="E914" i="5"/>
  <c r="F914" i="5"/>
  <c r="G914" i="5"/>
  <c r="E915" i="5"/>
  <c r="F915" i="5"/>
  <c r="G915" i="5"/>
  <c r="E916" i="5"/>
  <c r="F916" i="5"/>
  <c r="G916" i="5"/>
  <c r="E917" i="5"/>
  <c r="F917" i="5"/>
  <c r="G917" i="5"/>
  <c r="E918" i="5"/>
  <c r="F918" i="5"/>
  <c r="G918" i="5"/>
  <c r="E919" i="5"/>
  <c r="F919" i="5"/>
  <c r="G919" i="5"/>
  <c r="E920" i="5"/>
  <c r="F920" i="5"/>
  <c r="G920" i="5"/>
  <c r="E921" i="5"/>
  <c r="F921" i="5"/>
  <c r="G921" i="5"/>
  <c r="E922" i="5"/>
  <c r="F922" i="5"/>
  <c r="G922" i="5"/>
  <c r="E923" i="5"/>
  <c r="F923" i="5"/>
  <c r="G923" i="5"/>
  <c r="E924" i="5"/>
  <c r="F924" i="5"/>
  <c r="G924" i="5"/>
  <c r="E925" i="5"/>
  <c r="F925" i="5"/>
  <c r="G925" i="5"/>
  <c r="E926" i="5"/>
  <c r="F926" i="5"/>
  <c r="G926" i="5"/>
  <c r="E927" i="5"/>
  <c r="F927" i="5"/>
  <c r="G927" i="5"/>
  <c r="E928" i="5"/>
  <c r="F928" i="5"/>
  <c r="G928" i="5"/>
  <c r="E929" i="5"/>
  <c r="F929" i="5"/>
  <c r="G929" i="5"/>
  <c r="E930" i="5"/>
  <c r="F930" i="5"/>
  <c r="G930" i="5"/>
  <c r="E931" i="5"/>
  <c r="F931" i="5"/>
  <c r="G931" i="5"/>
  <c r="E932" i="5"/>
  <c r="F932" i="5"/>
  <c r="G932" i="5"/>
  <c r="E933" i="5"/>
  <c r="F933" i="5"/>
  <c r="G933" i="5"/>
  <c r="E934" i="5"/>
  <c r="F934" i="5"/>
  <c r="G934" i="5"/>
  <c r="E935" i="5"/>
  <c r="F935" i="5"/>
  <c r="G935" i="5"/>
  <c r="E936" i="5"/>
  <c r="F936" i="5"/>
  <c r="G936" i="5"/>
  <c r="E937" i="5"/>
  <c r="F937" i="5"/>
  <c r="G937" i="5"/>
  <c r="E938" i="5"/>
  <c r="F938" i="5"/>
  <c r="G938" i="5"/>
  <c r="E939" i="5"/>
  <c r="F939" i="5"/>
  <c r="G939" i="5"/>
  <c r="E940" i="5"/>
  <c r="F940" i="5"/>
  <c r="G940" i="5"/>
  <c r="E941" i="5"/>
  <c r="F941" i="5"/>
  <c r="G941" i="5"/>
  <c r="E942" i="5"/>
  <c r="F942" i="5"/>
  <c r="G942" i="5"/>
  <c r="E943" i="5"/>
  <c r="F943" i="5"/>
  <c r="G943" i="5"/>
  <c r="E944" i="5"/>
  <c r="F944" i="5"/>
  <c r="G944" i="5"/>
  <c r="E945" i="5"/>
  <c r="F945" i="5"/>
  <c r="G945" i="5"/>
  <c r="E946" i="5"/>
  <c r="F946" i="5"/>
  <c r="G946" i="5"/>
  <c r="E947" i="5"/>
  <c r="F947" i="5"/>
  <c r="G947" i="5"/>
  <c r="E948" i="5"/>
  <c r="F948" i="5"/>
  <c r="G948" i="5"/>
  <c r="E949" i="5"/>
  <c r="F949" i="5"/>
  <c r="G949" i="5"/>
  <c r="E950" i="5"/>
  <c r="F950" i="5"/>
  <c r="G950" i="5"/>
  <c r="E951" i="5"/>
  <c r="F951" i="5"/>
  <c r="G951" i="5"/>
  <c r="E952" i="5"/>
  <c r="F952" i="5"/>
  <c r="G952" i="5"/>
  <c r="E953" i="5"/>
  <c r="F953" i="5"/>
  <c r="G953" i="5"/>
  <c r="E954" i="5"/>
  <c r="F954" i="5"/>
  <c r="G954" i="5"/>
  <c r="E955" i="5"/>
  <c r="F955" i="5"/>
  <c r="G955" i="5"/>
  <c r="E956" i="5"/>
  <c r="F956" i="5"/>
  <c r="G956" i="5"/>
  <c r="E957" i="5"/>
  <c r="F957" i="5"/>
  <c r="G957" i="5"/>
  <c r="E958" i="5"/>
  <c r="F958" i="5"/>
  <c r="G958" i="5"/>
  <c r="E959" i="5"/>
  <c r="F959" i="5"/>
  <c r="G959" i="5"/>
  <c r="E960" i="5"/>
  <c r="F960" i="5"/>
  <c r="G960" i="5"/>
  <c r="E961" i="5"/>
  <c r="F961" i="5"/>
  <c r="G961" i="5"/>
  <c r="E962" i="5"/>
  <c r="F962" i="5"/>
  <c r="G962" i="5"/>
  <c r="E963" i="5"/>
  <c r="F963" i="5"/>
  <c r="G963" i="5"/>
  <c r="E964" i="5"/>
  <c r="F964" i="5"/>
  <c r="G964" i="5"/>
  <c r="E965" i="5"/>
  <c r="F965" i="5"/>
  <c r="G965" i="5"/>
  <c r="E966" i="5"/>
  <c r="F966" i="5"/>
  <c r="G966" i="5"/>
  <c r="E967" i="5"/>
  <c r="F967" i="5"/>
  <c r="G967" i="5"/>
  <c r="E968" i="5"/>
  <c r="F968" i="5"/>
  <c r="G968" i="5"/>
  <c r="E969" i="5"/>
  <c r="F969" i="5"/>
  <c r="G969" i="5"/>
  <c r="E970" i="5"/>
  <c r="F970" i="5"/>
  <c r="G970" i="5"/>
  <c r="E971" i="5"/>
  <c r="F971" i="5"/>
  <c r="G971" i="5"/>
  <c r="E972" i="5"/>
  <c r="F972" i="5"/>
  <c r="G972" i="5"/>
  <c r="E973" i="5"/>
  <c r="F973" i="5"/>
  <c r="G973" i="5"/>
  <c r="E974" i="5"/>
  <c r="F974" i="5"/>
  <c r="G974" i="5"/>
  <c r="E975" i="5"/>
  <c r="F975" i="5"/>
  <c r="G975" i="5"/>
  <c r="E976" i="5"/>
  <c r="F976" i="5"/>
  <c r="G976" i="5"/>
  <c r="E977" i="5"/>
  <c r="F977" i="5"/>
  <c r="G977" i="5"/>
  <c r="E978" i="5"/>
  <c r="F978" i="5"/>
  <c r="G978" i="5"/>
  <c r="E979" i="5"/>
  <c r="F979" i="5"/>
  <c r="G979" i="5"/>
  <c r="E980" i="5"/>
  <c r="F980" i="5"/>
  <c r="G980" i="5"/>
  <c r="E981" i="5"/>
  <c r="F981" i="5"/>
  <c r="G981" i="5"/>
  <c r="E982" i="5"/>
  <c r="F982" i="5"/>
  <c r="G982" i="5"/>
  <c r="E983" i="5"/>
  <c r="F983" i="5"/>
  <c r="G983" i="5"/>
  <c r="E984" i="5"/>
  <c r="F984" i="5"/>
  <c r="G984" i="5"/>
  <c r="E985" i="5"/>
  <c r="F985" i="5"/>
  <c r="G985" i="5"/>
  <c r="E986" i="5"/>
  <c r="F986" i="5"/>
  <c r="G986" i="5"/>
  <c r="E987" i="5"/>
  <c r="F987" i="5"/>
  <c r="G987" i="5"/>
  <c r="E988" i="5"/>
  <c r="F988" i="5"/>
  <c r="G988" i="5"/>
  <c r="E989" i="5"/>
  <c r="F989" i="5"/>
  <c r="G989" i="5"/>
  <c r="E990" i="5"/>
  <c r="F990" i="5"/>
  <c r="G990" i="5"/>
  <c r="E991" i="5"/>
  <c r="F991" i="5"/>
  <c r="G991" i="5"/>
  <c r="E992" i="5"/>
  <c r="F992" i="5"/>
  <c r="G992" i="5"/>
  <c r="E993" i="5"/>
  <c r="F993" i="5"/>
  <c r="G993" i="5"/>
  <c r="E994" i="5"/>
  <c r="F994" i="5"/>
  <c r="G994" i="5"/>
  <c r="E995" i="5"/>
  <c r="F995" i="5"/>
  <c r="G995" i="5"/>
  <c r="E996" i="5"/>
  <c r="F996" i="5"/>
  <c r="G996" i="5"/>
  <c r="E997" i="5"/>
  <c r="F997" i="5"/>
  <c r="G997" i="5"/>
  <c r="E998" i="5"/>
  <c r="F998" i="5"/>
  <c r="G998" i="5"/>
  <c r="E999" i="5"/>
  <c r="F999" i="5"/>
  <c r="G999" i="5"/>
  <c r="E1000" i="5"/>
  <c r="F1000" i="5"/>
  <c r="G1000" i="5"/>
  <c r="E1001" i="5"/>
  <c r="F1001" i="5"/>
  <c r="G1001" i="5"/>
  <c r="E1002" i="5"/>
  <c r="F1002" i="5"/>
  <c r="G1002" i="5"/>
  <c r="E1003" i="5"/>
  <c r="F1003" i="5"/>
  <c r="G1003" i="5"/>
  <c r="E1004" i="5"/>
  <c r="F1004" i="5"/>
  <c r="G1004" i="5"/>
  <c r="E1005" i="5"/>
  <c r="F1005" i="5"/>
  <c r="G1005" i="5"/>
  <c r="E1006" i="5"/>
  <c r="F1006" i="5"/>
  <c r="G1006" i="5"/>
  <c r="E1007" i="5"/>
  <c r="F1007" i="5"/>
  <c r="G1007" i="5"/>
  <c r="E1008" i="5"/>
  <c r="F1008" i="5"/>
  <c r="G1008" i="5"/>
  <c r="E1009" i="5"/>
  <c r="F1009" i="5"/>
  <c r="G1009" i="5"/>
  <c r="E1010" i="5"/>
  <c r="F1010" i="5"/>
  <c r="G1010" i="5"/>
  <c r="E1011" i="5"/>
  <c r="F1011" i="5"/>
  <c r="G1011" i="5"/>
  <c r="E1012" i="5"/>
  <c r="F1012" i="5"/>
  <c r="G1012" i="5"/>
  <c r="E1013" i="5"/>
  <c r="F1013" i="5"/>
  <c r="G1013" i="5"/>
  <c r="E1014" i="5"/>
  <c r="F1014" i="5"/>
  <c r="G1014" i="5"/>
  <c r="E1015" i="5"/>
  <c r="F1015" i="5"/>
  <c r="G1015" i="5"/>
  <c r="E1016" i="5"/>
  <c r="F1016" i="5"/>
  <c r="G1016" i="5"/>
  <c r="E1017" i="5"/>
  <c r="F1017" i="5"/>
  <c r="G1017" i="5"/>
  <c r="E1018" i="5"/>
  <c r="F1018" i="5"/>
  <c r="G1018" i="5"/>
  <c r="E1019" i="5"/>
  <c r="F1019" i="5"/>
  <c r="G1019" i="5"/>
  <c r="E1020" i="5"/>
  <c r="F1020" i="5"/>
  <c r="G1020" i="5"/>
  <c r="E1021" i="5"/>
  <c r="F1021" i="5"/>
  <c r="G1021" i="5"/>
  <c r="E1022" i="5"/>
  <c r="F1022" i="5"/>
  <c r="G1022" i="5"/>
  <c r="E1023" i="5"/>
  <c r="F1023" i="5"/>
  <c r="G1023" i="5"/>
  <c r="E1024" i="5"/>
  <c r="F1024" i="5"/>
  <c r="G1024" i="5"/>
  <c r="E1025" i="5"/>
  <c r="F1025" i="5"/>
  <c r="G1025" i="5"/>
  <c r="E1026" i="5"/>
  <c r="F1026" i="5"/>
  <c r="G1026" i="5"/>
  <c r="E1027" i="5"/>
  <c r="F1027" i="5"/>
  <c r="G1027" i="5"/>
  <c r="E1028" i="5"/>
  <c r="F1028" i="5"/>
  <c r="G1028" i="5"/>
  <c r="E1029" i="5"/>
  <c r="F1029" i="5"/>
  <c r="G1029" i="5"/>
  <c r="E1030" i="5"/>
  <c r="F1030" i="5"/>
  <c r="G1030" i="5"/>
  <c r="E1031" i="5"/>
  <c r="F1031" i="5"/>
  <c r="G1031" i="5"/>
  <c r="E1032" i="5"/>
  <c r="F1032" i="5"/>
  <c r="G1032" i="5"/>
  <c r="E1033" i="5"/>
  <c r="F1033" i="5"/>
  <c r="G1033" i="5"/>
  <c r="E1034" i="5"/>
  <c r="F1034" i="5"/>
  <c r="G1034" i="5"/>
  <c r="E1035" i="5"/>
  <c r="F1035" i="5"/>
  <c r="G1035" i="5"/>
  <c r="E1036" i="5"/>
  <c r="F1036" i="5"/>
  <c r="G1036" i="5"/>
  <c r="E1037" i="5"/>
  <c r="F1037" i="5"/>
  <c r="G1037" i="5"/>
  <c r="E1038" i="5"/>
  <c r="F1038" i="5"/>
  <c r="G1038" i="5"/>
  <c r="E1039" i="5"/>
  <c r="F1039" i="5"/>
  <c r="G1039" i="5"/>
  <c r="E1040" i="5"/>
  <c r="F1040" i="5"/>
  <c r="G1040" i="5"/>
  <c r="E1041" i="5"/>
  <c r="F1041" i="5"/>
  <c r="G1041" i="5"/>
  <c r="E1042" i="5"/>
  <c r="F1042" i="5"/>
  <c r="G1042" i="5"/>
  <c r="E1043" i="5"/>
  <c r="F1043" i="5"/>
  <c r="G1043" i="5"/>
  <c r="E1044" i="5"/>
  <c r="F1044" i="5"/>
  <c r="G1044" i="5"/>
  <c r="E1045" i="5"/>
  <c r="F1045" i="5"/>
  <c r="G1045" i="5"/>
  <c r="E1046" i="5"/>
  <c r="F1046" i="5"/>
  <c r="G1046" i="5"/>
  <c r="E501" i="4"/>
  <c r="F501" i="4"/>
  <c r="E502" i="4"/>
  <c r="F502" i="4"/>
  <c r="E503" i="4"/>
  <c r="F503" i="4"/>
  <c r="E504" i="4"/>
  <c r="F504" i="4"/>
  <c r="E505" i="4"/>
  <c r="F505" i="4"/>
  <c r="E506" i="4"/>
  <c r="F506" i="4"/>
  <c r="E507" i="4"/>
  <c r="F507" i="4"/>
  <c r="E508" i="4"/>
  <c r="F508" i="4"/>
  <c r="E509" i="4"/>
  <c r="F509" i="4"/>
  <c r="E510" i="4"/>
  <c r="F510" i="4"/>
  <c r="E511" i="4"/>
  <c r="F511" i="4"/>
  <c r="E512" i="4"/>
  <c r="F512" i="4"/>
  <c r="E513" i="4"/>
  <c r="F513" i="4"/>
  <c r="E514" i="4"/>
  <c r="F514" i="4"/>
  <c r="E515" i="4"/>
  <c r="F515" i="4"/>
  <c r="E516" i="4"/>
  <c r="F516" i="4"/>
  <c r="E517" i="4"/>
  <c r="F517" i="4"/>
  <c r="E518" i="4"/>
  <c r="F518" i="4"/>
  <c r="E519" i="4"/>
  <c r="F519" i="4"/>
  <c r="E520" i="4"/>
  <c r="F520" i="4"/>
  <c r="E521" i="4"/>
  <c r="F521" i="4"/>
  <c r="E522" i="4"/>
  <c r="F522" i="4"/>
  <c r="E523" i="4"/>
  <c r="F523" i="4"/>
  <c r="E524" i="4"/>
  <c r="F524" i="4"/>
  <c r="E525" i="4"/>
  <c r="F525" i="4"/>
  <c r="E526" i="4"/>
  <c r="F526" i="4"/>
  <c r="E527" i="4"/>
  <c r="F527" i="4"/>
  <c r="E528" i="4"/>
  <c r="F528" i="4"/>
  <c r="E529" i="4"/>
  <c r="F529" i="4"/>
  <c r="E530" i="4"/>
  <c r="F530" i="4"/>
  <c r="E531" i="4"/>
  <c r="F531" i="4"/>
  <c r="E532" i="4"/>
  <c r="F532" i="4"/>
  <c r="E533" i="4"/>
  <c r="F533" i="4"/>
  <c r="E534" i="4"/>
  <c r="F534" i="4"/>
  <c r="E535" i="4"/>
  <c r="F535" i="4"/>
  <c r="E536" i="4"/>
  <c r="F536" i="4"/>
  <c r="E537" i="4"/>
  <c r="F537" i="4"/>
  <c r="E538" i="4"/>
  <c r="F538" i="4"/>
  <c r="E539" i="4"/>
  <c r="F539" i="4"/>
  <c r="E540" i="4"/>
  <c r="F540" i="4"/>
  <c r="E541" i="4"/>
  <c r="F541" i="4"/>
  <c r="E542" i="4"/>
  <c r="F542" i="4"/>
  <c r="E543" i="4"/>
  <c r="F543" i="4"/>
  <c r="E544" i="4"/>
  <c r="F544" i="4"/>
  <c r="E545" i="4"/>
  <c r="F545" i="4"/>
  <c r="E546" i="4"/>
  <c r="F546" i="4"/>
  <c r="E547" i="4"/>
  <c r="F547" i="4"/>
  <c r="E548" i="4"/>
  <c r="F548" i="4"/>
  <c r="E549" i="4"/>
  <c r="F549" i="4"/>
  <c r="E550" i="4"/>
  <c r="F550" i="4"/>
  <c r="E551" i="4"/>
  <c r="F551" i="4"/>
  <c r="E552" i="4"/>
  <c r="F552" i="4"/>
  <c r="E553" i="4"/>
  <c r="F553" i="4"/>
  <c r="E554" i="4"/>
  <c r="F554" i="4"/>
  <c r="E555" i="4"/>
  <c r="F555" i="4"/>
  <c r="E556" i="4"/>
  <c r="F556" i="4"/>
  <c r="E557" i="4"/>
  <c r="F557" i="4"/>
  <c r="E558" i="4"/>
  <c r="F558" i="4"/>
  <c r="E559" i="4"/>
  <c r="F559" i="4"/>
  <c r="E560" i="4"/>
  <c r="F560" i="4"/>
  <c r="E561" i="4"/>
  <c r="F561" i="4"/>
  <c r="E562" i="4"/>
  <c r="F562" i="4"/>
  <c r="E563" i="4"/>
  <c r="F563" i="4"/>
  <c r="E564" i="4"/>
  <c r="F564" i="4"/>
  <c r="E565" i="4"/>
  <c r="F565" i="4"/>
  <c r="E566" i="4"/>
  <c r="F566" i="4"/>
  <c r="E567" i="4"/>
  <c r="F567" i="4"/>
  <c r="E568" i="4"/>
  <c r="F568" i="4"/>
  <c r="E569" i="4"/>
  <c r="F569" i="4"/>
  <c r="E570" i="4"/>
  <c r="F570" i="4"/>
  <c r="E571" i="4"/>
  <c r="F571" i="4"/>
  <c r="E572" i="4"/>
  <c r="F572" i="4"/>
  <c r="E573" i="4"/>
  <c r="F573" i="4"/>
  <c r="E574" i="4"/>
  <c r="F574" i="4"/>
  <c r="E575" i="4"/>
  <c r="F575" i="4"/>
  <c r="E576" i="4"/>
  <c r="F576" i="4"/>
  <c r="E577" i="4"/>
  <c r="F577" i="4"/>
  <c r="E578" i="4"/>
  <c r="F578" i="4"/>
  <c r="E579" i="4"/>
  <c r="F579" i="4"/>
  <c r="E580" i="4"/>
  <c r="F580" i="4"/>
  <c r="E581" i="4"/>
  <c r="F581" i="4"/>
  <c r="E582" i="4"/>
  <c r="F582" i="4"/>
  <c r="E583" i="4"/>
  <c r="F583" i="4"/>
  <c r="E584" i="4"/>
  <c r="F584" i="4"/>
  <c r="E585" i="4"/>
  <c r="F585" i="4"/>
  <c r="E586" i="4"/>
  <c r="F586" i="4"/>
  <c r="E587" i="4"/>
  <c r="F587" i="4"/>
  <c r="E588" i="4"/>
  <c r="F588" i="4"/>
  <c r="E589" i="4"/>
  <c r="F589" i="4"/>
  <c r="E590" i="4"/>
  <c r="F590" i="4"/>
  <c r="E591" i="4"/>
  <c r="F591" i="4"/>
  <c r="E592" i="4"/>
  <c r="F592" i="4"/>
  <c r="E593" i="4"/>
  <c r="F593" i="4"/>
  <c r="E594" i="4"/>
  <c r="F594" i="4"/>
  <c r="E595" i="4"/>
  <c r="F595" i="4"/>
  <c r="E596" i="4"/>
  <c r="F596" i="4"/>
  <c r="E597" i="4"/>
  <c r="F597" i="4"/>
  <c r="E598" i="4"/>
  <c r="F598" i="4"/>
  <c r="E599" i="4"/>
  <c r="F599" i="4"/>
  <c r="E600" i="4"/>
  <c r="F600" i="4"/>
  <c r="E601" i="4"/>
  <c r="F601" i="4"/>
  <c r="E602" i="4"/>
  <c r="F602" i="4"/>
  <c r="E603" i="4"/>
  <c r="F603" i="4"/>
  <c r="E604" i="4"/>
  <c r="F604" i="4"/>
  <c r="E605" i="4"/>
  <c r="F605" i="4"/>
  <c r="E606" i="4"/>
  <c r="F606" i="4"/>
  <c r="E607" i="4"/>
  <c r="F607" i="4"/>
  <c r="E608" i="4"/>
  <c r="F608" i="4"/>
  <c r="E609" i="4"/>
  <c r="F609" i="4"/>
  <c r="E610" i="4"/>
  <c r="F610" i="4"/>
  <c r="E611" i="4"/>
  <c r="F611" i="4"/>
  <c r="E612" i="4"/>
  <c r="F612" i="4"/>
  <c r="E613" i="4"/>
  <c r="F613" i="4"/>
  <c r="E614" i="4"/>
  <c r="F614" i="4"/>
  <c r="E615" i="4"/>
  <c r="F615" i="4"/>
  <c r="E616" i="4"/>
  <c r="F616" i="4"/>
  <c r="E617" i="4"/>
  <c r="F617" i="4"/>
  <c r="E618" i="4"/>
  <c r="F618" i="4"/>
  <c r="E619" i="4"/>
  <c r="F619" i="4"/>
  <c r="E620" i="4"/>
  <c r="F620" i="4"/>
  <c r="E621" i="4"/>
  <c r="F621" i="4"/>
  <c r="E622" i="4"/>
  <c r="F622" i="4"/>
  <c r="E623" i="4"/>
  <c r="F623" i="4"/>
  <c r="E624" i="4"/>
  <c r="F624" i="4"/>
  <c r="E625" i="4"/>
  <c r="F625" i="4"/>
  <c r="E626" i="4"/>
  <c r="F626" i="4"/>
  <c r="E627" i="4"/>
  <c r="F627" i="4"/>
  <c r="E628" i="4"/>
  <c r="F628" i="4"/>
  <c r="E629" i="4"/>
  <c r="F629" i="4"/>
  <c r="E630" i="4"/>
  <c r="F630" i="4"/>
  <c r="E631" i="4"/>
  <c r="F631" i="4"/>
  <c r="E632" i="4"/>
  <c r="F632" i="4"/>
  <c r="E633" i="4"/>
  <c r="F633" i="4"/>
  <c r="E634" i="4"/>
  <c r="F634" i="4"/>
  <c r="E635" i="4"/>
  <c r="F635" i="4"/>
  <c r="E636" i="4"/>
  <c r="F636" i="4"/>
  <c r="E637" i="4"/>
  <c r="F637" i="4"/>
  <c r="E638" i="4"/>
  <c r="F638" i="4"/>
  <c r="E639" i="4"/>
  <c r="F639" i="4"/>
  <c r="E640" i="4"/>
  <c r="F640" i="4"/>
  <c r="E641" i="4"/>
  <c r="F641" i="4"/>
  <c r="E642" i="4"/>
  <c r="F642" i="4"/>
  <c r="E643" i="4"/>
  <c r="F643" i="4"/>
  <c r="E644" i="4"/>
  <c r="F644" i="4"/>
  <c r="E645" i="4"/>
  <c r="F645" i="4"/>
  <c r="E646" i="4"/>
  <c r="F646" i="4"/>
  <c r="E647" i="4"/>
  <c r="F647" i="4"/>
  <c r="E648" i="4"/>
  <c r="F648" i="4"/>
  <c r="E649" i="4"/>
  <c r="F649" i="4"/>
  <c r="E650" i="4"/>
  <c r="F650" i="4"/>
  <c r="E651" i="4"/>
  <c r="F651" i="4"/>
  <c r="E652" i="4"/>
  <c r="F652" i="4"/>
  <c r="E653" i="4"/>
  <c r="F653" i="4"/>
  <c r="E654" i="4"/>
  <c r="F654" i="4"/>
  <c r="E655" i="4"/>
  <c r="F655" i="4"/>
  <c r="E656" i="4"/>
  <c r="F656" i="4"/>
  <c r="E657" i="4"/>
  <c r="F657" i="4"/>
  <c r="E658" i="4"/>
  <c r="F658" i="4"/>
  <c r="E659" i="4"/>
  <c r="F659" i="4"/>
  <c r="E660" i="4"/>
  <c r="F660" i="4"/>
  <c r="E661" i="4"/>
  <c r="F661" i="4"/>
  <c r="E662" i="4"/>
  <c r="F662" i="4"/>
  <c r="E663" i="4"/>
  <c r="F663" i="4"/>
  <c r="E664" i="4"/>
  <c r="F664" i="4"/>
  <c r="E665" i="4"/>
  <c r="F665" i="4"/>
  <c r="E666" i="4"/>
  <c r="F666" i="4"/>
  <c r="E667" i="4"/>
  <c r="F667" i="4"/>
  <c r="E668" i="4"/>
  <c r="F668" i="4"/>
  <c r="E669" i="4"/>
  <c r="F669" i="4"/>
  <c r="E670" i="4"/>
  <c r="F670" i="4"/>
  <c r="E671" i="4"/>
  <c r="F671" i="4"/>
  <c r="E672" i="4"/>
  <c r="F672" i="4"/>
  <c r="E673" i="4"/>
  <c r="F673" i="4"/>
  <c r="E674" i="4"/>
  <c r="F674" i="4"/>
  <c r="E675" i="4"/>
  <c r="F675" i="4"/>
  <c r="E676" i="4"/>
  <c r="F676" i="4"/>
  <c r="E677" i="4"/>
  <c r="F677" i="4"/>
  <c r="E678" i="4"/>
  <c r="F678" i="4"/>
  <c r="E679" i="4"/>
  <c r="F679" i="4"/>
  <c r="E680" i="4"/>
  <c r="F680" i="4"/>
  <c r="E681" i="4"/>
  <c r="F681" i="4"/>
  <c r="E682" i="4"/>
  <c r="F682" i="4"/>
  <c r="E683" i="4"/>
  <c r="F683" i="4"/>
  <c r="E684" i="4"/>
  <c r="F684" i="4"/>
  <c r="E685" i="4"/>
  <c r="F685" i="4"/>
  <c r="E686" i="4"/>
  <c r="F686" i="4"/>
  <c r="E687" i="4"/>
  <c r="F687" i="4"/>
  <c r="E688" i="4"/>
  <c r="F688" i="4"/>
  <c r="E689" i="4"/>
  <c r="F689" i="4"/>
  <c r="E690" i="4"/>
  <c r="F690" i="4"/>
  <c r="E691" i="4"/>
  <c r="F691" i="4"/>
  <c r="E692" i="4"/>
  <c r="F692" i="4"/>
  <c r="E693" i="4"/>
  <c r="F693" i="4"/>
  <c r="E694" i="4"/>
  <c r="F694" i="4"/>
  <c r="E695" i="4"/>
  <c r="F695" i="4"/>
  <c r="E696" i="4"/>
  <c r="F696" i="4"/>
  <c r="E697" i="4"/>
  <c r="F697" i="4"/>
  <c r="E698" i="4"/>
  <c r="F698" i="4"/>
  <c r="E699" i="4"/>
  <c r="F699" i="4"/>
  <c r="E700" i="4"/>
  <c r="F700" i="4"/>
  <c r="E701" i="4"/>
  <c r="F701" i="4"/>
  <c r="E702" i="4"/>
  <c r="F702" i="4"/>
  <c r="E703" i="4"/>
  <c r="F703" i="4"/>
  <c r="E704" i="4"/>
  <c r="F704" i="4"/>
  <c r="E705" i="4"/>
  <c r="F705" i="4"/>
  <c r="E706" i="4"/>
  <c r="F706" i="4"/>
  <c r="E707" i="4"/>
  <c r="F707" i="4"/>
  <c r="E708" i="4"/>
  <c r="F708" i="4"/>
  <c r="E709" i="4"/>
  <c r="F709" i="4"/>
  <c r="E710" i="4"/>
  <c r="F710" i="4"/>
  <c r="E711" i="4"/>
  <c r="F711" i="4"/>
  <c r="E712" i="4"/>
  <c r="F712" i="4"/>
  <c r="E713" i="4"/>
  <c r="F713" i="4"/>
  <c r="E714" i="4"/>
  <c r="F714" i="4"/>
  <c r="E715" i="4"/>
  <c r="F715" i="4"/>
  <c r="E716" i="4"/>
  <c r="F716" i="4"/>
  <c r="E717" i="4"/>
  <c r="F717" i="4"/>
  <c r="E718" i="4"/>
  <c r="F718" i="4"/>
  <c r="E719" i="4"/>
  <c r="F719" i="4"/>
  <c r="E720" i="4"/>
  <c r="F720" i="4"/>
  <c r="E721" i="4"/>
  <c r="F721" i="4"/>
  <c r="E722" i="4"/>
  <c r="F722" i="4"/>
  <c r="E723" i="4"/>
  <c r="F723" i="4"/>
  <c r="E724" i="4"/>
  <c r="F724" i="4"/>
  <c r="E725" i="4"/>
  <c r="F725" i="4"/>
  <c r="E726" i="4"/>
  <c r="F726" i="4"/>
  <c r="E727" i="4"/>
  <c r="F727" i="4"/>
  <c r="E728" i="4"/>
  <c r="F728" i="4"/>
  <c r="E729" i="4"/>
  <c r="F729" i="4"/>
  <c r="E730" i="4"/>
  <c r="F730" i="4"/>
  <c r="E731" i="4"/>
  <c r="F731" i="4"/>
  <c r="E732" i="4"/>
  <c r="F732" i="4"/>
  <c r="E733" i="4"/>
  <c r="F733" i="4"/>
  <c r="E734" i="4"/>
  <c r="F734" i="4"/>
  <c r="E735" i="4"/>
  <c r="F735" i="4"/>
  <c r="E736" i="4"/>
  <c r="F736" i="4"/>
  <c r="E737" i="4"/>
  <c r="F737" i="4"/>
  <c r="E738" i="4"/>
  <c r="F738" i="4"/>
  <c r="E739" i="4"/>
  <c r="F739" i="4"/>
  <c r="E740" i="4"/>
  <c r="F740" i="4"/>
  <c r="E741" i="4"/>
  <c r="F741" i="4"/>
  <c r="E742" i="4"/>
  <c r="F742" i="4"/>
  <c r="E743" i="4"/>
  <c r="F743" i="4"/>
  <c r="E744" i="4"/>
  <c r="F744" i="4"/>
  <c r="E745" i="4"/>
  <c r="F745" i="4"/>
  <c r="E746" i="4"/>
  <c r="F746" i="4"/>
  <c r="E747" i="4"/>
  <c r="F747" i="4"/>
  <c r="E748" i="4"/>
  <c r="F748" i="4"/>
  <c r="E749" i="4"/>
  <c r="F749" i="4"/>
  <c r="E750" i="4"/>
  <c r="F750" i="4"/>
  <c r="E751" i="4"/>
  <c r="F751" i="4"/>
  <c r="E752" i="4"/>
  <c r="F752" i="4"/>
  <c r="E753" i="4"/>
  <c r="F753" i="4"/>
  <c r="E754" i="4"/>
  <c r="F754" i="4"/>
  <c r="E755" i="4"/>
  <c r="F755" i="4"/>
  <c r="E756" i="4"/>
  <c r="F756" i="4"/>
  <c r="E757" i="4"/>
  <c r="F757" i="4"/>
  <c r="E758" i="4"/>
  <c r="F758" i="4"/>
  <c r="E759" i="4"/>
  <c r="F759" i="4"/>
  <c r="E760" i="4"/>
  <c r="F760" i="4"/>
  <c r="E761" i="4"/>
  <c r="F761" i="4"/>
  <c r="E762" i="4"/>
  <c r="F762" i="4"/>
  <c r="E763" i="4"/>
  <c r="F763" i="4"/>
  <c r="E764" i="4"/>
  <c r="F764" i="4"/>
  <c r="E765" i="4"/>
  <c r="F765" i="4"/>
  <c r="E766" i="4"/>
  <c r="F766" i="4"/>
  <c r="E767" i="4"/>
  <c r="F767" i="4"/>
  <c r="E768" i="4"/>
  <c r="F768" i="4"/>
  <c r="E769" i="4"/>
  <c r="F769" i="4"/>
  <c r="E770" i="4"/>
  <c r="F770" i="4"/>
  <c r="E771" i="4"/>
  <c r="F771" i="4"/>
  <c r="E772" i="4"/>
  <c r="F772" i="4"/>
  <c r="E773" i="4"/>
  <c r="F773" i="4"/>
  <c r="E774" i="4"/>
  <c r="F774" i="4"/>
  <c r="E775" i="4"/>
  <c r="F775" i="4"/>
  <c r="E776" i="4"/>
  <c r="F776" i="4"/>
  <c r="E777" i="4"/>
  <c r="F777" i="4"/>
  <c r="E778" i="4"/>
  <c r="F778" i="4"/>
  <c r="E779" i="4"/>
  <c r="F779" i="4"/>
  <c r="E780" i="4"/>
  <c r="F780" i="4"/>
  <c r="E781" i="4"/>
  <c r="F781" i="4"/>
  <c r="E782" i="4"/>
  <c r="F782" i="4"/>
  <c r="E783" i="4"/>
  <c r="F783" i="4"/>
  <c r="E784" i="4"/>
  <c r="F784" i="4"/>
  <c r="E785" i="4"/>
  <c r="F785" i="4"/>
  <c r="E786" i="4"/>
  <c r="F786" i="4"/>
  <c r="E787" i="4"/>
  <c r="F787" i="4"/>
  <c r="E788" i="4"/>
  <c r="F788" i="4"/>
  <c r="E789" i="4"/>
  <c r="F789" i="4"/>
  <c r="E790" i="4"/>
  <c r="F790" i="4"/>
  <c r="E791" i="4"/>
  <c r="F791" i="4"/>
  <c r="E792" i="4"/>
  <c r="F792" i="4"/>
  <c r="E793" i="4"/>
  <c r="F793" i="4"/>
  <c r="E794" i="4"/>
  <c r="F794" i="4"/>
  <c r="E795" i="4"/>
  <c r="F795" i="4"/>
  <c r="E796" i="4"/>
  <c r="F796" i="4"/>
  <c r="E797" i="4"/>
  <c r="F797" i="4"/>
  <c r="E798" i="4"/>
  <c r="F798" i="4"/>
  <c r="E799" i="4"/>
  <c r="F799" i="4"/>
  <c r="E800" i="4"/>
  <c r="F800" i="4"/>
  <c r="E801" i="4"/>
  <c r="F801" i="4"/>
  <c r="E802" i="4"/>
  <c r="F802" i="4"/>
  <c r="E803" i="4"/>
  <c r="F803" i="4"/>
  <c r="E804" i="4"/>
  <c r="F804" i="4"/>
  <c r="E805" i="4"/>
  <c r="F805" i="4"/>
  <c r="E806" i="4"/>
  <c r="F806" i="4"/>
  <c r="E807" i="4"/>
  <c r="F807" i="4"/>
  <c r="E808" i="4"/>
  <c r="F808" i="4"/>
  <c r="E809" i="4"/>
  <c r="F809" i="4"/>
  <c r="E810" i="4"/>
  <c r="F810" i="4"/>
  <c r="E811" i="4"/>
  <c r="F811" i="4"/>
  <c r="E812" i="4"/>
  <c r="F812" i="4"/>
  <c r="E813" i="4"/>
  <c r="F813" i="4"/>
  <c r="E814" i="4"/>
  <c r="F814" i="4"/>
  <c r="E815" i="4"/>
  <c r="F815" i="4"/>
  <c r="E816" i="4"/>
  <c r="F816" i="4"/>
  <c r="E817" i="4"/>
  <c r="F817" i="4"/>
  <c r="E818" i="4"/>
  <c r="F818" i="4"/>
  <c r="E819" i="4"/>
  <c r="F819" i="4"/>
  <c r="E820" i="4"/>
  <c r="F820" i="4"/>
  <c r="E821" i="4"/>
  <c r="F821" i="4"/>
  <c r="E822" i="4"/>
  <c r="F822" i="4"/>
  <c r="E823" i="4"/>
  <c r="F823" i="4"/>
  <c r="E824" i="4"/>
  <c r="F824" i="4"/>
  <c r="E825" i="4"/>
  <c r="F825" i="4"/>
  <c r="E826" i="4"/>
  <c r="F826" i="4"/>
  <c r="E827" i="4"/>
  <c r="F827" i="4"/>
  <c r="E828" i="4"/>
  <c r="F828" i="4"/>
  <c r="E829" i="4"/>
  <c r="F829" i="4"/>
  <c r="E830" i="4"/>
  <c r="F830" i="4"/>
  <c r="E831" i="4"/>
  <c r="F831" i="4"/>
  <c r="E832" i="4"/>
  <c r="F832" i="4"/>
  <c r="E833" i="4"/>
  <c r="F833" i="4"/>
  <c r="E834" i="4"/>
  <c r="F834" i="4"/>
  <c r="E835" i="4"/>
  <c r="F835" i="4"/>
  <c r="E836" i="4"/>
  <c r="F836" i="4"/>
  <c r="E837" i="4"/>
  <c r="F837" i="4"/>
  <c r="E838" i="4"/>
  <c r="F838" i="4"/>
  <c r="E839" i="4"/>
  <c r="F839" i="4"/>
  <c r="E840" i="4"/>
  <c r="F840" i="4"/>
  <c r="E841" i="4"/>
  <c r="F841" i="4"/>
  <c r="E842" i="4"/>
  <c r="F842" i="4"/>
  <c r="E843" i="4"/>
  <c r="F843" i="4"/>
  <c r="E844" i="4"/>
  <c r="F844" i="4"/>
  <c r="E845" i="4"/>
  <c r="F845" i="4"/>
  <c r="E846" i="4"/>
  <c r="F846" i="4"/>
  <c r="E847" i="4"/>
  <c r="F847" i="4"/>
  <c r="E848" i="4"/>
  <c r="F848" i="4"/>
  <c r="E849" i="4"/>
  <c r="F849" i="4"/>
  <c r="E850" i="4"/>
  <c r="F850" i="4"/>
  <c r="E851" i="4"/>
  <c r="F851" i="4"/>
  <c r="E852" i="4"/>
  <c r="F852" i="4"/>
  <c r="E853" i="4"/>
  <c r="F853" i="4"/>
  <c r="E854" i="4"/>
  <c r="F854" i="4"/>
  <c r="E855" i="4"/>
  <c r="F855" i="4"/>
  <c r="E856" i="4"/>
  <c r="F856" i="4"/>
  <c r="E857" i="4"/>
  <c r="F857" i="4"/>
  <c r="E858" i="4"/>
  <c r="F858" i="4"/>
  <c r="E859" i="4"/>
  <c r="F859" i="4"/>
  <c r="E860" i="4"/>
  <c r="F860" i="4"/>
  <c r="E861" i="4"/>
  <c r="F861" i="4"/>
  <c r="E862" i="4"/>
  <c r="F862" i="4"/>
  <c r="E863" i="4"/>
  <c r="F863" i="4"/>
  <c r="E864" i="4"/>
  <c r="F864" i="4"/>
  <c r="E865" i="4"/>
  <c r="F865" i="4"/>
  <c r="E866" i="4"/>
  <c r="F866" i="4"/>
  <c r="E867" i="4"/>
  <c r="F867" i="4"/>
  <c r="E868" i="4"/>
  <c r="F868" i="4"/>
  <c r="E869" i="4"/>
  <c r="F869" i="4"/>
  <c r="E870" i="4"/>
  <c r="F870" i="4"/>
  <c r="E871" i="4"/>
  <c r="F871" i="4"/>
  <c r="E872" i="4"/>
  <c r="F872" i="4"/>
  <c r="E873" i="4"/>
  <c r="F873" i="4"/>
  <c r="E874" i="4"/>
  <c r="F874" i="4"/>
  <c r="E875" i="4"/>
  <c r="F875" i="4"/>
  <c r="E876" i="4"/>
  <c r="F876" i="4"/>
  <c r="E877" i="4"/>
  <c r="F877" i="4"/>
  <c r="E878" i="4"/>
  <c r="F878" i="4"/>
  <c r="E879" i="4"/>
  <c r="F879" i="4"/>
  <c r="E880" i="4"/>
  <c r="F880" i="4"/>
  <c r="E881" i="4"/>
  <c r="F881" i="4"/>
  <c r="E882" i="4"/>
  <c r="F882" i="4"/>
  <c r="E883" i="4"/>
  <c r="F883" i="4"/>
  <c r="E884" i="4"/>
  <c r="F884" i="4"/>
  <c r="E885" i="4"/>
  <c r="F885" i="4"/>
  <c r="E886" i="4"/>
  <c r="F886" i="4"/>
  <c r="E887" i="4"/>
  <c r="F887" i="4"/>
  <c r="E888" i="4"/>
  <c r="F888" i="4"/>
  <c r="E889" i="4"/>
  <c r="F889" i="4"/>
  <c r="E890" i="4"/>
  <c r="F890" i="4"/>
  <c r="E891" i="4"/>
  <c r="F891" i="4"/>
  <c r="E892" i="4"/>
  <c r="F892" i="4"/>
  <c r="E893" i="4"/>
  <c r="F893" i="4"/>
  <c r="E894" i="4"/>
  <c r="F894" i="4"/>
  <c r="E895" i="4"/>
  <c r="F895" i="4"/>
  <c r="E896" i="4"/>
  <c r="F896" i="4"/>
  <c r="E897" i="4"/>
  <c r="F897" i="4"/>
  <c r="E898" i="4"/>
  <c r="F898" i="4"/>
  <c r="E899" i="4"/>
  <c r="F899" i="4"/>
  <c r="E900" i="4"/>
  <c r="F900" i="4"/>
  <c r="E901" i="4"/>
  <c r="F901" i="4"/>
  <c r="E902" i="4"/>
  <c r="F902" i="4"/>
  <c r="E903" i="4"/>
  <c r="F903" i="4"/>
  <c r="E904" i="4"/>
  <c r="F904" i="4"/>
  <c r="E905" i="4"/>
  <c r="F905" i="4"/>
  <c r="E906" i="4"/>
  <c r="F906" i="4"/>
  <c r="E907" i="4"/>
  <c r="F907" i="4"/>
  <c r="E908" i="4"/>
  <c r="F908" i="4"/>
  <c r="E909" i="4"/>
  <c r="F909" i="4"/>
  <c r="E910" i="4"/>
  <c r="F910" i="4"/>
  <c r="E911" i="4"/>
  <c r="F911" i="4"/>
  <c r="E912" i="4"/>
  <c r="F912" i="4"/>
  <c r="E913" i="4"/>
  <c r="F913" i="4"/>
  <c r="E914" i="4"/>
  <c r="F914" i="4"/>
  <c r="E915" i="4"/>
  <c r="F915" i="4"/>
  <c r="E916" i="4"/>
  <c r="F916" i="4"/>
  <c r="E917" i="4"/>
  <c r="F917" i="4"/>
  <c r="E918" i="4"/>
  <c r="F918" i="4"/>
  <c r="E919" i="4"/>
  <c r="F919" i="4"/>
  <c r="E920" i="4"/>
  <c r="F920" i="4"/>
  <c r="E921" i="4"/>
  <c r="F921" i="4"/>
  <c r="E922" i="4"/>
  <c r="F922" i="4"/>
  <c r="E923" i="4"/>
  <c r="F923" i="4"/>
  <c r="E924" i="4"/>
  <c r="F924" i="4"/>
  <c r="E925" i="4"/>
  <c r="F925" i="4"/>
  <c r="E926" i="4"/>
  <c r="F926" i="4"/>
  <c r="E927" i="4"/>
  <c r="F927" i="4"/>
  <c r="E928" i="4"/>
  <c r="F928" i="4"/>
  <c r="E929" i="4"/>
  <c r="F929" i="4"/>
  <c r="E930" i="4"/>
  <c r="F930" i="4"/>
  <c r="E931" i="4"/>
  <c r="F931" i="4"/>
  <c r="E932" i="4"/>
  <c r="F932" i="4"/>
  <c r="E933" i="4"/>
  <c r="F933" i="4"/>
  <c r="E934" i="4"/>
  <c r="F934" i="4"/>
  <c r="E935" i="4"/>
  <c r="F935" i="4"/>
  <c r="E936" i="4"/>
  <c r="F936" i="4"/>
  <c r="E937" i="4"/>
  <c r="F937" i="4"/>
  <c r="E938" i="4"/>
  <c r="F938" i="4"/>
  <c r="E939" i="4"/>
  <c r="F939" i="4"/>
  <c r="E940" i="4"/>
  <c r="F940" i="4"/>
  <c r="E941" i="4"/>
  <c r="F941" i="4"/>
  <c r="E942" i="4"/>
  <c r="F942" i="4"/>
  <c r="E943" i="4"/>
  <c r="F943" i="4"/>
  <c r="E944" i="4"/>
  <c r="F944" i="4"/>
  <c r="E945" i="4"/>
  <c r="F945" i="4"/>
  <c r="E946" i="4"/>
  <c r="F946" i="4"/>
  <c r="E947" i="4"/>
  <c r="F947" i="4"/>
  <c r="E948" i="4"/>
  <c r="F948" i="4"/>
  <c r="E949" i="4"/>
  <c r="F949" i="4"/>
  <c r="E950" i="4"/>
  <c r="F950" i="4"/>
  <c r="E951" i="4"/>
  <c r="F951" i="4"/>
  <c r="E952" i="4"/>
  <c r="F952" i="4"/>
  <c r="E953" i="4"/>
  <c r="F953" i="4"/>
  <c r="E954" i="4"/>
  <c r="F954" i="4"/>
  <c r="E955" i="4"/>
  <c r="F955" i="4"/>
  <c r="E956" i="4"/>
  <c r="F956" i="4"/>
  <c r="E957" i="4"/>
  <c r="F957" i="4"/>
  <c r="E958" i="4"/>
  <c r="F958" i="4"/>
  <c r="E959" i="4"/>
  <c r="F959" i="4"/>
  <c r="E960" i="4"/>
  <c r="F960" i="4"/>
  <c r="E961" i="4"/>
  <c r="F961" i="4"/>
  <c r="E962" i="4"/>
  <c r="F962" i="4"/>
  <c r="E963" i="4"/>
  <c r="F963" i="4"/>
  <c r="E964" i="4"/>
  <c r="F964" i="4"/>
  <c r="E965" i="4"/>
  <c r="F965" i="4"/>
  <c r="E966" i="4"/>
  <c r="F966" i="4"/>
  <c r="E967" i="4"/>
  <c r="F967" i="4"/>
  <c r="E968" i="4"/>
  <c r="F968" i="4"/>
  <c r="E969" i="4"/>
  <c r="F969" i="4"/>
  <c r="E970" i="4"/>
  <c r="F970" i="4"/>
  <c r="E971" i="4"/>
  <c r="F971" i="4"/>
  <c r="E972" i="4"/>
  <c r="F972" i="4"/>
  <c r="E973" i="4"/>
  <c r="F973" i="4"/>
  <c r="E974" i="4"/>
  <c r="F974" i="4"/>
  <c r="E975" i="4"/>
  <c r="F975" i="4"/>
  <c r="E976" i="4"/>
  <c r="F976" i="4"/>
  <c r="E977" i="4"/>
  <c r="F977" i="4"/>
  <c r="E978" i="4"/>
  <c r="F978" i="4"/>
  <c r="E979" i="4"/>
  <c r="F979" i="4"/>
  <c r="E980" i="4"/>
  <c r="F980" i="4"/>
  <c r="E981" i="4"/>
  <c r="F981" i="4"/>
  <c r="E982" i="4"/>
  <c r="F982" i="4"/>
  <c r="E983" i="4"/>
  <c r="F983" i="4"/>
  <c r="E984" i="4"/>
  <c r="F984" i="4"/>
  <c r="E985" i="4"/>
  <c r="F985" i="4"/>
  <c r="E986" i="4"/>
  <c r="F986" i="4"/>
  <c r="E987" i="4"/>
  <c r="F987" i="4"/>
  <c r="E988" i="4"/>
  <c r="F988" i="4"/>
  <c r="E989" i="4"/>
  <c r="F989" i="4"/>
  <c r="E990" i="4"/>
  <c r="F990" i="4"/>
  <c r="E991" i="4"/>
  <c r="F991" i="4"/>
  <c r="E992" i="4"/>
  <c r="F992" i="4"/>
  <c r="E993" i="4"/>
  <c r="F993" i="4"/>
  <c r="E994" i="4"/>
  <c r="F994" i="4"/>
  <c r="E995" i="4"/>
  <c r="F995" i="4"/>
  <c r="E996" i="4"/>
  <c r="F996" i="4"/>
  <c r="E997" i="4"/>
  <c r="F997" i="4"/>
  <c r="E998" i="4"/>
  <c r="F998" i="4"/>
  <c r="E999" i="4"/>
  <c r="F999" i="4"/>
  <c r="E1000" i="4"/>
  <c r="F1000" i="4"/>
  <c r="E1001" i="4"/>
  <c r="F1001" i="4"/>
  <c r="E1002" i="4"/>
  <c r="F1002" i="4"/>
  <c r="E1003" i="4"/>
  <c r="F1003" i="4"/>
  <c r="E1004" i="4"/>
  <c r="F1004" i="4"/>
  <c r="E1005" i="4"/>
  <c r="F1005" i="4"/>
  <c r="E1006" i="4"/>
  <c r="F1006" i="4"/>
  <c r="E1007" i="4"/>
  <c r="F1007" i="4"/>
  <c r="E1008" i="4"/>
  <c r="F1008" i="4"/>
  <c r="E1009" i="4"/>
  <c r="F1009" i="4"/>
  <c r="E1010" i="4"/>
  <c r="F1010" i="4"/>
  <c r="E1011" i="4"/>
  <c r="F1011" i="4"/>
  <c r="E1012" i="4"/>
  <c r="F1012" i="4"/>
  <c r="E1013" i="4"/>
  <c r="F1013" i="4"/>
  <c r="E1014" i="4"/>
  <c r="F1014" i="4"/>
  <c r="E1015" i="4"/>
  <c r="F1015" i="4"/>
  <c r="E1016" i="4"/>
  <c r="F1016" i="4"/>
  <c r="E1017" i="4"/>
  <c r="F1017" i="4"/>
  <c r="E1018" i="4"/>
  <c r="F1018" i="4"/>
  <c r="E1019" i="4"/>
  <c r="F1019" i="4"/>
  <c r="E1020" i="4"/>
  <c r="F1020" i="4"/>
  <c r="E1021" i="4"/>
  <c r="F1021" i="4"/>
  <c r="E1022" i="4"/>
  <c r="F1022" i="4"/>
  <c r="E1023" i="4"/>
  <c r="F1023" i="4"/>
  <c r="E1024" i="4"/>
  <c r="F1024" i="4"/>
  <c r="E1025" i="4"/>
  <c r="F1025" i="4"/>
  <c r="E1026" i="4"/>
  <c r="F1026" i="4"/>
  <c r="E1027" i="4"/>
  <c r="F1027" i="4"/>
  <c r="E1028" i="4"/>
  <c r="F1028" i="4"/>
  <c r="E1029" i="4"/>
  <c r="F1029" i="4"/>
  <c r="E1030" i="4"/>
  <c r="F1030" i="4"/>
  <c r="E1031" i="4"/>
  <c r="F1031" i="4"/>
  <c r="E1032" i="4"/>
  <c r="F1032" i="4"/>
  <c r="E1033" i="4"/>
  <c r="F1033" i="4"/>
  <c r="F789" i="3"/>
  <c r="G789" i="3"/>
  <c r="H789" i="3"/>
  <c r="F790" i="3"/>
  <c r="G790" i="3"/>
  <c r="H790" i="3"/>
  <c r="F791" i="3"/>
  <c r="G791" i="3"/>
  <c r="H791" i="3"/>
  <c r="F792" i="3"/>
  <c r="G792" i="3"/>
  <c r="H792" i="3"/>
  <c r="F793" i="3"/>
  <c r="G793" i="3"/>
  <c r="H793" i="3"/>
  <c r="F794" i="3"/>
  <c r="G794" i="3"/>
  <c r="H794" i="3"/>
  <c r="F795" i="3"/>
  <c r="G795" i="3"/>
  <c r="H795" i="3"/>
  <c r="F796" i="3"/>
  <c r="G796" i="3"/>
  <c r="H796" i="3"/>
  <c r="F797" i="3"/>
  <c r="G797" i="3"/>
  <c r="H797" i="3"/>
  <c r="F798" i="3"/>
  <c r="G798" i="3"/>
  <c r="H798" i="3"/>
  <c r="F799" i="3"/>
  <c r="G799" i="3"/>
  <c r="H799" i="3"/>
  <c r="F800" i="3"/>
  <c r="G800" i="3"/>
  <c r="H800" i="3"/>
  <c r="F801" i="3"/>
  <c r="G801" i="3"/>
  <c r="H801" i="3"/>
  <c r="F802" i="3"/>
  <c r="G802" i="3"/>
  <c r="H802" i="3"/>
  <c r="F803" i="3"/>
  <c r="G803" i="3"/>
  <c r="H803" i="3"/>
  <c r="F804" i="3"/>
  <c r="G804" i="3"/>
  <c r="H804" i="3"/>
  <c r="F805" i="3"/>
  <c r="G805" i="3"/>
  <c r="H805" i="3"/>
  <c r="F806" i="3"/>
  <c r="G806" i="3"/>
  <c r="H806" i="3"/>
  <c r="F807" i="3"/>
  <c r="G807" i="3"/>
  <c r="H807" i="3"/>
  <c r="F808" i="3"/>
  <c r="G808" i="3"/>
  <c r="H808" i="3"/>
  <c r="F809" i="3"/>
  <c r="G809" i="3"/>
  <c r="H809" i="3"/>
  <c r="F810" i="3"/>
  <c r="G810" i="3"/>
  <c r="H810" i="3"/>
  <c r="F811" i="3"/>
  <c r="G811" i="3"/>
  <c r="H811" i="3"/>
  <c r="F812" i="3"/>
  <c r="G812" i="3"/>
  <c r="H812" i="3"/>
  <c r="F813" i="3"/>
  <c r="G813" i="3"/>
  <c r="H813" i="3"/>
  <c r="F814" i="3"/>
  <c r="G814" i="3"/>
  <c r="H814" i="3"/>
  <c r="F815" i="3"/>
  <c r="G815" i="3"/>
  <c r="H815" i="3"/>
  <c r="F816" i="3"/>
  <c r="G816" i="3"/>
  <c r="H816" i="3"/>
  <c r="F817" i="3"/>
  <c r="G817" i="3"/>
  <c r="H817" i="3"/>
  <c r="F818" i="3"/>
  <c r="G818" i="3"/>
  <c r="H818" i="3"/>
  <c r="F819" i="3"/>
  <c r="G819" i="3"/>
  <c r="H819" i="3"/>
  <c r="F820" i="3"/>
  <c r="G820" i="3"/>
  <c r="H820" i="3"/>
  <c r="F821" i="3"/>
  <c r="G821" i="3"/>
  <c r="H821" i="3"/>
  <c r="F822" i="3"/>
  <c r="G822" i="3"/>
  <c r="H822" i="3"/>
  <c r="F823" i="3"/>
  <c r="G823" i="3"/>
  <c r="H823" i="3"/>
  <c r="F824" i="3"/>
  <c r="G824" i="3"/>
  <c r="H824" i="3"/>
  <c r="F825" i="3"/>
  <c r="G825" i="3"/>
  <c r="H825" i="3"/>
  <c r="F826" i="3"/>
  <c r="G826" i="3"/>
  <c r="H826" i="3"/>
  <c r="F827" i="3"/>
  <c r="G827" i="3"/>
  <c r="H827" i="3"/>
  <c r="F828" i="3"/>
  <c r="G828" i="3"/>
  <c r="H828" i="3"/>
  <c r="F829" i="3"/>
  <c r="G829" i="3"/>
  <c r="H829" i="3"/>
  <c r="F830" i="3"/>
  <c r="G830" i="3"/>
  <c r="H830" i="3"/>
  <c r="F831" i="3"/>
  <c r="G831" i="3"/>
  <c r="H831" i="3"/>
  <c r="F832" i="3"/>
  <c r="G832" i="3"/>
  <c r="H832" i="3"/>
  <c r="F833" i="3"/>
  <c r="G833" i="3"/>
  <c r="H833" i="3"/>
  <c r="F834" i="3"/>
  <c r="G834" i="3"/>
  <c r="H834" i="3"/>
  <c r="F835" i="3"/>
  <c r="G835" i="3"/>
  <c r="H835" i="3"/>
  <c r="F836" i="3"/>
  <c r="G836" i="3"/>
  <c r="H836" i="3"/>
  <c r="F837" i="3"/>
  <c r="G837" i="3"/>
  <c r="H837" i="3"/>
  <c r="F838" i="3"/>
  <c r="G838" i="3"/>
  <c r="H838" i="3"/>
  <c r="F839" i="3"/>
  <c r="G839" i="3"/>
  <c r="H839" i="3"/>
  <c r="F840" i="3"/>
  <c r="G840" i="3"/>
  <c r="H840" i="3"/>
  <c r="F841" i="3"/>
  <c r="G841" i="3"/>
  <c r="H841" i="3"/>
  <c r="F842" i="3"/>
  <c r="G842" i="3"/>
  <c r="H842" i="3"/>
  <c r="F843" i="3"/>
  <c r="G843" i="3"/>
  <c r="H843" i="3"/>
  <c r="F844" i="3"/>
  <c r="G844" i="3"/>
  <c r="H844" i="3"/>
  <c r="F845" i="3"/>
  <c r="G845" i="3"/>
  <c r="H845" i="3"/>
  <c r="F846" i="3"/>
  <c r="G846" i="3"/>
  <c r="H846" i="3"/>
  <c r="F847" i="3"/>
  <c r="G847" i="3"/>
  <c r="H847" i="3"/>
  <c r="F848" i="3"/>
  <c r="G848" i="3"/>
  <c r="H848" i="3"/>
  <c r="F849" i="3"/>
  <c r="G849" i="3"/>
  <c r="H849" i="3"/>
  <c r="F850" i="3"/>
  <c r="G850" i="3"/>
  <c r="H850" i="3"/>
  <c r="F851" i="3"/>
  <c r="G851" i="3"/>
  <c r="H851" i="3"/>
  <c r="F852" i="3"/>
  <c r="G852" i="3"/>
  <c r="H852" i="3"/>
  <c r="F853" i="3"/>
  <c r="G853" i="3"/>
  <c r="H853" i="3"/>
  <c r="F854" i="3"/>
  <c r="G854" i="3"/>
  <c r="H854" i="3"/>
  <c r="F855" i="3"/>
  <c r="G855" i="3"/>
  <c r="H855" i="3"/>
  <c r="F856" i="3"/>
  <c r="G856" i="3"/>
  <c r="H856" i="3"/>
  <c r="F857" i="3"/>
  <c r="G857" i="3"/>
  <c r="H857" i="3"/>
  <c r="F858" i="3"/>
  <c r="G858" i="3"/>
  <c r="H858" i="3"/>
  <c r="F859" i="3"/>
  <c r="G859" i="3"/>
  <c r="H859" i="3"/>
  <c r="F860" i="3"/>
  <c r="G860" i="3"/>
  <c r="H860" i="3"/>
  <c r="F861" i="3"/>
  <c r="G861" i="3"/>
  <c r="H861" i="3"/>
  <c r="F862" i="3"/>
  <c r="G862" i="3"/>
  <c r="H862" i="3"/>
  <c r="F863" i="3"/>
  <c r="G863" i="3"/>
  <c r="H863" i="3"/>
  <c r="F864" i="3"/>
  <c r="G864" i="3"/>
  <c r="H864" i="3"/>
  <c r="F865" i="3"/>
  <c r="G865" i="3"/>
  <c r="H865" i="3"/>
  <c r="F866" i="3"/>
  <c r="G866" i="3"/>
  <c r="H866" i="3"/>
  <c r="F867" i="3"/>
  <c r="G867" i="3"/>
  <c r="H867" i="3"/>
  <c r="F868" i="3"/>
  <c r="G868" i="3"/>
  <c r="H868" i="3"/>
  <c r="F869" i="3"/>
  <c r="G869" i="3"/>
  <c r="H869" i="3"/>
  <c r="F870" i="3"/>
  <c r="G870" i="3"/>
  <c r="H870" i="3"/>
  <c r="F871" i="3"/>
  <c r="G871" i="3"/>
  <c r="H871" i="3"/>
  <c r="F872" i="3"/>
  <c r="G872" i="3"/>
  <c r="H872" i="3"/>
  <c r="F873" i="3"/>
  <c r="G873" i="3"/>
  <c r="H873" i="3"/>
  <c r="F874" i="3"/>
  <c r="G874" i="3"/>
  <c r="H874" i="3"/>
  <c r="F875" i="3"/>
  <c r="G875" i="3"/>
  <c r="H875" i="3"/>
  <c r="F876" i="3"/>
  <c r="G876" i="3"/>
  <c r="H876" i="3"/>
  <c r="F877" i="3"/>
  <c r="G877" i="3"/>
  <c r="H877" i="3"/>
  <c r="F878" i="3"/>
  <c r="G878" i="3"/>
  <c r="H878" i="3"/>
  <c r="F879" i="3"/>
  <c r="G879" i="3"/>
  <c r="H879" i="3"/>
  <c r="F880" i="3"/>
  <c r="G880" i="3"/>
  <c r="H880" i="3"/>
  <c r="F881" i="3"/>
  <c r="G881" i="3"/>
  <c r="H881" i="3"/>
  <c r="F882" i="3"/>
  <c r="G882" i="3"/>
  <c r="H882" i="3"/>
  <c r="F883" i="3"/>
  <c r="G883" i="3"/>
  <c r="H883" i="3"/>
  <c r="F884" i="3"/>
  <c r="G884" i="3"/>
  <c r="H884" i="3"/>
  <c r="F885" i="3"/>
  <c r="G885" i="3"/>
  <c r="H885" i="3"/>
  <c r="F886" i="3"/>
  <c r="G886" i="3"/>
  <c r="H886" i="3"/>
  <c r="F887" i="3"/>
  <c r="G887" i="3"/>
  <c r="H887" i="3"/>
  <c r="F888" i="3"/>
  <c r="G888" i="3"/>
  <c r="H888" i="3"/>
  <c r="F889" i="3"/>
  <c r="G889" i="3"/>
  <c r="H889" i="3"/>
  <c r="F890" i="3"/>
  <c r="G890" i="3"/>
  <c r="H890" i="3"/>
  <c r="F891" i="3"/>
  <c r="G891" i="3"/>
  <c r="H891" i="3"/>
  <c r="F892" i="3"/>
  <c r="G892" i="3"/>
  <c r="H892" i="3"/>
  <c r="F893" i="3"/>
  <c r="G893" i="3"/>
  <c r="H893" i="3"/>
  <c r="F894" i="3"/>
  <c r="G894" i="3"/>
  <c r="H894" i="3"/>
  <c r="F895" i="3"/>
  <c r="G895" i="3"/>
  <c r="H895" i="3"/>
  <c r="F896" i="3"/>
  <c r="G896" i="3"/>
  <c r="H896" i="3"/>
  <c r="F897" i="3"/>
  <c r="G897" i="3"/>
  <c r="H897" i="3"/>
  <c r="F898" i="3"/>
  <c r="G898" i="3"/>
  <c r="H898" i="3"/>
  <c r="F899" i="3"/>
  <c r="G899" i="3"/>
  <c r="H899" i="3"/>
  <c r="F900" i="3"/>
  <c r="G900" i="3"/>
  <c r="H900" i="3"/>
  <c r="F901" i="3"/>
  <c r="G901" i="3"/>
  <c r="H901" i="3"/>
  <c r="F902" i="3"/>
  <c r="G902" i="3"/>
  <c r="H902" i="3"/>
  <c r="F903" i="3"/>
  <c r="G903" i="3"/>
  <c r="H903" i="3"/>
  <c r="F904" i="3"/>
  <c r="G904" i="3"/>
  <c r="H904" i="3"/>
  <c r="F905" i="3"/>
  <c r="G905" i="3"/>
  <c r="H905" i="3"/>
  <c r="F906" i="3"/>
  <c r="G906" i="3"/>
  <c r="H906" i="3"/>
  <c r="F907" i="3"/>
  <c r="G907" i="3"/>
  <c r="H907" i="3"/>
  <c r="F908" i="3"/>
  <c r="G908" i="3"/>
  <c r="H908" i="3"/>
  <c r="F909" i="3"/>
  <c r="G909" i="3"/>
  <c r="H909" i="3"/>
  <c r="F910" i="3"/>
  <c r="G910" i="3"/>
  <c r="H910" i="3"/>
  <c r="F911" i="3"/>
  <c r="G911" i="3"/>
  <c r="H911" i="3"/>
  <c r="F912" i="3"/>
  <c r="G912" i="3"/>
  <c r="H912" i="3"/>
  <c r="F913" i="3"/>
  <c r="G913" i="3"/>
  <c r="H913" i="3"/>
  <c r="F914" i="3"/>
  <c r="G914" i="3"/>
  <c r="H914" i="3"/>
  <c r="F915" i="3"/>
  <c r="G915" i="3"/>
  <c r="H915" i="3"/>
  <c r="F916" i="3"/>
  <c r="G916" i="3"/>
  <c r="H916" i="3"/>
  <c r="F917" i="3"/>
  <c r="G917" i="3"/>
  <c r="H917" i="3"/>
  <c r="F918" i="3"/>
  <c r="G918" i="3"/>
  <c r="H918" i="3"/>
  <c r="F919" i="3"/>
  <c r="G919" i="3"/>
  <c r="H919" i="3"/>
  <c r="F920" i="3"/>
  <c r="G920" i="3"/>
  <c r="H920" i="3"/>
  <c r="F921" i="3"/>
  <c r="G921" i="3"/>
  <c r="H921" i="3"/>
  <c r="F922" i="3"/>
  <c r="G922" i="3"/>
  <c r="H922" i="3"/>
  <c r="F923" i="3"/>
  <c r="G923" i="3"/>
  <c r="H923" i="3"/>
  <c r="F924" i="3"/>
  <c r="G924" i="3"/>
  <c r="H924" i="3"/>
  <c r="F925" i="3"/>
  <c r="G925" i="3"/>
  <c r="H925" i="3"/>
  <c r="F926" i="3"/>
  <c r="G926" i="3"/>
  <c r="H926" i="3"/>
  <c r="F927" i="3"/>
  <c r="G927" i="3"/>
  <c r="H927" i="3"/>
  <c r="F928" i="3"/>
  <c r="G928" i="3"/>
  <c r="H928" i="3"/>
  <c r="F929" i="3"/>
  <c r="G929" i="3"/>
  <c r="H929" i="3"/>
  <c r="F930" i="3"/>
  <c r="G930" i="3"/>
  <c r="H930" i="3"/>
  <c r="F931" i="3"/>
  <c r="G931" i="3"/>
  <c r="H931" i="3"/>
  <c r="F932" i="3"/>
  <c r="G932" i="3"/>
  <c r="H932" i="3"/>
  <c r="F933" i="3"/>
  <c r="G933" i="3"/>
  <c r="H933" i="3"/>
  <c r="F934" i="3"/>
  <c r="G934" i="3"/>
  <c r="H934" i="3"/>
  <c r="F935" i="3"/>
  <c r="G935" i="3"/>
  <c r="H935" i="3"/>
  <c r="F936" i="3"/>
  <c r="G936" i="3"/>
  <c r="H936" i="3"/>
  <c r="F937" i="3"/>
  <c r="G937" i="3"/>
  <c r="H937" i="3"/>
  <c r="F938" i="3"/>
  <c r="G938" i="3"/>
  <c r="H938" i="3"/>
  <c r="F939" i="3"/>
  <c r="G939" i="3"/>
  <c r="H939" i="3"/>
  <c r="F940" i="3"/>
  <c r="G940" i="3"/>
  <c r="H940" i="3"/>
  <c r="F941" i="3"/>
  <c r="G941" i="3"/>
  <c r="H941" i="3"/>
  <c r="F942" i="3"/>
  <c r="G942" i="3"/>
  <c r="H942" i="3"/>
  <c r="F943" i="3"/>
  <c r="G943" i="3"/>
  <c r="H943" i="3"/>
  <c r="F944" i="3"/>
  <c r="G944" i="3"/>
  <c r="H944" i="3"/>
  <c r="F945" i="3"/>
  <c r="G945" i="3"/>
  <c r="H945" i="3"/>
  <c r="F946" i="3"/>
  <c r="G946" i="3"/>
  <c r="H946" i="3"/>
  <c r="F947" i="3"/>
  <c r="G947" i="3"/>
  <c r="H947" i="3"/>
  <c r="F948" i="3"/>
  <c r="G948" i="3"/>
  <c r="H948" i="3"/>
  <c r="F949" i="3"/>
  <c r="G949" i="3"/>
  <c r="H949" i="3"/>
  <c r="F950" i="3"/>
  <c r="G950" i="3"/>
  <c r="H950" i="3"/>
  <c r="F951" i="3"/>
  <c r="G951" i="3"/>
  <c r="H951" i="3"/>
  <c r="F952" i="3"/>
  <c r="G952" i="3"/>
  <c r="H952" i="3"/>
  <c r="F953" i="3"/>
  <c r="G953" i="3"/>
  <c r="H953" i="3"/>
  <c r="F954" i="3"/>
  <c r="G954" i="3"/>
  <c r="H954" i="3"/>
  <c r="F955" i="3"/>
  <c r="G955" i="3"/>
  <c r="H955" i="3"/>
  <c r="F956" i="3"/>
  <c r="G956" i="3"/>
  <c r="H956" i="3"/>
  <c r="F957" i="3"/>
  <c r="G957" i="3"/>
  <c r="H957" i="3"/>
  <c r="F958" i="3"/>
  <c r="G958" i="3"/>
  <c r="H958" i="3"/>
  <c r="F959" i="3"/>
  <c r="G959" i="3"/>
  <c r="H959" i="3"/>
  <c r="F960" i="3"/>
  <c r="G960" i="3"/>
  <c r="H960" i="3"/>
  <c r="F961" i="3"/>
  <c r="G961" i="3"/>
  <c r="H961" i="3"/>
  <c r="F962" i="3"/>
  <c r="G962" i="3"/>
  <c r="H962" i="3"/>
  <c r="F963" i="3"/>
  <c r="G963" i="3"/>
  <c r="H963" i="3"/>
  <c r="F964" i="3"/>
  <c r="G964" i="3"/>
  <c r="H964" i="3"/>
  <c r="F965" i="3"/>
  <c r="G965" i="3"/>
  <c r="H965" i="3"/>
  <c r="F966" i="3"/>
  <c r="G966" i="3"/>
  <c r="H966" i="3"/>
  <c r="F967" i="3"/>
  <c r="G967" i="3"/>
  <c r="H967" i="3"/>
  <c r="F968" i="3"/>
  <c r="G968" i="3"/>
  <c r="H968" i="3"/>
  <c r="F969" i="3"/>
  <c r="G969" i="3"/>
  <c r="H969" i="3"/>
  <c r="F970" i="3"/>
  <c r="G970" i="3"/>
  <c r="H970" i="3"/>
  <c r="F971" i="3"/>
  <c r="G971" i="3"/>
  <c r="H971" i="3"/>
  <c r="F972" i="3"/>
  <c r="G972" i="3"/>
  <c r="H972" i="3"/>
  <c r="F973" i="3"/>
  <c r="G973" i="3"/>
  <c r="H973" i="3"/>
  <c r="F974" i="3"/>
  <c r="G974" i="3"/>
  <c r="H974" i="3"/>
  <c r="F975" i="3"/>
  <c r="G975" i="3"/>
  <c r="H975" i="3"/>
  <c r="F976" i="3"/>
  <c r="G976" i="3"/>
  <c r="H976" i="3"/>
  <c r="F977" i="3"/>
  <c r="G977" i="3"/>
  <c r="H977" i="3"/>
  <c r="F978" i="3"/>
  <c r="G978" i="3"/>
  <c r="H978" i="3"/>
  <c r="F979" i="3"/>
  <c r="G979" i="3"/>
  <c r="H979" i="3"/>
  <c r="F980" i="3"/>
  <c r="G980" i="3"/>
  <c r="H980" i="3"/>
  <c r="F981" i="3"/>
  <c r="G981" i="3"/>
  <c r="H981" i="3"/>
  <c r="F982" i="3"/>
  <c r="G982" i="3"/>
  <c r="H982" i="3"/>
  <c r="F983" i="3"/>
  <c r="G983" i="3"/>
  <c r="H983" i="3"/>
  <c r="F984" i="3"/>
  <c r="G984" i="3"/>
  <c r="H984" i="3"/>
  <c r="F985" i="3"/>
  <c r="G985" i="3"/>
  <c r="H985" i="3"/>
  <c r="F986" i="3"/>
  <c r="G986" i="3"/>
  <c r="H986" i="3"/>
  <c r="F987" i="3"/>
  <c r="G987" i="3"/>
  <c r="H987" i="3"/>
  <c r="F988" i="3"/>
  <c r="G988" i="3"/>
  <c r="H988" i="3"/>
  <c r="F989" i="3"/>
  <c r="G989" i="3"/>
  <c r="H989" i="3"/>
  <c r="F990" i="3"/>
  <c r="G990" i="3"/>
  <c r="H990" i="3"/>
  <c r="F991" i="3"/>
  <c r="G991" i="3"/>
  <c r="H991" i="3"/>
  <c r="F992" i="3"/>
  <c r="G992" i="3"/>
  <c r="H992" i="3"/>
  <c r="F993" i="3"/>
  <c r="G993" i="3"/>
  <c r="H993" i="3"/>
  <c r="F994" i="3"/>
  <c r="G994" i="3"/>
  <c r="H994" i="3"/>
  <c r="F995" i="3"/>
  <c r="G995" i="3"/>
  <c r="H995" i="3"/>
  <c r="F996" i="3"/>
  <c r="G996" i="3"/>
  <c r="H996" i="3"/>
  <c r="F997" i="3"/>
  <c r="G997" i="3"/>
  <c r="H997" i="3"/>
  <c r="F998" i="3"/>
  <c r="G998" i="3"/>
  <c r="H998" i="3"/>
  <c r="F999" i="3"/>
  <c r="G999" i="3"/>
  <c r="H999" i="3"/>
  <c r="F1000" i="3"/>
  <c r="G1000" i="3"/>
  <c r="H1000" i="3"/>
  <c r="E5" i="4"/>
  <c r="F5" i="4"/>
  <c r="E6" i="4"/>
  <c r="F6" i="4"/>
  <c r="E7" i="4"/>
  <c r="F7" i="4"/>
  <c r="E16" i="4"/>
  <c r="F16" i="4"/>
  <c r="E17" i="4"/>
  <c r="F17" i="4"/>
  <c r="E19" i="4"/>
  <c r="F19" i="4"/>
  <c r="E20" i="4"/>
  <c r="F20" i="4"/>
  <c r="E21" i="4"/>
  <c r="F21" i="4"/>
  <c r="E22" i="4"/>
  <c r="F22" i="4"/>
  <c r="E23" i="4"/>
  <c r="F23" i="4"/>
  <c r="E24" i="4"/>
  <c r="F24" i="4"/>
  <c r="E25" i="4"/>
  <c r="F25" i="4"/>
  <c r="E26" i="4"/>
  <c r="F26" i="4"/>
  <c r="E27" i="4"/>
  <c r="F27" i="4"/>
  <c r="E28" i="4"/>
  <c r="F28" i="4"/>
  <c r="E29" i="4"/>
  <c r="F29" i="4"/>
  <c r="E30" i="4"/>
  <c r="F30" i="4"/>
  <c r="E31" i="4"/>
  <c r="F31" i="4"/>
  <c r="E32" i="4"/>
  <c r="F32" i="4"/>
  <c r="E33" i="4"/>
  <c r="F33" i="4"/>
  <c r="E34" i="4"/>
  <c r="F34" i="4"/>
  <c r="E35" i="4"/>
  <c r="F35" i="4"/>
  <c r="E36" i="4"/>
  <c r="F36" i="4"/>
  <c r="E37" i="4"/>
  <c r="F37" i="4"/>
  <c r="E38" i="4"/>
  <c r="F38" i="4"/>
  <c r="E39" i="4"/>
  <c r="F39" i="4"/>
  <c r="E40" i="4"/>
  <c r="F40" i="4"/>
  <c r="E41" i="4"/>
  <c r="F41" i="4"/>
  <c r="E42" i="4"/>
  <c r="F42" i="4"/>
  <c r="E43" i="4"/>
  <c r="F43" i="4"/>
  <c r="E44" i="4"/>
  <c r="F44" i="4"/>
  <c r="E45" i="4"/>
  <c r="F45" i="4"/>
  <c r="E46" i="4"/>
  <c r="F46" i="4"/>
  <c r="E47" i="4"/>
  <c r="F47" i="4"/>
  <c r="E48" i="4"/>
  <c r="F48" i="4"/>
  <c r="E49" i="4"/>
  <c r="F49" i="4"/>
  <c r="E50" i="4"/>
  <c r="F50" i="4"/>
  <c r="E51" i="4"/>
  <c r="F51" i="4"/>
  <c r="E52" i="4"/>
  <c r="F52" i="4"/>
  <c r="E53" i="4"/>
  <c r="F53" i="4"/>
  <c r="E54" i="4"/>
  <c r="F54" i="4"/>
  <c r="E55" i="4"/>
  <c r="F55" i="4"/>
  <c r="E56" i="4"/>
  <c r="F56" i="4"/>
  <c r="E57" i="4"/>
  <c r="F57" i="4"/>
  <c r="E58" i="4"/>
  <c r="F58" i="4"/>
  <c r="E59" i="4"/>
  <c r="F59" i="4"/>
  <c r="E60" i="4"/>
  <c r="F60" i="4"/>
  <c r="E61" i="4"/>
  <c r="F61" i="4"/>
  <c r="E62" i="4"/>
  <c r="F62" i="4"/>
  <c r="E63" i="4"/>
  <c r="F63" i="4"/>
  <c r="E64" i="4"/>
  <c r="F64" i="4"/>
  <c r="E65" i="4"/>
  <c r="F65" i="4"/>
  <c r="E66" i="4"/>
  <c r="F66" i="4"/>
  <c r="E67" i="4"/>
  <c r="F67" i="4"/>
  <c r="E68" i="4"/>
  <c r="F68" i="4"/>
  <c r="E69" i="4"/>
  <c r="F69" i="4"/>
  <c r="E70" i="4"/>
  <c r="F70" i="4"/>
  <c r="E71" i="4"/>
  <c r="F71" i="4"/>
  <c r="E72" i="4"/>
  <c r="F72" i="4"/>
  <c r="E73" i="4"/>
  <c r="F73" i="4"/>
  <c r="E74" i="4"/>
  <c r="F74" i="4"/>
  <c r="E75" i="4"/>
  <c r="F75" i="4"/>
  <c r="E76" i="4"/>
  <c r="F76" i="4"/>
  <c r="E77" i="4"/>
  <c r="F77" i="4"/>
  <c r="E78" i="4"/>
  <c r="F78" i="4"/>
  <c r="E79" i="4"/>
  <c r="F79" i="4"/>
  <c r="E80" i="4"/>
  <c r="F80" i="4"/>
  <c r="E81" i="4"/>
  <c r="F81" i="4"/>
  <c r="E82" i="4"/>
  <c r="F82" i="4"/>
  <c r="E83" i="4"/>
  <c r="F83" i="4"/>
  <c r="E84" i="4"/>
  <c r="F84" i="4"/>
  <c r="E85" i="4"/>
  <c r="F85" i="4"/>
  <c r="E86" i="4"/>
  <c r="F86" i="4"/>
  <c r="E87" i="4"/>
  <c r="F87" i="4"/>
  <c r="E88" i="4"/>
  <c r="F88" i="4"/>
  <c r="E89" i="4"/>
  <c r="F89" i="4"/>
  <c r="E90" i="4"/>
  <c r="F90" i="4"/>
  <c r="E91" i="4"/>
  <c r="F91" i="4"/>
  <c r="E92" i="4"/>
  <c r="F92" i="4"/>
  <c r="E93" i="4"/>
  <c r="F93" i="4"/>
  <c r="E94" i="4"/>
  <c r="F94" i="4"/>
  <c r="E95" i="4"/>
  <c r="F95" i="4"/>
  <c r="E96" i="4"/>
  <c r="F96" i="4"/>
  <c r="E97" i="4"/>
  <c r="F97" i="4"/>
  <c r="E98" i="4"/>
  <c r="F98" i="4"/>
  <c r="E99" i="4"/>
  <c r="F99" i="4"/>
  <c r="E100" i="4"/>
  <c r="F100" i="4"/>
  <c r="E101" i="4"/>
  <c r="F101" i="4"/>
  <c r="E102" i="4"/>
  <c r="F102" i="4"/>
  <c r="E103" i="4"/>
  <c r="F103" i="4"/>
  <c r="E104" i="4"/>
  <c r="F104" i="4"/>
  <c r="E105" i="4"/>
  <c r="F105" i="4"/>
  <c r="E106" i="4"/>
  <c r="F106" i="4"/>
  <c r="E107" i="4"/>
  <c r="F107" i="4"/>
  <c r="E108" i="4"/>
  <c r="F108" i="4"/>
  <c r="E109" i="4"/>
  <c r="F109" i="4"/>
  <c r="E110" i="4"/>
  <c r="F110" i="4"/>
  <c r="E111" i="4"/>
  <c r="F111" i="4"/>
  <c r="E112" i="4"/>
  <c r="F112" i="4"/>
  <c r="E113" i="4"/>
  <c r="F113" i="4"/>
  <c r="E114" i="4"/>
  <c r="F114" i="4"/>
  <c r="E115" i="4"/>
  <c r="F115" i="4"/>
  <c r="E116" i="4"/>
  <c r="F116" i="4"/>
  <c r="E117" i="4"/>
  <c r="F117" i="4"/>
  <c r="E118" i="4"/>
  <c r="F118" i="4"/>
  <c r="E119" i="4"/>
  <c r="F119" i="4"/>
  <c r="E120" i="4"/>
  <c r="F120" i="4"/>
  <c r="E121" i="4"/>
  <c r="F121" i="4"/>
  <c r="E122" i="4"/>
  <c r="F122" i="4"/>
  <c r="E123" i="4"/>
  <c r="F123" i="4"/>
  <c r="E124" i="4"/>
  <c r="F124" i="4"/>
  <c r="E125" i="4"/>
  <c r="F125" i="4"/>
  <c r="E126" i="4"/>
  <c r="F126" i="4"/>
  <c r="E127" i="4"/>
  <c r="F127" i="4"/>
  <c r="E128" i="4"/>
  <c r="F128" i="4"/>
  <c r="E129" i="4"/>
  <c r="F129" i="4"/>
  <c r="E130" i="4"/>
  <c r="F130" i="4"/>
  <c r="E131" i="4"/>
  <c r="F131" i="4"/>
  <c r="E132" i="4"/>
  <c r="F132" i="4"/>
  <c r="E133" i="4"/>
  <c r="F133" i="4"/>
  <c r="E134" i="4"/>
  <c r="F134" i="4"/>
  <c r="E135" i="4"/>
  <c r="F135" i="4"/>
  <c r="E136" i="4"/>
  <c r="F136" i="4"/>
  <c r="E137" i="4"/>
  <c r="F137" i="4"/>
  <c r="E138" i="4"/>
  <c r="F138" i="4"/>
  <c r="E139" i="4"/>
  <c r="F139" i="4"/>
  <c r="E140" i="4"/>
  <c r="F140" i="4"/>
  <c r="E141" i="4"/>
  <c r="F141" i="4"/>
  <c r="E142" i="4"/>
  <c r="F142" i="4"/>
  <c r="E143" i="4"/>
  <c r="F143" i="4"/>
  <c r="E144" i="4"/>
  <c r="F144" i="4"/>
  <c r="E145" i="4"/>
  <c r="F145" i="4"/>
  <c r="E146" i="4"/>
  <c r="F146" i="4"/>
  <c r="E147" i="4"/>
  <c r="F147" i="4"/>
  <c r="E148" i="4"/>
  <c r="F148" i="4"/>
  <c r="E149" i="4"/>
  <c r="F149" i="4"/>
  <c r="E150" i="4"/>
  <c r="F150" i="4"/>
  <c r="E151" i="4"/>
  <c r="F151" i="4"/>
  <c r="E152" i="4"/>
  <c r="F152" i="4"/>
  <c r="E153" i="4"/>
  <c r="F153" i="4"/>
  <c r="E154" i="4"/>
  <c r="F154" i="4"/>
  <c r="E155" i="4"/>
  <c r="F155" i="4"/>
  <c r="E156" i="4"/>
  <c r="F156" i="4"/>
  <c r="E157" i="4"/>
  <c r="F157" i="4"/>
  <c r="E158" i="4"/>
  <c r="F158" i="4"/>
  <c r="E159" i="4"/>
  <c r="F159" i="4"/>
  <c r="E160" i="4"/>
  <c r="F160" i="4"/>
  <c r="E161" i="4"/>
  <c r="F161" i="4"/>
  <c r="E162" i="4"/>
  <c r="F162" i="4"/>
  <c r="E163" i="4"/>
  <c r="F163" i="4"/>
  <c r="E164" i="4"/>
  <c r="F164" i="4"/>
  <c r="E165" i="4"/>
  <c r="F165" i="4"/>
  <c r="E166" i="4"/>
  <c r="F166" i="4"/>
  <c r="E167" i="4"/>
  <c r="F167" i="4"/>
  <c r="E168" i="4"/>
  <c r="F168" i="4"/>
  <c r="E169" i="4"/>
  <c r="F169" i="4"/>
  <c r="E170" i="4"/>
  <c r="F170" i="4"/>
  <c r="E171" i="4"/>
  <c r="F171" i="4"/>
  <c r="E172" i="4"/>
  <c r="F172" i="4"/>
  <c r="E173" i="4"/>
  <c r="F173" i="4"/>
  <c r="E174" i="4"/>
  <c r="F174" i="4"/>
  <c r="E175" i="4"/>
  <c r="F175" i="4"/>
  <c r="E176" i="4"/>
  <c r="F176" i="4"/>
  <c r="E177" i="4"/>
  <c r="F177" i="4"/>
  <c r="E178" i="4"/>
  <c r="F178" i="4"/>
  <c r="E179" i="4"/>
  <c r="F179" i="4"/>
  <c r="E180" i="4"/>
  <c r="F180" i="4"/>
  <c r="E181" i="4"/>
  <c r="F181" i="4"/>
  <c r="E182" i="4"/>
  <c r="F182" i="4"/>
  <c r="E183" i="4"/>
  <c r="F183" i="4"/>
  <c r="E184" i="4"/>
  <c r="F184" i="4"/>
  <c r="E185" i="4"/>
  <c r="F185" i="4"/>
  <c r="E186" i="4"/>
  <c r="F186" i="4"/>
  <c r="E187" i="4"/>
  <c r="F187" i="4"/>
  <c r="E188" i="4"/>
  <c r="F188" i="4"/>
  <c r="E189" i="4"/>
  <c r="F189" i="4"/>
  <c r="E190" i="4"/>
  <c r="F190" i="4"/>
  <c r="E191" i="4"/>
  <c r="F191" i="4"/>
  <c r="E192" i="4"/>
  <c r="F192" i="4"/>
  <c r="E193" i="4"/>
  <c r="F193" i="4"/>
  <c r="E194" i="4"/>
  <c r="F194" i="4"/>
  <c r="E195" i="4"/>
  <c r="F195" i="4"/>
  <c r="E196" i="4"/>
  <c r="F196" i="4"/>
  <c r="E197" i="4"/>
  <c r="F197" i="4"/>
  <c r="E198" i="4"/>
  <c r="F198" i="4"/>
  <c r="E199" i="4"/>
  <c r="F199" i="4"/>
  <c r="E200" i="4"/>
  <c r="F200" i="4"/>
  <c r="E201" i="4"/>
  <c r="F201" i="4"/>
  <c r="E202" i="4"/>
  <c r="F202" i="4"/>
  <c r="E203" i="4"/>
  <c r="F203" i="4"/>
  <c r="E204" i="4"/>
  <c r="F204" i="4"/>
  <c r="E205" i="4"/>
  <c r="F205" i="4"/>
  <c r="E206" i="4"/>
  <c r="F206" i="4"/>
  <c r="E207" i="4"/>
  <c r="F207" i="4"/>
  <c r="E208" i="4"/>
  <c r="F208" i="4"/>
  <c r="E209" i="4"/>
  <c r="F209" i="4"/>
  <c r="E210" i="4"/>
  <c r="F210" i="4"/>
  <c r="E211" i="4"/>
  <c r="F211" i="4"/>
  <c r="E212" i="4"/>
  <c r="F212" i="4"/>
  <c r="E213" i="4"/>
  <c r="F213" i="4"/>
  <c r="E214" i="4"/>
  <c r="F214" i="4"/>
  <c r="E215" i="4"/>
  <c r="F215" i="4"/>
  <c r="E216" i="4"/>
  <c r="F216" i="4"/>
  <c r="E217" i="4"/>
  <c r="F217" i="4"/>
  <c r="E218" i="4"/>
  <c r="F218" i="4"/>
  <c r="E219" i="4"/>
  <c r="F219" i="4"/>
  <c r="E220" i="4"/>
  <c r="F220" i="4"/>
  <c r="E221" i="4"/>
  <c r="F221" i="4"/>
  <c r="E222" i="4"/>
  <c r="F222" i="4"/>
  <c r="E223" i="4"/>
  <c r="F223" i="4"/>
  <c r="E224" i="4"/>
  <c r="F224" i="4"/>
  <c r="E225" i="4"/>
  <c r="F225" i="4"/>
  <c r="E226" i="4"/>
  <c r="F226" i="4"/>
  <c r="E227" i="4"/>
  <c r="F227" i="4"/>
  <c r="E228" i="4"/>
  <c r="F228" i="4"/>
  <c r="E229" i="4"/>
  <c r="F229" i="4"/>
  <c r="E230" i="4"/>
  <c r="F230" i="4"/>
  <c r="E231" i="4"/>
  <c r="F231" i="4"/>
  <c r="E232" i="4"/>
  <c r="F232" i="4"/>
  <c r="E233" i="4"/>
  <c r="F233" i="4"/>
  <c r="E234" i="4"/>
  <c r="F234" i="4"/>
  <c r="E235" i="4"/>
  <c r="F235" i="4"/>
  <c r="E236" i="4"/>
  <c r="F236" i="4"/>
  <c r="E237" i="4"/>
  <c r="F237" i="4"/>
  <c r="E238" i="4"/>
  <c r="F238" i="4"/>
  <c r="E239" i="4"/>
  <c r="F239" i="4"/>
  <c r="E240" i="4"/>
  <c r="F240" i="4"/>
  <c r="E241" i="4"/>
  <c r="F241" i="4"/>
  <c r="E242" i="4"/>
  <c r="F242" i="4"/>
  <c r="E243" i="4"/>
  <c r="F243" i="4"/>
  <c r="E244" i="4"/>
  <c r="F244" i="4"/>
  <c r="E245" i="4"/>
  <c r="F245" i="4"/>
  <c r="E246" i="4"/>
  <c r="F246" i="4"/>
  <c r="E247" i="4"/>
  <c r="F247" i="4"/>
  <c r="E248" i="4"/>
  <c r="F248" i="4"/>
  <c r="E249" i="4"/>
  <c r="F249" i="4"/>
  <c r="E250" i="4"/>
  <c r="F250" i="4"/>
  <c r="E251" i="4"/>
  <c r="F251" i="4"/>
  <c r="E252" i="4"/>
  <c r="F252" i="4"/>
  <c r="E253" i="4"/>
  <c r="F253" i="4"/>
  <c r="E254" i="4"/>
  <c r="F254" i="4"/>
  <c r="E255" i="4"/>
  <c r="F255" i="4"/>
  <c r="E256" i="4"/>
  <c r="F256" i="4"/>
  <c r="E257" i="4"/>
  <c r="F257" i="4"/>
  <c r="E258" i="4"/>
  <c r="F258" i="4"/>
  <c r="E259" i="4"/>
  <c r="F259" i="4"/>
  <c r="E260" i="4"/>
  <c r="F260" i="4"/>
  <c r="E261" i="4"/>
  <c r="F261" i="4"/>
  <c r="E262" i="4"/>
  <c r="F262" i="4"/>
  <c r="E263" i="4"/>
  <c r="F263" i="4"/>
  <c r="E264" i="4"/>
  <c r="F264" i="4"/>
  <c r="E265" i="4"/>
  <c r="F265" i="4"/>
  <c r="E266" i="4"/>
  <c r="F266" i="4"/>
  <c r="E267" i="4"/>
  <c r="F267" i="4"/>
  <c r="E268" i="4"/>
  <c r="F268" i="4"/>
  <c r="E269" i="4"/>
  <c r="F269" i="4"/>
  <c r="E270" i="4"/>
  <c r="F270" i="4"/>
  <c r="E271" i="4"/>
  <c r="F271" i="4"/>
  <c r="E272" i="4"/>
  <c r="F272" i="4"/>
  <c r="E273" i="4"/>
  <c r="F273" i="4"/>
  <c r="E274" i="4"/>
  <c r="F274" i="4"/>
  <c r="E275" i="4"/>
  <c r="F275" i="4"/>
  <c r="E276" i="4"/>
  <c r="F276" i="4"/>
  <c r="E277" i="4"/>
  <c r="F277" i="4"/>
  <c r="E278" i="4"/>
  <c r="F278" i="4"/>
  <c r="E279" i="4"/>
  <c r="F279" i="4"/>
  <c r="E280" i="4"/>
  <c r="F280" i="4"/>
  <c r="E281" i="4"/>
  <c r="F281" i="4"/>
  <c r="E282" i="4"/>
  <c r="F282" i="4"/>
  <c r="E283" i="4"/>
  <c r="F283" i="4"/>
  <c r="E284" i="4"/>
  <c r="F284" i="4"/>
  <c r="E285" i="4"/>
  <c r="F285" i="4"/>
  <c r="E286" i="4"/>
  <c r="F286" i="4"/>
  <c r="E287" i="4"/>
  <c r="F287" i="4"/>
  <c r="E288" i="4"/>
  <c r="F288" i="4"/>
  <c r="E289" i="4"/>
  <c r="F289" i="4"/>
  <c r="E290" i="4"/>
  <c r="F290" i="4"/>
  <c r="E291" i="4"/>
  <c r="F291" i="4"/>
  <c r="E292" i="4"/>
  <c r="F292" i="4"/>
  <c r="E293" i="4"/>
  <c r="F293" i="4"/>
  <c r="E294" i="4"/>
  <c r="F294" i="4"/>
  <c r="E295" i="4"/>
  <c r="F295" i="4"/>
  <c r="E296" i="4"/>
  <c r="F296" i="4"/>
  <c r="E297" i="4"/>
  <c r="F297" i="4"/>
  <c r="E298" i="4"/>
  <c r="F298" i="4"/>
  <c r="E299" i="4"/>
  <c r="F299" i="4"/>
  <c r="E300" i="4"/>
  <c r="F300" i="4"/>
  <c r="E301" i="4"/>
  <c r="F301" i="4"/>
  <c r="E302" i="4"/>
  <c r="F302" i="4"/>
  <c r="E303" i="4"/>
  <c r="F303" i="4"/>
  <c r="E304" i="4"/>
  <c r="F304" i="4"/>
  <c r="E305" i="4"/>
  <c r="F305" i="4"/>
  <c r="E306" i="4"/>
  <c r="F306" i="4"/>
  <c r="E307" i="4"/>
  <c r="F307" i="4"/>
  <c r="E308" i="4"/>
  <c r="F308" i="4"/>
  <c r="E309" i="4"/>
  <c r="F309" i="4"/>
  <c r="E310" i="4"/>
  <c r="F310" i="4"/>
  <c r="E311" i="4"/>
  <c r="F311" i="4"/>
  <c r="E312" i="4"/>
  <c r="F312" i="4"/>
  <c r="E313" i="4"/>
  <c r="F313" i="4"/>
  <c r="E314" i="4"/>
  <c r="F314" i="4"/>
  <c r="E315" i="4"/>
  <c r="F315" i="4"/>
  <c r="E316" i="4"/>
  <c r="F316" i="4"/>
  <c r="E317" i="4"/>
  <c r="F317" i="4"/>
  <c r="E318" i="4"/>
  <c r="F318" i="4"/>
  <c r="E319" i="4"/>
  <c r="F319" i="4"/>
  <c r="E320" i="4"/>
  <c r="F320" i="4"/>
  <c r="E321" i="4"/>
  <c r="F321" i="4"/>
  <c r="E322" i="4"/>
  <c r="F322" i="4"/>
  <c r="E323" i="4"/>
  <c r="F323" i="4"/>
  <c r="E324" i="4"/>
  <c r="F324" i="4"/>
  <c r="E325" i="4"/>
  <c r="F325" i="4"/>
  <c r="E326" i="4"/>
  <c r="F326" i="4"/>
  <c r="E327" i="4"/>
  <c r="F327" i="4"/>
  <c r="E328" i="4"/>
  <c r="F328" i="4"/>
  <c r="E329" i="4"/>
  <c r="F329" i="4"/>
  <c r="E330" i="4"/>
  <c r="F330" i="4"/>
  <c r="E331" i="4"/>
  <c r="F331" i="4"/>
  <c r="E332" i="4"/>
  <c r="F332" i="4"/>
  <c r="E333" i="4"/>
  <c r="F333" i="4"/>
  <c r="E334" i="4"/>
  <c r="F334" i="4"/>
  <c r="E335" i="4"/>
  <c r="F335" i="4"/>
  <c r="E336" i="4"/>
  <c r="F336" i="4"/>
  <c r="E337" i="4"/>
  <c r="F337" i="4"/>
  <c r="E338" i="4"/>
  <c r="F338" i="4"/>
  <c r="E339" i="4"/>
  <c r="F339" i="4"/>
  <c r="E340" i="4"/>
  <c r="F340" i="4"/>
  <c r="E341" i="4"/>
  <c r="F341" i="4"/>
  <c r="E342" i="4"/>
  <c r="F342" i="4"/>
  <c r="E343" i="4"/>
  <c r="F343" i="4"/>
  <c r="E344" i="4"/>
  <c r="F344" i="4"/>
  <c r="E345" i="4"/>
  <c r="F345" i="4"/>
  <c r="E346" i="4"/>
  <c r="F346" i="4"/>
  <c r="E347" i="4"/>
  <c r="F347" i="4"/>
  <c r="E348" i="4"/>
  <c r="F348" i="4"/>
  <c r="E349" i="4"/>
  <c r="F349" i="4"/>
  <c r="E350" i="4"/>
  <c r="F350" i="4"/>
  <c r="E351" i="4"/>
  <c r="F351" i="4"/>
  <c r="E352" i="4"/>
  <c r="F352" i="4"/>
  <c r="E353" i="4"/>
  <c r="F353" i="4"/>
  <c r="E354" i="4"/>
  <c r="F354" i="4"/>
  <c r="E355" i="4"/>
  <c r="F355" i="4"/>
  <c r="E356" i="4"/>
  <c r="F356" i="4"/>
  <c r="E357" i="4"/>
  <c r="F357" i="4"/>
  <c r="E358" i="4"/>
  <c r="F358" i="4"/>
  <c r="E359" i="4"/>
  <c r="F359" i="4"/>
  <c r="E360" i="4"/>
  <c r="F360" i="4"/>
  <c r="E361" i="4"/>
  <c r="F361" i="4"/>
  <c r="E362" i="4"/>
  <c r="F362" i="4"/>
  <c r="E363" i="4"/>
  <c r="F363" i="4"/>
  <c r="E364" i="4"/>
  <c r="F364" i="4"/>
  <c r="E365" i="4"/>
  <c r="F365" i="4"/>
  <c r="E366" i="4"/>
  <c r="F366" i="4"/>
  <c r="E367" i="4"/>
  <c r="F367" i="4"/>
  <c r="E368" i="4"/>
  <c r="F368" i="4"/>
  <c r="E369" i="4"/>
  <c r="F369" i="4"/>
  <c r="E370" i="4"/>
  <c r="F370" i="4"/>
  <c r="E371" i="4"/>
  <c r="F371" i="4"/>
  <c r="E372" i="4"/>
  <c r="F372" i="4"/>
  <c r="E373" i="4"/>
  <c r="F373" i="4"/>
  <c r="E374" i="4"/>
  <c r="F374" i="4"/>
  <c r="E375" i="4"/>
  <c r="F375" i="4"/>
  <c r="E376" i="4"/>
  <c r="F376" i="4"/>
  <c r="E377" i="4"/>
  <c r="F377" i="4"/>
  <c r="E378" i="4"/>
  <c r="F378" i="4"/>
  <c r="E379" i="4"/>
  <c r="F379" i="4"/>
  <c r="E380" i="4"/>
  <c r="F380" i="4"/>
  <c r="E381" i="4"/>
  <c r="F381" i="4"/>
  <c r="E382" i="4"/>
  <c r="F382" i="4"/>
  <c r="E383" i="4"/>
  <c r="F383" i="4"/>
  <c r="E384" i="4"/>
  <c r="F384" i="4"/>
  <c r="E385" i="4"/>
  <c r="F385" i="4"/>
  <c r="E386" i="4"/>
  <c r="F386" i="4"/>
  <c r="E387" i="4"/>
  <c r="F387" i="4"/>
  <c r="E388" i="4"/>
  <c r="F388" i="4"/>
  <c r="E389" i="4"/>
  <c r="F389" i="4"/>
  <c r="E390" i="4"/>
  <c r="F390" i="4"/>
  <c r="E391" i="4"/>
  <c r="F391" i="4"/>
  <c r="E392" i="4"/>
  <c r="F392" i="4"/>
  <c r="E393" i="4"/>
  <c r="F393" i="4"/>
  <c r="E394" i="4"/>
  <c r="F394" i="4"/>
  <c r="E395" i="4"/>
  <c r="F395" i="4"/>
  <c r="E396" i="4"/>
  <c r="F396" i="4"/>
  <c r="E397" i="4"/>
  <c r="F397" i="4"/>
  <c r="E398" i="4"/>
  <c r="F398" i="4"/>
  <c r="E399" i="4"/>
  <c r="F399" i="4"/>
  <c r="E400" i="4"/>
  <c r="F400" i="4"/>
  <c r="E401" i="4"/>
  <c r="F401" i="4"/>
  <c r="E402" i="4"/>
  <c r="F402" i="4"/>
  <c r="E403" i="4"/>
  <c r="F403" i="4"/>
  <c r="E404" i="4"/>
  <c r="F404" i="4"/>
  <c r="E405" i="4"/>
  <c r="F405" i="4"/>
  <c r="E406" i="4"/>
  <c r="F406" i="4"/>
  <c r="E407" i="4"/>
  <c r="F407" i="4"/>
  <c r="E408" i="4"/>
  <c r="F408" i="4"/>
  <c r="E409" i="4"/>
  <c r="F409" i="4"/>
  <c r="E410" i="4"/>
  <c r="F410" i="4"/>
  <c r="E411" i="4"/>
  <c r="F411" i="4"/>
  <c r="E412" i="4"/>
  <c r="F412" i="4"/>
  <c r="E413" i="4"/>
  <c r="F413" i="4"/>
  <c r="E414" i="4"/>
  <c r="F414" i="4"/>
  <c r="E415" i="4"/>
  <c r="F415" i="4"/>
  <c r="E416" i="4"/>
  <c r="F416" i="4"/>
  <c r="E417" i="4"/>
  <c r="F417" i="4"/>
  <c r="E418" i="4"/>
  <c r="F418" i="4"/>
  <c r="E419" i="4"/>
  <c r="F419" i="4"/>
  <c r="E420" i="4"/>
  <c r="F420" i="4"/>
  <c r="E421" i="4"/>
  <c r="F421" i="4"/>
  <c r="E422" i="4"/>
  <c r="F422" i="4"/>
  <c r="E423" i="4"/>
  <c r="F423" i="4"/>
  <c r="E424" i="4"/>
  <c r="F424" i="4"/>
  <c r="E425" i="4"/>
  <c r="F425" i="4"/>
  <c r="E426" i="4"/>
  <c r="F426" i="4"/>
  <c r="E427" i="4"/>
  <c r="F427" i="4"/>
  <c r="E428" i="4"/>
  <c r="F428" i="4"/>
  <c r="E429" i="4"/>
  <c r="F429" i="4"/>
  <c r="E430" i="4"/>
  <c r="F430" i="4"/>
  <c r="E431" i="4"/>
  <c r="F431" i="4"/>
  <c r="E432" i="4"/>
  <c r="F432" i="4"/>
  <c r="E433" i="4"/>
  <c r="F433" i="4"/>
  <c r="E434" i="4"/>
  <c r="F434" i="4"/>
  <c r="E435" i="4"/>
  <c r="F435" i="4"/>
  <c r="E436" i="4"/>
  <c r="F436" i="4"/>
  <c r="E437" i="4"/>
  <c r="F437" i="4"/>
  <c r="E438" i="4"/>
  <c r="F438" i="4"/>
  <c r="E439" i="4"/>
  <c r="F439" i="4"/>
  <c r="E440" i="4"/>
  <c r="F440" i="4"/>
  <c r="E441" i="4"/>
  <c r="F441" i="4"/>
  <c r="E442" i="4"/>
  <c r="F442" i="4"/>
  <c r="E443" i="4"/>
  <c r="F443" i="4"/>
  <c r="E444" i="4"/>
  <c r="F444" i="4"/>
  <c r="E445" i="4"/>
  <c r="F445" i="4"/>
  <c r="E446" i="4"/>
  <c r="F446" i="4"/>
  <c r="E447" i="4"/>
  <c r="F447" i="4"/>
  <c r="E448" i="4"/>
  <c r="F448" i="4"/>
  <c r="E449" i="4"/>
  <c r="F449" i="4"/>
  <c r="E450" i="4"/>
  <c r="F450" i="4"/>
  <c r="E451" i="4"/>
  <c r="F451" i="4"/>
  <c r="E452" i="4"/>
  <c r="F452" i="4"/>
  <c r="E453" i="4"/>
  <c r="F453" i="4"/>
  <c r="E454" i="4"/>
  <c r="F454" i="4"/>
  <c r="E455" i="4"/>
  <c r="F455" i="4"/>
  <c r="E456" i="4"/>
  <c r="F456" i="4"/>
  <c r="E457" i="4"/>
  <c r="F457" i="4"/>
  <c r="E458" i="4"/>
  <c r="F458" i="4"/>
  <c r="E459" i="4"/>
  <c r="F459" i="4"/>
  <c r="E460" i="4"/>
  <c r="F460" i="4"/>
  <c r="E461" i="4"/>
  <c r="F461" i="4"/>
  <c r="E462" i="4"/>
  <c r="F462" i="4"/>
  <c r="E463" i="4"/>
  <c r="F463" i="4"/>
  <c r="E464" i="4"/>
  <c r="F464" i="4"/>
  <c r="E465" i="4"/>
  <c r="F465" i="4"/>
  <c r="E466" i="4"/>
  <c r="F466" i="4"/>
  <c r="E467" i="4"/>
  <c r="F467" i="4"/>
  <c r="E468" i="4"/>
  <c r="F468" i="4"/>
  <c r="E469" i="4"/>
  <c r="F469" i="4"/>
  <c r="E470" i="4"/>
  <c r="F470" i="4"/>
  <c r="E471" i="4"/>
  <c r="F471" i="4"/>
  <c r="E472" i="4"/>
  <c r="F472" i="4"/>
  <c r="E473" i="4"/>
  <c r="F473" i="4"/>
  <c r="E474" i="4"/>
  <c r="F474" i="4"/>
  <c r="E475" i="4"/>
  <c r="F475" i="4"/>
  <c r="E476" i="4"/>
  <c r="F476" i="4"/>
  <c r="E477" i="4"/>
  <c r="F477" i="4"/>
  <c r="E478" i="4"/>
  <c r="F478" i="4"/>
  <c r="E479" i="4"/>
  <c r="F479" i="4"/>
  <c r="E480" i="4"/>
  <c r="F480" i="4"/>
  <c r="E481" i="4"/>
  <c r="F481" i="4"/>
  <c r="E482" i="4"/>
  <c r="F482" i="4"/>
  <c r="E483" i="4"/>
  <c r="F483" i="4"/>
  <c r="E484" i="4"/>
  <c r="F484" i="4"/>
  <c r="E485" i="4"/>
  <c r="F485" i="4"/>
  <c r="E486" i="4"/>
  <c r="F486" i="4"/>
  <c r="E487" i="4"/>
  <c r="F487" i="4"/>
  <c r="E488" i="4"/>
  <c r="F488" i="4"/>
  <c r="E489" i="4"/>
  <c r="F489" i="4"/>
  <c r="E490" i="4"/>
  <c r="F490" i="4"/>
  <c r="E491" i="4"/>
  <c r="F491" i="4"/>
  <c r="E492" i="4"/>
  <c r="F492" i="4"/>
  <c r="E493" i="4"/>
  <c r="F493" i="4"/>
  <c r="E494" i="4"/>
  <c r="F494" i="4"/>
  <c r="E495" i="4"/>
  <c r="F495" i="4"/>
  <c r="E496" i="4"/>
  <c r="F496" i="4"/>
  <c r="E497" i="4"/>
  <c r="F497" i="4"/>
  <c r="E498" i="4"/>
  <c r="F498" i="4"/>
  <c r="E499" i="4"/>
  <c r="F499" i="4"/>
  <c r="E500" i="4"/>
  <c r="F500" i="4"/>
  <c r="G792" i="5"/>
  <c r="G793" i="5"/>
  <c r="E794" i="5"/>
  <c r="E793" i="5"/>
  <c r="F793" i="5"/>
  <c r="G796" i="5"/>
  <c r="E791" i="5"/>
  <c r="F794" i="5"/>
  <c r="E795" i="5"/>
  <c r="F795" i="5"/>
  <c r="G795" i="5"/>
  <c r="E796" i="5"/>
  <c r="F796" i="5"/>
  <c r="F791" i="5"/>
  <c r="G794" i="5"/>
  <c r="G791" i="5"/>
  <c r="E792" i="5"/>
  <c r="F792" i="5"/>
  <c r="F789" i="5"/>
  <c r="G789" i="5"/>
  <c r="F790" i="5"/>
  <c r="E790" i="5"/>
  <c r="G790" i="5"/>
  <c r="E789" i="5"/>
  <c r="E248" i="5"/>
  <c r="F335" i="5"/>
  <c r="G421" i="5"/>
  <c r="G423" i="5"/>
  <c r="F187" i="5"/>
  <c r="E254" i="5"/>
  <c r="E340" i="5"/>
  <c r="F596" i="5"/>
  <c r="E136" i="5"/>
  <c r="G173" i="5"/>
  <c r="E249" i="5"/>
  <c r="E257" i="5"/>
  <c r="E212" i="5"/>
  <c r="F299" i="5"/>
  <c r="G385" i="5"/>
  <c r="G387" i="5"/>
  <c r="F151" i="5"/>
  <c r="G201" i="5"/>
  <c r="G493" i="5"/>
  <c r="G182" i="5"/>
  <c r="E267" i="5"/>
  <c r="F354" i="5"/>
  <c r="F358" i="5"/>
  <c r="G336" i="5"/>
  <c r="E386" i="5"/>
  <c r="E390" i="5"/>
  <c r="F509" i="5"/>
  <c r="G323" i="5"/>
  <c r="F650" i="5"/>
  <c r="F652" i="5"/>
  <c r="G414" i="5"/>
  <c r="E485" i="5"/>
  <c r="F694" i="5"/>
  <c r="F696" i="5"/>
  <c r="G590" i="5"/>
  <c r="G515" i="5"/>
  <c r="F706" i="5"/>
  <c r="F708" i="5"/>
  <c r="E626" i="5"/>
  <c r="E533" i="5"/>
  <c r="F718" i="5"/>
  <c r="F720" i="5"/>
  <c r="E176" i="5"/>
  <c r="F648" i="5"/>
  <c r="F653" i="5"/>
  <c r="F69" i="5"/>
  <c r="F124" i="5"/>
  <c r="E735" i="5"/>
  <c r="E720" i="5"/>
  <c r="G36" i="5"/>
  <c r="G326" i="5"/>
  <c r="E767" i="5"/>
  <c r="E744" i="5"/>
  <c r="E38" i="5"/>
  <c r="E191" i="5"/>
  <c r="F744" i="5"/>
  <c r="F725" i="5"/>
  <c r="G28" i="5"/>
  <c r="G284" i="5"/>
  <c r="G721" i="5"/>
  <c r="G706" i="5"/>
  <c r="F19" i="5"/>
  <c r="E613" i="5"/>
  <c r="E42" i="5"/>
  <c r="E752" i="5"/>
  <c r="E592" i="5"/>
  <c r="G426" i="5"/>
  <c r="G378" i="5"/>
  <c r="F421" i="5"/>
  <c r="E490" i="5"/>
  <c r="G52" i="5"/>
  <c r="E762" i="5"/>
  <c r="F497" i="5"/>
  <c r="G554" i="5"/>
  <c r="G145" i="5"/>
  <c r="E717" i="5"/>
  <c r="F647" i="5"/>
  <c r="E729" i="5"/>
  <c r="E731" i="5"/>
  <c r="F199" i="5"/>
  <c r="G674" i="5"/>
  <c r="G102" i="5"/>
  <c r="F317" i="5"/>
  <c r="G765" i="5"/>
  <c r="F47" i="5"/>
  <c r="F360" i="5"/>
  <c r="G297" i="5"/>
  <c r="F765" i="5"/>
  <c r="G48" i="5"/>
  <c r="E328" i="5"/>
  <c r="G746" i="5"/>
  <c r="F39" i="5"/>
  <c r="G209" i="5"/>
  <c r="G745" i="5"/>
  <c r="E728" i="5"/>
  <c r="E30" i="5"/>
  <c r="E442" i="5"/>
  <c r="E66" i="5"/>
  <c r="F683" i="5"/>
  <c r="G167" i="5"/>
  <c r="G474" i="5"/>
  <c r="E736" i="5"/>
  <c r="G635" i="5"/>
  <c r="G76" i="5"/>
  <c r="F693" i="5"/>
  <c r="G616" i="5"/>
  <c r="F417" i="5"/>
  <c r="F111" i="5"/>
  <c r="G453" i="5"/>
  <c r="G455" i="5"/>
  <c r="F113" i="5"/>
  <c r="F128" i="5"/>
  <c r="F158" i="5"/>
  <c r="F166" i="5"/>
  <c r="E168" i="5"/>
  <c r="G237" i="5"/>
  <c r="E325" i="5"/>
  <c r="E329" i="5"/>
  <c r="E244" i="5"/>
  <c r="F331" i="5"/>
  <c r="G417" i="5"/>
  <c r="G258" i="5"/>
  <c r="E346" i="5"/>
  <c r="F432" i="5"/>
  <c r="F434" i="5"/>
  <c r="E198" i="5"/>
  <c r="G264" i="5"/>
  <c r="G350" i="5"/>
  <c r="E607" i="5"/>
  <c r="G146" i="5"/>
  <c r="E195" i="5"/>
  <c r="F282" i="5"/>
  <c r="F286" i="5"/>
  <c r="G222" i="5"/>
  <c r="E310" i="5"/>
  <c r="F396" i="5"/>
  <c r="F398" i="5"/>
  <c r="E162" i="5"/>
  <c r="E223" i="5"/>
  <c r="F504" i="5"/>
  <c r="F193" i="5"/>
  <c r="G280" i="5"/>
  <c r="E367" i="5"/>
  <c r="E369" i="5"/>
  <c r="F407" i="5"/>
  <c r="F411" i="5"/>
  <c r="E552" i="5"/>
  <c r="G383" i="5"/>
  <c r="E661" i="5"/>
  <c r="E663" i="5"/>
  <c r="F457" i="5"/>
  <c r="G511" i="5"/>
  <c r="E705" i="5"/>
  <c r="E707" i="5"/>
  <c r="F623" i="5"/>
  <c r="G531" i="5"/>
  <c r="E719" i="5"/>
  <c r="E549" i="5"/>
  <c r="E679" i="5"/>
  <c r="F741" i="5"/>
  <c r="E775" i="5"/>
  <c r="G650" i="5"/>
  <c r="F269" i="5"/>
  <c r="G356" i="5"/>
  <c r="E443" i="5"/>
  <c r="E445" i="5"/>
  <c r="E112" i="5"/>
  <c r="E107" i="5"/>
  <c r="G115" i="5"/>
  <c r="G123" i="5"/>
  <c r="F157" i="5"/>
  <c r="F216" i="5"/>
  <c r="G303" i="5"/>
  <c r="G307" i="5"/>
  <c r="F233" i="5"/>
  <c r="G320" i="5"/>
  <c r="E407" i="5"/>
  <c r="E409" i="5"/>
  <c r="G172" i="5"/>
  <c r="F244" i="5"/>
  <c r="E515" i="5"/>
  <c r="E204" i="5"/>
  <c r="F291" i="5"/>
  <c r="G377" i="5"/>
  <c r="G379" i="5"/>
  <c r="E231" i="5"/>
  <c r="G428" i="5"/>
  <c r="G432" i="5"/>
  <c r="G594" i="5"/>
  <c r="E425" i="5"/>
  <c r="G671" i="5"/>
  <c r="G673" i="5"/>
  <c r="E500" i="5"/>
  <c r="F530" i="5"/>
  <c r="G715" i="5"/>
  <c r="G717" i="5"/>
  <c r="G644" i="5"/>
  <c r="G547" i="5"/>
  <c r="G727" i="5"/>
  <c r="G729" i="5"/>
  <c r="G668" i="5"/>
  <c r="G563" i="5"/>
  <c r="G739" i="5"/>
  <c r="G741" i="5"/>
  <c r="F208" i="5"/>
  <c r="E703" i="5"/>
  <c r="E696" i="5"/>
  <c r="G24" i="5"/>
  <c r="F298" i="5"/>
  <c r="E287" i="5"/>
  <c r="G762" i="5"/>
  <c r="E58" i="5"/>
  <c r="F456" i="5"/>
  <c r="G450" i="5"/>
  <c r="E785" i="5"/>
  <c r="F59" i="5"/>
  <c r="G369" i="5"/>
  <c r="F308" i="5"/>
  <c r="E768" i="5"/>
  <c r="E50" i="5"/>
  <c r="F110" i="5"/>
  <c r="F776" i="5"/>
  <c r="F749" i="5"/>
  <c r="G40" i="5"/>
  <c r="G596" i="5"/>
  <c r="G96" i="5"/>
  <c r="G32" i="5"/>
  <c r="E712" i="5"/>
  <c r="G93" i="5"/>
  <c r="F597" i="5"/>
  <c r="G680" i="5"/>
  <c r="G699" i="5"/>
  <c r="F25" i="5"/>
  <c r="E638" i="5"/>
  <c r="G664" i="5"/>
  <c r="F747" i="5"/>
  <c r="G164" i="5"/>
  <c r="F228" i="5"/>
  <c r="E507" i="5"/>
  <c r="E509" i="5"/>
  <c r="G166" i="5"/>
  <c r="E235" i="5"/>
  <c r="F322" i="5"/>
  <c r="F326" i="5"/>
  <c r="F221" i="5"/>
  <c r="G308" i="5"/>
  <c r="E395" i="5"/>
  <c r="E397" i="5"/>
  <c r="G128" i="5"/>
  <c r="F156" i="5"/>
  <c r="E471" i="5"/>
  <c r="E473" i="5"/>
  <c r="G236" i="5"/>
  <c r="G322" i="5"/>
  <c r="E579" i="5"/>
  <c r="E268" i="5"/>
  <c r="F355" i="5"/>
  <c r="G441" i="5"/>
  <c r="G443" i="5"/>
  <c r="E423" i="5"/>
  <c r="G556" i="5"/>
  <c r="G560" i="5"/>
  <c r="E732" i="5"/>
  <c r="F558" i="5"/>
  <c r="G735" i="5"/>
  <c r="G737" i="5"/>
  <c r="E146" i="5"/>
  <c r="E609" i="5"/>
  <c r="G779" i="5"/>
  <c r="G781" i="5"/>
  <c r="G220" i="5"/>
  <c r="G159" i="5"/>
  <c r="G175" i="5"/>
  <c r="F258" i="5"/>
  <c r="G272" i="5"/>
  <c r="G255" i="5"/>
  <c r="G271" i="5"/>
  <c r="E360" i="5"/>
  <c r="G299" i="5"/>
  <c r="G622" i="5"/>
  <c r="F316" i="5"/>
  <c r="G88" i="5"/>
  <c r="F554" i="5"/>
  <c r="F114" i="5"/>
  <c r="G470" i="5"/>
  <c r="E68" i="5"/>
  <c r="G591" i="5"/>
  <c r="G366" i="5"/>
  <c r="G518" i="5"/>
  <c r="E72" i="5"/>
  <c r="F566" i="5"/>
  <c r="F242" i="5"/>
  <c r="F481" i="5"/>
  <c r="E44" i="5"/>
  <c r="E537" i="5"/>
  <c r="F769" i="5"/>
  <c r="E444" i="5"/>
  <c r="F17" i="5"/>
  <c r="E723" i="5"/>
  <c r="F6" i="5"/>
  <c r="F40" i="5"/>
  <c r="G704" i="5"/>
  <c r="E432" i="5"/>
  <c r="G582" i="5"/>
  <c r="F491" i="5"/>
  <c r="E408" i="5"/>
  <c r="E11" i="5"/>
  <c r="E541" i="5"/>
  <c r="F57" i="5"/>
  <c r="G228" i="5"/>
  <c r="G314" i="5"/>
  <c r="E571" i="5"/>
  <c r="E164" i="5"/>
  <c r="G230" i="5"/>
  <c r="E318" i="5"/>
  <c r="F404" i="5"/>
  <c r="F406" i="5"/>
  <c r="G116" i="5"/>
  <c r="F132" i="5"/>
  <c r="E459" i="5"/>
  <c r="E461" i="5"/>
  <c r="G192" i="5"/>
  <c r="G278" i="5"/>
  <c r="E535" i="5"/>
  <c r="E128" i="5"/>
  <c r="G157" i="5"/>
  <c r="E217" i="5"/>
  <c r="E225" i="5"/>
  <c r="F163" i="5"/>
  <c r="G225" i="5"/>
  <c r="G505" i="5"/>
  <c r="G507" i="5"/>
  <c r="E321" i="5"/>
  <c r="E649" i="5"/>
  <c r="E651" i="5"/>
  <c r="G252" i="5"/>
  <c r="G223" i="5"/>
  <c r="G239" i="5"/>
  <c r="G329" i="5"/>
  <c r="F347" i="5"/>
  <c r="F391" i="5"/>
  <c r="F395" i="5"/>
  <c r="E520" i="5"/>
  <c r="G169" i="5"/>
  <c r="F415" i="5"/>
  <c r="F419" i="5"/>
  <c r="E568" i="5"/>
  <c r="F273" i="5"/>
  <c r="F439" i="5"/>
  <c r="F443" i="5"/>
  <c r="G614" i="5"/>
  <c r="G317" i="5"/>
  <c r="G526" i="5"/>
  <c r="F593" i="5"/>
  <c r="F34" i="5"/>
  <c r="F511" i="5"/>
  <c r="F679" i="5"/>
  <c r="E670" i="5"/>
  <c r="G67" i="5"/>
  <c r="F575" i="5"/>
  <c r="G708" i="5"/>
  <c r="E694" i="5"/>
  <c r="E69" i="5"/>
  <c r="E530" i="5"/>
  <c r="G684" i="5"/>
  <c r="F675" i="5"/>
  <c r="G59" i="5"/>
  <c r="G484" i="5"/>
  <c r="G660" i="5"/>
  <c r="G656" i="5"/>
  <c r="F50" i="5"/>
  <c r="G716" i="5"/>
  <c r="E65" i="5"/>
  <c r="F106" i="5"/>
  <c r="E74" i="5"/>
  <c r="F412" i="5"/>
  <c r="E75" i="5"/>
  <c r="G66" i="5"/>
  <c r="G784" i="5"/>
  <c r="F619" i="5"/>
  <c r="E446" i="5"/>
  <c r="E615" i="5"/>
  <c r="G260" i="5"/>
  <c r="G346" i="5"/>
  <c r="E603" i="5"/>
  <c r="E196" i="5"/>
  <c r="G262" i="5"/>
  <c r="E350" i="5"/>
  <c r="F436" i="5"/>
  <c r="F438" i="5"/>
  <c r="G148" i="5"/>
  <c r="F196" i="5"/>
  <c r="E491" i="5"/>
  <c r="E493" i="5"/>
  <c r="G224" i="5"/>
  <c r="G310" i="5"/>
  <c r="E567" i="5"/>
  <c r="E160" i="5"/>
  <c r="G221" i="5"/>
  <c r="E309" i="5"/>
  <c r="E313" i="5"/>
  <c r="F195" i="5"/>
  <c r="F281" i="5"/>
  <c r="G537" i="5"/>
  <c r="G539" i="5"/>
  <c r="G447" i="5"/>
  <c r="E681" i="5"/>
  <c r="E683" i="5"/>
  <c r="F295" i="5"/>
  <c r="F367" i="5"/>
  <c r="F371" i="5"/>
  <c r="E472" i="5"/>
  <c r="F305" i="5"/>
  <c r="F455" i="5"/>
  <c r="F459" i="5"/>
  <c r="G630" i="5"/>
  <c r="F349" i="5"/>
  <c r="F479" i="5"/>
  <c r="F483" i="5"/>
  <c r="G654" i="5"/>
  <c r="F274" i="5"/>
  <c r="F503" i="5"/>
  <c r="F507" i="5"/>
  <c r="G678" i="5"/>
  <c r="G508" i="5"/>
  <c r="G676" i="5"/>
  <c r="F667" i="5"/>
  <c r="F66" i="5"/>
  <c r="G647" i="5"/>
  <c r="G748" i="5"/>
  <c r="E734" i="5"/>
  <c r="G99" i="5"/>
  <c r="G679" i="5"/>
  <c r="G772" i="5"/>
  <c r="E758" i="5"/>
  <c r="E101" i="5"/>
  <c r="E657" i="5"/>
  <c r="E754" i="5"/>
  <c r="F739" i="5"/>
  <c r="G91" i="5"/>
  <c r="F634" i="5"/>
  <c r="F735" i="5"/>
  <c r="G720" i="5"/>
  <c r="F82" i="5"/>
  <c r="E464" i="5"/>
  <c r="F13" i="5"/>
  <c r="F690" i="5"/>
  <c r="F15" i="5"/>
  <c r="F487" i="5"/>
  <c r="G44" i="5"/>
  <c r="E281" i="5"/>
  <c r="G602" i="5"/>
  <c r="E53" i="5"/>
  <c r="E755" i="5"/>
  <c r="G502" i="5"/>
  <c r="F271" i="5"/>
  <c r="F357" i="5"/>
  <c r="G107" i="5"/>
  <c r="G206" i="5"/>
  <c r="G104" i="5"/>
  <c r="F108" i="5"/>
  <c r="E447" i="5"/>
  <c r="E449" i="5"/>
  <c r="F159" i="5"/>
  <c r="G217" i="5"/>
  <c r="G501" i="5"/>
  <c r="G503" i="5"/>
  <c r="F235" i="5"/>
  <c r="F321" i="5"/>
  <c r="G577" i="5"/>
  <c r="G170" i="5"/>
  <c r="E243" i="5"/>
  <c r="F330" i="5"/>
  <c r="F334" i="5"/>
  <c r="E206" i="5"/>
  <c r="E292" i="5"/>
  <c r="F548" i="5"/>
  <c r="F550" i="5"/>
  <c r="F478" i="5"/>
  <c r="G691" i="5"/>
  <c r="G693" i="5"/>
  <c r="E338" i="5"/>
  <c r="G388" i="5"/>
  <c r="G392" i="5"/>
  <c r="G514" i="5"/>
  <c r="E348" i="5"/>
  <c r="G476" i="5"/>
  <c r="G480" i="5"/>
  <c r="E652" i="5"/>
  <c r="G162" i="5"/>
  <c r="G121" i="5"/>
  <c r="G549" i="5"/>
  <c r="E260" i="5"/>
  <c r="F243" i="5"/>
  <c r="E383" i="5"/>
  <c r="F502" i="5"/>
  <c r="F152" i="5"/>
  <c r="G437" i="5"/>
  <c r="E116" i="5"/>
  <c r="G288" i="5"/>
  <c r="G513" i="5"/>
  <c r="F213" i="5"/>
  <c r="G137" i="5"/>
  <c r="F568" i="5"/>
  <c r="G184" i="5"/>
  <c r="E137" i="5"/>
  <c r="F390" i="5"/>
  <c r="E551" i="5"/>
  <c r="G723" i="5"/>
  <c r="E319" i="5"/>
  <c r="G527" i="5"/>
  <c r="E299" i="5"/>
  <c r="E692" i="5"/>
  <c r="E457" i="5"/>
  <c r="F250" i="5"/>
  <c r="G694" i="5"/>
  <c r="F246" i="5"/>
  <c r="F738" i="5"/>
  <c r="F397" i="5"/>
  <c r="E359" i="5"/>
  <c r="E633" i="5"/>
  <c r="E699" i="5"/>
  <c r="G541" i="5"/>
  <c r="E612" i="5"/>
  <c r="E774" i="5"/>
  <c r="F212" i="5"/>
  <c r="G638" i="5"/>
  <c r="F627" i="5"/>
  <c r="G90" i="5"/>
  <c r="F579" i="5"/>
  <c r="G231" i="5"/>
  <c r="F26" i="5"/>
  <c r="G687" i="5"/>
  <c r="E496" i="5"/>
  <c r="F81" i="5"/>
  <c r="E469" i="5"/>
  <c r="G692" i="5"/>
  <c r="F28" i="5"/>
  <c r="E378" i="5"/>
  <c r="G63" i="5"/>
  <c r="E277" i="5"/>
  <c r="F327" i="5"/>
  <c r="G662" i="5"/>
  <c r="G85" i="5"/>
  <c r="E279" i="5"/>
  <c r="G274" i="5"/>
  <c r="G183" i="5"/>
  <c r="E494" i="5"/>
  <c r="F173" i="5"/>
  <c r="E143" i="5"/>
  <c r="F560" i="5"/>
  <c r="G270" i="5"/>
  <c r="G393" i="5"/>
  <c r="E513" i="5"/>
  <c r="E259" i="5"/>
  <c r="F448" i="5"/>
  <c r="G126" i="5"/>
  <c r="E342" i="5"/>
  <c r="F524" i="5"/>
  <c r="E224" i="5"/>
  <c r="E159" i="5"/>
  <c r="G589" i="5"/>
  <c r="G216" i="5"/>
  <c r="G179" i="5"/>
  <c r="G593" i="5"/>
  <c r="F734" i="5"/>
  <c r="F381" i="5"/>
  <c r="G543" i="5"/>
  <c r="G341" i="5"/>
  <c r="F713" i="5"/>
  <c r="F546" i="5"/>
  <c r="F304" i="5"/>
  <c r="E716" i="5"/>
  <c r="E749" i="5"/>
  <c r="E440" i="5"/>
  <c r="G401" i="5"/>
  <c r="G643" i="5"/>
  <c r="G709" i="5"/>
  <c r="E437" i="5"/>
  <c r="E650" i="5"/>
  <c r="G186" i="5"/>
  <c r="G686" i="5"/>
  <c r="G648" i="5"/>
  <c r="E5" i="5"/>
  <c r="E627" i="5"/>
  <c r="E37" i="5"/>
  <c r="G711" i="5"/>
  <c r="G538" i="5"/>
  <c r="G567" i="5"/>
  <c r="E714" i="5"/>
  <c r="E39" i="5"/>
  <c r="F94" i="5"/>
  <c r="G415" i="5"/>
  <c r="G785" i="5"/>
  <c r="F55" i="5"/>
  <c r="F666" i="5"/>
  <c r="G636" i="5"/>
  <c r="F164" i="5"/>
  <c r="G523" i="5"/>
  <c r="G352" i="5"/>
  <c r="G234" i="5"/>
  <c r="F600" i="5"/>
  <c r="F222" i="5"/>
  <c r="F198" i="5"/>
  <c r="E745" i="5"/>
  <c r="F570" i="5"/>
  <c r="E414" i="5"/>
  <c r="G559" i="5"/>
  <c r="E347" i="5"/>
  <c r="F394" i="5"/>
  <c r="G482" i="5"/>
  <c r="F444" i="5"/>
  <c r="G149" i="5"/>
  <c r="E401" i="5"/>
  <c r="E345" i="5"/>
  <c r="E23" i="5"/>
  <c r="G337" i="5"/>
  <c r="E18" i="5"/>
  <c r="E178" i="5"/>
  <c r="F722" i="5"/>
  <c r="F521" i="5"/>
  <c r="F389" i="5"/>
  <c r="E184" i="5"/>
  <c r="G581" i="5"/>
  <c r="G112" i="5"/>
  <c r="E171" i="5"/>
  <c r="E415" i="5"/>
  <c r="G276" i="5"/>
  <c r="F137" i="5"/>
  <c r="G545" i="5"/>
  <c r="F180" i="5"/>
  <c r="F227" i="5"/>
  <c r="G411" i="5"/>
  <c r="E424" i="5"/>
  <c r="G734" i="5"/>
  <c r="F737" i="5"/>
  <c r="G759" i="5"/>
  <c r="F205" i="5"/>
  <c r="E207" i="5"/>
  <c r="F150" i="5"/>
  <c r="E134" i="5"/>
  <c r="G213" i="5"/>
  <c r="G457" i="5"/>
  <c r="E545" i="5"/>
  <c r="E298" i="5"/>
  <c r="F512" i="5"/>
  <c r="G158" i="5"/>
  <c r="E135" i="5"/>
  <c r="F588" i="5"/>
  <c r="E256" i="5"/>
  <c r="E280" i="5"/>
  <c r="G139" i="5"/>
  <c r="G248" i="5"/>
  <c r="F290" i="5"/>
  <c r="E433" i="5"/>
  <c r="E421" i="5"/>
  <c r="F766" i="5"/>
  <c r="F625" i="5"/>
  <c r="G595" i="5"/>
  <c r="G456" i="5"/>
  <c r="F777" i="5"/>
  <c r="E585" i="5"/>
  <c r="G416" i="5"/>
  <c r="E780" i="5"/>
  <c r="F458" i="5"/>
  <c r="E781" i="5"/>
  <c r="G610" i="5"/>
  <c r="G529" i="5"/>
  <c r="G675" i="5"/>
  <c r="G773" i="5"/>
  <c r="E589" i="5"/>
  <c r="E746" i="5"/>
  <c r="E55" i="5"/>
  <c r="E455" i="5"/>
  <c r="G446" i="5"/>
  <c r="F755" i="5"/>
  <c r="G11" i="5"/>
  <c r="F712" i="5"/>
  <c r="E476" i="5"/>
  <c r="G79" i="5"/>
  <c r="F218" i="5"/>
  <c r="E640" i="5"/>
  <c r="E82" i="5"/>
  <c r="E362" i="5"/>
  <c r="F162" i="5"/>
  <c r="E71" i="5"/>
  <c r="E669" i="5"/>
  <c r="G18" i="5"/>
  <c r="F754" i="5"/>
  <c r="F517" i="5"/>
  <c r="E722" i="5"/>
  <c r="F730" i="5"/>
  <c r="E384" i="5"/>
  <c r="E698" i="5"/>
  <c r="E672" i="5"/>
  <c r="E122" i="5"/>
  <c r="F293" i="5"/>
  <c r="E297" i="5"/>
  <c r="G176" i="5"/>
  <c r="G296" i="5"/>
  <c r="F500" i="5"/>
  <c r="F125" i="5"/>
  <c r="F351" i="5"/>
  <c r="E555" i="5"/>
  <c r="F201" i="5"/>
  <c r="G241" i="5"/>
  <c r="E177" i="5"/>
  <c r="E130" i="5"/>
  <c r="F333" i="5"/>
  <c r="G355" i="5"/>
  <c r="E139" i="5"/>
  <c r="E399" i="5"/>
  <c r="F486" i="5"/>
  <c r="E557" i="5"/>
  <c r="G293" i="5"/>
  <c r="G710" i="5"/>
  <c r="G333" i="5"/>
  <c r="E542" i="5"/>
  <c r="G542" i="5"/>
  <c r="F296" i="5"/>
  <c r="G544" i="5"/>
  <c r="E420" i="5"/>
  <c r="F586" i="5"/>
  <c r="G376" i="5"/>
  <c r="G718" i="5"/>
  <c r="E361" i="5"/>
  <c r="F750" i="5"/>
  <c r="F445" i="5"/>
  <c r="E570" i="5"/>
  <c r="G345" i="5"/>
  <c r="G97" i="5"/>
  <c r="G519" i="5"/>
  <c r="E706" i="5"/>
  <c r="G45" i="5"/>
  <c r="F197" i="5"/>
  <c r="G702" i="5"/>
  <c r="F651" i="5"/>
  <c r="G94" i="5"/>
  <c r="E534" i="5"/>
  <c r="F786" i="5"/>
  <c r="E17" i="5"/>
  <c r="F658" i="5"/>
  <c r="G458" i="5"/>
  <c r="G54" i="5"/>
  <c r="E639" i="5"/>
  <c r="G95" i="5"/>
  <c r="F724" i="5"/>
  <c r="F21" i="5"/>
  <c r="E776" i="5"/>
  <c r="G534" i="5"/>
  <c r="G778" i="5"/>
  <c r="F63" i="5"/>
  <c r="E726" i="5"/>
  <c r="G196" i="5"/>
  <c r="G227" i="5"/>
  <c r="G391" i="5"/>
  <c r="E188" i="5"/>
  <c r="F172" i="5"/>
  <c r="F564" i="5"/>
  <c r="G242" i="5"/>
  <c r="F277" i="5"/>
  <c r="E129" i="5"/>
  <c r="E150" i="5"/>
  <c r="F353" i="5"/>
  <c r="E353" i="5"/>
  <c r="E226" i="5"/>
  <c r="G287" i="5"/>
  <c r="E108" i="5"/>
  <c r="E302" i="5"/>
  <c r="G473" i="5"/>
  <c r="F582" i="5"/>
  <c r="E213" i="5"/>
  <c r="E518" i="5"/>
  <c r="E147" i="5"/>
  <c r="G516" i="5"/>
  <c r="G641" i="5"/>
  <c r="E262" i="5"/>
  <c r="F519" i="5"/>
  <c r="E643" i="5"/>
  <c r="G154" i="5"/>
  <c r="G372" i="5"/>
  <c r="F547" i="5"/>
  <c r="G382" i="5"/>
  <c r="G575" i="5"/>
  <c r="G357" i="5"/>
  <c r="E700" i="5"/>
  <c r="F762" i="5"/>
  <c r="E608" i="5"/>
  <c r="E78" i="5"/>
  <c r="G572" i="5"/>
  <c r="E400" i="5"/>
  <c r="E40" i="5"/>
  <c r="F446" i="5"/>
  <c r="F655" i="5"/>
  <c r="G25" i="5"/>
  <c r="E114" i="5"/>
  <c r="E456" i="5"/>
  <c r="G566" i="5"/>
  <c r="F102" i="5"/>
  <c r="E366" i="5"/>
  <c r="E664" i="5"/>
  <c r="E94" i="5"/>
  <c r="G764" i="5"/>
  <c r="E724" i="5"/>
  <c r="F719" i="5"/>
  <c r="G579" i="5"/>
  <c r="F20" i="5"/>
  <c r="F589" i="5"/>
  <c r="F771" i="5"/>
  <c r="F64" i="5"/>
  <c r="E54" i="5"/>
  <c r="G269" i="5"/>
  <c r="F592" i="5"/>
  <c r="F145" i="5"/>
  <c r="G257" i="5"/>
  <c r="E385" i="5"/>
  <c r="G109" i="5"/>
  <c r="F544" i="5"/>
  <c r="G160" i="5"/>
  <c r="G327" i="5"/>
  <c r="G138" i="5"/>
  <c r="G290" i="5"/>
  <c r="G399" i="5"/>
  <c r="E119" i="5"/>
  <c r="E145" i="5"/>
  <c r="F508" i="5"/>
  <c r="G368" i="5"/>
  <c r="G233" i="5"/>
  <c r="E693" i="5"/>
  <c r="E628" i="5"/>
  <c r="F234" i="5"/>
  <c r="G653" i="5"/>
  <c r="G348" i="5"/>
  <c r="E653" i="5"/>
  <c r="F633" i="5"/>
  <c r="F490" i="5"/>
  <c r="G464" i="5"/>
  <c r="F473" i="5"/>
  <c r="F745" i="5"/>
  <c r="F44" i="5"/>
  <c r="E181" i="5"/>
  <c r="F485" i="5"/>
  <c r="G100" i="5"/>
  <c r="E765" i="5"/>
  <c r="G722" i="5"/>
  <c r="F61" i="5"/>
  <c r="G713" i="5"/>
  <c r="E718" i="5"/>
  <c r="G155" i="5"/>
  <c r="E484" i="5"/>
  <c r="G81" i="5"/>
  <c r="E772" i="5"/>
  <c r="G728" i="5"/>
  <c r="F643" i="5"/>
  <c r="F387" i="5"/>
  <c r="G83" i="5"/>
  <c r="F369" i="5"/>
  <c r="F95" i="5"/>
  <c r="E31" i="5"/>
  <c r="F410" i="5"/>
  <c r="E454" i="5"/>
  <c r="F649" i="5"/>
  <c r="F664" i="5"/>
  <c r="G663" i="5"/>
  <c r="E676" i="5"/>
  <c r="E486" i="5"/>
  <c r="E516" i="5"/>
  <c r="G65" i="5"/>
  <c r="E323" i="5"/>
  <c r="E528" i="5"/>
  <c r="G207" i="5"/>
  <c r="G390" i="5"/>
  <c r="F7" i="5"/>
  <c r="G578" i="5"/>
  <c r="E577" i="5"/>
  <c r="F569" i="5"/>
  <c r="E436" i="5"/>
  <c r="G62" i="5"/>
  <c r="F555" i="5"/>
  <c r="E161" i="5"/>
  <c r="F62" i="5"/>
  <c r="E52" i="5"/>
  <c r="G235" i="5"/>
  <c r="G118" i="5"/>
  <c r="F714" i="5"/>
  <c r="E675" i="5"/>
  <c r="G587" i="5"/>
  <c r="G353" i="5"/>
  <c r="E402" i="5"/>
  <c r="E100" i="5"/>
  <c r="F433" i="5"/>
  <c r="E644" i="5"/>
  <c r="E782" i="5"/>
  <c r="E634" i="5"/>
  <c r="E103" i="5"/>
  <c r="F22" i="5"/>
  <c r="E19" i="5"/>
  <c r="E504" i="5"/>
  <c r="E588" i="5"/>
  <c r="E12" i="5"/>
  <c r="G198" i="5"/>
  <c r="F319" i="5"/>
  <c r="E375" i="5"/>
  <c r="E344" i="5"/>
  <c r="E183" i="5"/>
  <c r="F526" i="5"/>
  <c r="G195" i="5"/>
  <c r="G412" i="5"/>
  <c r="E685" i="5"/>
  <c r="G599" i="5"/>
  <c r="F601" i="5"/>
  <c r="F463" i="5"/>
  <c r="E25" i="5"/>
  <c r="F561" i="5"/>
  <c r="F705" i="5"/>
  <c r="F104" i="5"/>
  <c r="F85" i="5"/>
  <c r="E43" i="5"/>
  <c r="F226" i="5"/>
  <c r="F383" i="5"/>
  <c r="F318" i="5"/>
  <c r="E308" i="5"/>
  <c r="E214" i="5"/>
  <c r="G202" i="5"/>
  <c r="E140" i="5"/>
  <c r="F294" i="5"/>
  <c r="F539" i="5"/>
  <c r="F746" i="5"/>
  <c r="E434" i="5"/>
  <c r="E341" i="5"/>
  <c r="F571" i="5"/>
  <c r="E36" i="5"/>
  <c r="G634" i="5"/>
  <c r="E604" i="5"/>
  <c r="E27" i="5"/>
  <c r="E778" i="5"/>
  <c r="E560" i="5"/>
  <c r="E376" i="5"/>
  <c r="F723" i="5"/>
  <c r="G185" i="5"/>
  <c r="F241" i="5"/>
  <c r="E111" i="5"/>
  <c r="G256" i="5"/>
  <c r="G266" i="5"/>
  <c r="F174" i="5"/>
  <c r="F268" i="5"/>
  <c r="E337" i="5"/>
  <c r="F603" i="5"/>
  <c r="G767" i="5"/>
  <c r="G540" i="5"/>
  <c r="E435" i="5"/>
  <c r="E307" i="5"/>
  <c r="F285" i="5"/>
  <c r="E46" i="5"/>
  <c r="E57" i="5"/>
  <c r="E405" i="5"/>
  <c r="G478" i="5"/>
  <c r="F118" i="5"/>
  <c r="F373" i="5"/>
  <c r="G72" i="5"/>
  <c r="F759" i="5"/>
  <c r="E41" i="5"/>
  <c r="F30" i="5"/>
  <c r="F52" i="5"/>
  <c r="F549" i="5"/>
  <c r="G249" i="5"/>
  <c r="E252" i="5"/>
  <c r="G153" i="5"/>
  <c r="F267" i="5"/>
  <c r="G108" i="5"/>
  <c r="G302" i="5"/>
  <c r="F594" i="5"/>
  <c r="F778" i="5"/>
  <c r="F760" i="5"/>
  <c r="G321" i="5"/>
  <c r="E786" i="5"/>
  <c r="E733" i="5"/>
  <c r="G698" i="5"/>
  <c r="F715" i="5"/>
  <c r="E564" i="5"/>
  <c r="E373" i="5"/>
  <c r="F757" i="5"/>
  <c r="E83" i="5"/>
  <c r="E412" i="5"/>
  <c r="E282" i="5"/>
  <c r="E193" i="5"/>
  <c r="E156" i="5"/>
  <c r="E276" i="5"/>
  <c r="G395" i="5"/>
  <c r="E131" i="5"/>
  <c r="G565" i="5"/>
  <c r="F171" i="5"/>
  <c r="E349" i="5"/>
  <c r="F149" i="5"/>
  <c r="F301" i="5"/>
  <c r="F140" i="5"/>
  <c r="G187" i="5"/>
  <c r="F382" i="5"/>
  <c r="E296" i="5"/>
  <c r="G703" i="5"/>
  <c r="E339" i="5"/>
  <c r="E255" i="5"/>
  <c r="E517" i="5"/>
  <c r="E787" i="5"/>
  <c r="F37" i="5"/>
  <c r="G760" i="5"/>
  <c r="F92" i="5"/>
  <c r="E766" i="5"/>
  <c r="E492" i="5"/>
  <c r="G292" i="5"/>
  <c r="F177" i="5"/>
  <c r="G286" i="5"/>
  <c r="E417" i="5"/>
  <c r="F287" i="5"/>
  <c r="F576" i="5"/>
  <c r="E182" i="5"/>
  <c r="F364" i="5"/>
  <c r="F181" i="5"/>
  <c r="E312" i="5"/>
  <c r="G161" i="5"/>
  <c r="F230" i="5"/>
  <c r="F506" i="5"/>
  <c r="F475" i="5"/>
  <c r="G338" i="5"/>
  <c r="G670" i="5"/>
  <c r="E370" i="5"/>
  <c r="G306" i="5"/>
  <c r="F674" i="5"/>
  <c r="G528" i="5"/>
  <c r="G558" i="5"/>
  <c r="F76" i="5"/>
  <c r="G570" i="5"/>
  <c r="G360" i="5"/>
  <c r="F8" i="5"/>
  <c r="E272" i="5"/>
  <c r="F639" i="5"/>
  <c r="F668" i="5"/>
  <c r="E326" i="5"/>
  <c r="F303" i="5"/>
  <c r="F297" i="5"/>
  <c r="G427" i="5"/>
  <c r="E587" i="5"/>
  <c r="F203" i="5"/>
  <c r="E192" i="5"/>
  <c r="F129" i="5"/>
  <c r="E273" i="5"/>
  <c r="G496" i="5"/>
  <c r="E725" i="5"/>
  <c r="G685" i="5"/>
  <c r="F238" i="5"/>
  <c r="E740" i="5"/>
  <c r="E550" i="5"/>
  <c r="F441" i="5"/>
  <c r="F613" i="5"/>
  <c r="G408" i="5"/>
  <c r="G7" i="5"/>
  <c r="F16" i="5"/>
  <c r="G756" i="5"/>
  <c r="E7" i="5"/>
  <c r="F732" i="5"/>
  <c r="E531" i="5"/>
  <c r="E314" i="5"/>
  <c r="F209" i="5"/>
  <c r="E330" i="5"/>
  <c r="F428" i="5"/>
  <c r="G354" i="5"/>
  <c r="F204" i="5"/>
  <c r="F542" i="5"/>
  <c r="G319" i="5"/>
  <c r="E157" i="5"/>
  <c r="F728" i="5"/>
  <c r="G695" i="5"/>
  <c r="G611" i="5"/>
  <c r="F703" i="5"/>
  <c r="G623" i="5"/>
  <c r="G35" i="5"/>
  <c r="G13" i="5"/>
  <c r="G766" i="5"/>
  <c r="E371" i="5"/>
  <c r="F51" i="5"/>
  <c r="F578" i="5"/>
  <c r="G73" i="5"/>
  <c r="G690" i="5"/>
  <c r="F312" i="5"/>
  <c r="F700" i="5"/>
  <c r="G359" i="5"/>
  <c r="E481" i="5"/>
  <c r="G171" i="5"/>
  <c r="G449" i="5"/>
  <c r="F161" i="5"/>
  <c r="E581" i="5"/>
  <c r="F424" i="5"/>
  <c r="E372" i="5"/>
  <c r="G749" i="5"/>
  <c r="G199" i="5"/>
  <c r="G613" i="5"/>
  <c r="F767" i="5"/>
  <c r="E709" i="5"/>
  <c r="G672" i="5"/>
  <c r="F48" i="5"/>
  <c r="F709" i="5"/>
  <c r="F663" i="5"/>
  <c r="E637" i="5"/>
  <c r="F109" i="5"/>
  <c r="F370" i="5"/>
  <c r="G491" i="5"/>
  <c r="F214" i="5"/>
  <c r="F460" i="5"/>
  <c r="G259" i="5"/>
  <c r="F422" i="5"/>
  <c r="E467" i="5"/>
  <c r="E562" i="5"/>
  <c r="G309" i="5"/>
  <c r="F624" i="5"/>
  <c r="G56" i="5"/>
  <c r="F78" i="5"/>
  <c r="E605" i="5"/>
  <c r="E59" i="5"/>
  <c r="F83" i="5"/>
  <c r="F73" i="5"/>
  <c r="E721" i="5"/>
  <c r="F697" i="5"/>
  <c r="E87" i="5"/>
  <c r="E662" i="5"/>
  <c r="G597" i="5"/>
  <c r="E470" i="5"/>
  <c r="E261" i="5"/>
  <c r="G349" i="5"/>
  <c r="G275" i="5"/>
  <c r="E756" i="5"/>
  <c r="F324" i="5"/>
  <c r="G628" i="5"/>
  <c r="G657" i="5"/>
  <c r="G477" i="5"/>
  <c r="G4" i="5"/>
  <c r="G459" i="5"/>
  <c r="F761" i="5"/>
  <c r="E619" i="5"/>
  <c r="E85" i="5"/>
  <c r="G324" i="5"/>
  <c r="G339" i="5"/>
  <c r="E220" i="5"/>
  <c r="G318" i="5"/>
  <c r="F470" i="5"/>
  <c r="G340" i="5"/>
  <c r="F608" i="5"/>
  <c r="E246" i="5"/>
  <c r="E439" i="5"/>
  <c r="F245" i="5"/>
  <c r="G131" i="5"/>
  <c r="G150" i="5"/>
  <c r="E247" i="5"/>
  <c r="G315" i="5"/>
  <c r="E569" i="5"/>
  <c r="E582" i="5"/>
  <c r="G381" i="5"/>
  <c r="E757" i="5"/>
  <c r="F300" i="5"/>
  <c r="E498" i="5"/>
  <c r="E739" i="5"/>
  <c r="F392" i="5"/>
  <c r="F770" i="5"/>
  <c r="G782" i="5"/>
  <c r="F170" i="5"/>
  <c r="G592" i="5"/>
  <c r="G105" i="5"/>
  <c r="G724" i="5"/>
  <c r="F35" i="5"/>
  <c r="F678" i="5"/>
  <c r="E656" i="5"/>
  <c r="F46" i="5"/>
  <c r="F531" i="5"/>
  <c r="E630" i="5"/>
  <c r="F9" i="5"/>
  <c r="F393" i="5"/>
  <c r="G37" i="5"/>
  <c r="G497" i="5"/>
  <c r="E303" i="5"/>
  <c r="E62" i="5"/>
  <c r="E648" i="5"/>
  <c r="G777" i="5"/>
  <c r="F97" i="5"/>
  <c r="G494" i="5"/>
  <c r="G744" i="5"/>
  <c r="G21" i="5"/>
  <c r="E506" i="5"/>
  <c r="G606" i="5"/>
  <c r="F329" i="5"/>
  <c r="F677" i="5"/>
  <c r="E201" i="5"/>
  <c r="E172" i="5"/>
  <c r="F585" i="5"/>
  <c r="G295" i="5"/>
  <c r="G681" i="5"/>
  <c r="E416" i="5"/>
  <c r="F783" i="5"/>
  <c r="G130" i="5"/>
  <c r="G282" i="5"/>
  <c r="F402" i="5"/>
  <c r="E126" i="5"/>
  <c r="G279" i="5"/>
  <c r="G555" i="5"/>
  <c r="E239" i="5"/>
  <c r="E365" i="5"/>
  <c r="G133" i="5"/>
  <c r="F492" i="5"/>
  <c r="G140" i="5"/>
  <c r="G365" i="5"/>
  <c r="F225" i="5"/>
  <c r="E324" i="5"/>
  <c r="E465" i="5"/>
  <c r="G127" i="5"/>
  <c r="F640" i="5"/>
  <c r="F552" i="5"/>
  <c r="F435" i="5"/>
  <c r="E144" i="5"/>
  <c r="G604" i="5"/>
  <c r="E237" i="5"/>
  <c r="E563" i="5"/>
  <c r="E398" i="5"/>
  <c r="E468" i="5"/>
  <c r="G396" i="5"/>
  <c r="G645" i="5"/>
  <c r="E501" i="5"/>
  <c r="G394" i="5"/>
  <c r="F99" i="5"/>
  <c r="E197" i="5"/>
  <c r="F210" i="5"/>
  <c r="G26" i="5"/>
  <c r="G546" i="5"/>
  <c r="F779" i="5"/>
  <c r="E242" i="5"/>
  <c r="E658" i="5"/>
  <c r="F80" i="5"/>
  <c r="F266" i="5"/>
  <c r="E544" i="5"/>
  <c r="E80" i="5"/>
  <c r="F449" i="5"/>
  <c r="F130" i="5"/>
  <c r="E21" i="5"/>
  <c r="G714" i="5"/>
  <c r="F320" i="5"/>
  <c r="E22" i="5"/>
  <c r="G600" i="5"/>
  <c r="E56" i="5"/>
  <c r="F141" i="5"/>
  <c r="E304" i="5"/>
  <c r="E413" i="5"/>
  <c r="G136" i="5"/>
  <c r="E301" i="5"/>
  <c r="E104" i="5"/>
  <c r="F260" i="5"/>
  <c r="G375" i="5"/>
  <c r="E155" i="5"/>
  <c r="E503" i="5"/>
  <c r="F183" i="5"/>
  <c r="F376" i="5"/>
  <c r="E236" i="5"/>
  <c r="G334" i="5"/>
  <c r="G475" i="5"/>
  <c r="G285" i="5"/>
  <c r="G661" i="5"/>
  <c r="E595" i="5"/>
  <c r="E478" i="5"/>
  <c r="F229" i="5"/>
  <c r="G619" i="5"/>
  <c r="F340" i="5"/>
  <c r="G605" i="5"/>
  <c r="G440" i="5"/>
  <c r="G510" i="5"/>
  <c r="E418" i="5"/>
  <c r="F656" i="5"/>
  <c r="E553" i="5"/>
  <c r="F437" i="5"/>
  <c r="F33" i="5"/>
  <c r="E331" i="5"/>
  <c r="E327" i="5"/>
  <c r="G58" i="5"/>
  <c r="F641" i="5"/>
  <c r="E14" i="5"/>
  <c r="F283" i="5"/>
  <c r="F711" i="5"/>
  <c r="E91" i="5"/>
  <c r="F423" i="5"/>
  <c r="G586" i="5"/>
  <c r="F18" i="5"/>
  <c r="F545" i="5"/>
  <c r="G313" i="5"/>
  <c r="F692" i="5"/>
  <c r="E364" i="5"/>
  <c r="G700" i="5"/>
  <c r="G19" i="5"/>
  <c r="E671" i="5"/>
  <c r="F4" i="5"/>
  <c r="F237" i="5"/>
  <c r="F270" i="5"/>
  <c r="G110" i="5"/>
  <c r="E190" i="5"/>
  <c r="F468" i="5"/>
  <c r="G210" i="5"/>
  <c r="G330" i="5"/>
  <c r="G439" i="5"/>
  <c r="G261" i="5"/>
  <c r="G219" i="5"/>
  <c r="E258" i="5"/>
  <c r="G429" i="5"/>
  <c r="F131" i="5"/>
  <c r="E333" i="5"/>
  <c r="G571" i="5"/>
  <c r="G492" i="5"/>
  <c r="F736" i="5"/>
  <c r="G583" i="5"/>
  <c r="E606" i="5"/>
  <c r="E167" i="5"/>
  <c r="E673" i="5"/>
  <c r="F605" i="5"/>
  <c r="F598" i="5"/>
  <c r="E590" i="5"/>
  <c r="G250" i="5"/>
  <c r="F567" i="5"/>
  <c r="E763" i="5"/>
  <c r="F646" i="5"/>
  <c r="F717" i="5"/>
  <c r="G55" i="5"/>
  <c r="G625" i="5"/>
  <c r="G598" i="5"/>
  <c r="F474" i="5"/>
  <c r="E618" i="5"/>
  <c r="E79" i="5"/>
  <c r="F522" i="5"/>
  <c r="E368" i="5"/>
  <c r="G92" i="5"/>
  <c r="G743" i="5"/>
  <c r="G787" i="5"/>
  <c r="E93" i="5"/>
  <c r="F72" i="5"/>
  <c r="G444" i="5"/>
  <c r="F551" i="5"/>
  <c r="E51" i="5"/>
  <c r="G31" i="5"/>
  <c r="G548" i="5"/>
  <c r="E674" i="5"/>
  <c r="G132" i="5"/>
  <c r="E293" i="5"/>
  <c r="F121" i="5"/>
  <c r="G200" i="5"/>
  <c r="E479" i="5"/>
  <c r="E232" i="5"/>
  <c r="F341" i="5"/>
  <c r="F450" i="5"/>
  <c r="E278" i="5"/>
  <c r="F262" i="5"/>
  <c r="G268" i="5"/>
  <c r="F440" i="5"/>
  <c r="E154" i="5"/>
  <c r="G335" i="5"/>
  <c r="G142" i="5"/>
  <c r="E222" i="5"/>
  <c r="E511" i="5"/>
  <c r="E264" i="5"/>
  <c r="E121" i="5"/>
  <c r="F482" i="5"/>
  <c r="G177" i="5"/>
  <c r="F310" i="5"/>
  <c r="F136" i="5"/>
  <c r="G461" i="5"/>
  <c r="E174" i="5"/>
  <c r="F420" i="5"/>
  <c r="G122" i="5"/>
  <c r="E578" i="5"/>
  <c r="F768" i="5"/>
  <c r="E291" i="5"/>
  <c r="F684" i="5"/>
  <c r="F338" i="5"/>
  <c r="E737" i="5"/>
  <c r="F178" i="5"/>
  <c r="G301" i="5"/>
  <c r="G633" i="5"/>
  <c r="E187" i="5"/>
  <c r="F622" i="5"/>
  <c r="G402" i="5"/>
  <c r="G731" i="5"/>
  <c r="F781" i="5"/>
  <c r="F98" i="5"/>
  <c r="E711" i="5"/>
  <c r="G776" i="5"/>
  <c r="E127" i="5"/>
  <c r="F751" i="5"/>
  <c r="F45" i="5"/>
  <c r="F359" i="5"/>
  <c r="F581" i="5"/>
  <c r="G27" i="5"/>
  <c r="F427" i="5"/>
  <c r="F401" i="5"/>
  <c r="G70" i="5"/>
  <c r="E84" i="5"/>
  <c r="G552" i="5"/>
  <c r="F87" i="5"/>
  <c r="F75" i="5"/>
  <c r="G413" i="5"/>
  <c r="F743" i="5"/>
  <c r="E624" i="5"/>
  <c r="E186" i="5"/>
  <c r="F368" i="5"/>
  <c r="G174" i="5"/>
  <c r="F192" i="5"/>
  <c r="F532" i="5"/>
  <c r="F127" i="5"/>
  <c r="F206" i="5"/>
  <c r="E525" i="5"/>
  <c r="F220" i="5"/>
  <c r="F366" i="5"/>
  <c r="F200" i="5"/>
  <c r="E483" i="5"/>
  <c r="F259" i="5"/>
  <c r="F452" i="5"/>
  <c r="G124" i="5"/>
  <c r="E617" i="5"/>
  <c r="F194" i="5"/>
  <c r="F431" i="5"/>
  <c r="G705" i="5"/>
  <c r="G433" i="5"/>
  <c r="F758" i="5"/>
  <c r="F377" i="5"/>
  <c r="E394" i="5"/>
  <c r="E655" i="5"/>
  <c r="F315" i="5"/>
  <c r="E665" i="5"/>
  <c r="G530" i="5"/>
  <c r="G325" i="5"/>
  <c r="E380" i="5"/>
  <c r="F53" i="5"/>
  <c r="F541" i="5"/>
  <c r="E35" i="5"/>
  <c r="F362" i="5"/>
  <c r="G281" i="5"/>
  <c r="G16" i="5"/>
  <c r="G468" i="5"/>
  <c r="F661" i="5"/>
  <c r="E49" i="5"/>
  <c r="G536" i="5"/>
  <c r="F529" i="5"/>
  <c r="F3" i="5"/>
  <c r="F49" i="5"/>
  <c r="G370" i="5"/>
  <c r="G637" i="5"/>
  <c r="E92" i="5"/>
  <c r="F280" i="5"/>
  <c r="G786" i="5"/>
  <c r="E125" i="5"/>
  <c r="F207" i="5"/>
  <c r="E379" i="5"/>
  <c r="F185" i="5"/>
  <c r="F256" i="5"/>
  <c r="E543" i="5"/>
  <c r="E138" i="5"/>
  <c r="F346" i="5"/>
  <c r="G535" i="5"/>
  <c r="E263" i="5"/>
  <c r="E377" i="5"/>
  <c r="F264" i="5"/>
  <c r="G525" i="5"/>
  <c r="E270" i="5"/>
  <c r="E463" i="5"/>
  <c r="G208" i="5"/>
  <c r="G627" i="5"/>
  <c r="G466" i="5"/>
  <c r="G452" i="5"/>
  <c r="F716" i="5"/>
  <c r="F476" i="5"/>
  <c r="E769" i="5"/>
  <c r="G462" i="5"/>
  <c r="G436" i="5"/>
  <c r="G665" i="5"/>
  <c r="E358" i="5"/>
  <c r="F686" i="5"/>
  <c r="F573" i="5"/>
  <c r="F403" i="5"/>
  <c r="G422" i="5"/>
  <c r="G86" i="5"/>
  <c r="E748" i="5"/>
  <c r="F56" i="5"/>
  <c r="E521" i="5"/>
  <c r="G362" i="5"/>
  <c r="F27" i="5"/>
  <c r="F591" i="5"/>
  <c r="G682" i="5"/>
  <c r="F70" i="5"/>
  <c r="E598" i="5"/>
  <c r="E572" i="5"/>
  <c r="F10" i="5"/>
  <c r="G15" i="5"/>
  <c r="E620" i="5"/>
  <c r="F409" i="5"/>
  <c r="F42" i="5"/>
  <c r="G111" i="5"/>
  <c r="F31" i="5"/>
  <c r="G374" i="5"/>
  <c r="E218" i="5"/>
  <c r="G389" i="5"/>
  <c r="F217" i="5"/>
  <c r="F275" i="5"/>
  <c r="G553" i="5"/>
  <c r="E170" i="5"/>
  <c r="E363" i="5"/>
  <c r="F105" i="5"/>
  <c r="F289" i="5"/>
  <c r="G419" i="5"/>
  <c r="F279" i="5"/>
  <c r="F536" i="5"/>
  <c r="G117" i="5"/>
  <c r="F484" i="5"/>
  <c r="F251" i="5"/>
  <c r="F638" i="5"/>
  <c r="G646" i="5"/>
  <c r="E474" i="5"/>
  <c r="E727" i="5"/>
  <c r="E519" i="5"/>
  <c r="E165" i="5"/>
  <c r="F505" i="5"/>
  <c r="E458" i="5"/>
  <c r="F676" i="5"/>
  <c r="F188" i="5"/>
  <c r="E697" i="5"/>
  <c r="E636" i="5"/>
  <c r="E185" i="5"/>
  <c r="F179" i="5"/>
  <c r="E200" i="5"/>
  <c r="E429" i="5"/>
  <c r="F134" i="5"/>
  <c r="E419" i="5"/>
  <c r="E265" i="5"/>
  <c r="F328" i="5"/>
  <c r="F148" i="5"/>
  <c r="F429" i="5"/>
  <c r="E566" i="5"/>
  <c r="F543" i="5"/>
  <c r="E316" i="5"/>
  <c r="F276" i="5"/>
  <c r="F565" i="5"/>
  <c r="F590" i="5"/>
  <c r="F14" i="5"/>
  <c r="E448" i="5"/>
  <c r="E601" i="5"/>
  <c r="G101" i="5"/>
  <c r="E708" i="5"/>
  <c r="E153" i="5"/>
  <c r="E647" i="5"/>
  <c r="F707" i="5"/>
  <c r="G730" i="5"/>
  <c r="G75" i="5"/>
  <c r="F314" i="5"/>
  <c r="F211" i="5"/>
  <c r="F253" i="5"/>
  <c r="G471" i="5"/>
  <c r="E289" i="5"/>
  <c r="E451" i="5"/>
  <c r="G311" i="5"/>
  <c r="G364" i="5"/>
  <c r="G509" i="5"/>
  <c r="F557" i="5"/>
  <c r="F587" i="5"/>
  <c r="G564" i="5"/>
  <c r="E105" i="5"/>
  <c r="E488" i="5"/>
  <c r="E632" i="5"/>
  <c r="G763" i="5"/>
  <c r="E26" i="5"/>
  <c r="G490" i="5"/>
  <c r="F202" i="5"/>
  <c r="G50" i="5"/>
  <c r="G263" i="5"/>
  <c r="F414" i="5"/>
  <c r="G774" i="5"/>
  <c r="G768" i="5"/>
  <c r="E32" i="5"/>
  <c r="G551" i="5"/>
  <c r="E286" i="5"/>
  <c r="E148" i="5"/>
  <c r="G409" i="5"/>
  <c r="G620" i="5"/>
  <c r="F607" i="5"/>
  <c r="E760" i="5"/>
  <c r="E576" i="5"/>
  <c r="F501" i="5"/>
  <c r="G20" i="5"/>
  <c r="E411" i="5"/>
  <c r="F191" i="5"/>
  <c r="E441" i="5"/>
  <c r="G557" i="5"/>
  <c r="E514" i="5"/>
  <c r="G479" i="5"/>
  <c r="F632" i="5"/>
  <c r="E113" i="5"/>
  <c r="F515" i="5"/>
  <c r="E616" i="5"/>
  <c r="F103" i="5"/>
  <c r="E510" i="5"/>
  <c r="G22" i="5"/>
  <c r="G626" i="5"/>
  <c r="G328" i="5"/>
  <c r="E180" i="5"/>
  <c r="E611" i="5"/>
  <c r="F535" i="5"/>
  <c r="G165" i="5"/>
  <c r="G631" i="5"/>
  <c r="E764" i="5"/>
  <c r="G576" i="5"/>
  <c r="F637" i="5"/>
  <c r="E76" i="5"/>
  <c r="G151" i="5"/>
  <c r="E73" i="5"/>
  <c r="E63" i="5"/>
  <c r="E151" i="5"/>
  <c r="F332" i="5"/>
  <c r="G472" i="5"/>
  <c r="G305" i="5"/>
  <c r="G517" i="5"/>
  <c r="G193" i="5"/>
  <c r="F107" i="5"/>
  <c r="G367" i="5"/>
  <c r="G569" i="5"/>
  <c r="F495" i="5"/>
  <c r="E233" i="5"/>
  <c r="G504" i="5"/>
  <c r="F361" i="5"/>
  <c r="G736" i="5"/>
  <c r="F65" i="5"/>
  <c r="G454" i="5"/>
  <c r="F288" i="5"/>
  <c r="F176" i="5"/>
  <c r="E602" i="5"/>
  <c r="F399" i="5"/>
  <c r="E565" i="5"/>
  <c r="E678" i="5"/>
  <c r="F32" i="5"/>
  <c r="G194" i="5"/>
  <c r="G361" i="5"/>
  <c r="G197" i="5"/>
  <c r="F257" i="5"/>
  <c r="E229" i="5"/>
  <c r="F342" i="5"/>
  <c r="F644" i="5"/>
  <c r="F447" i="5"/>
  <c r="G191" i="5"/>
  <c r="E6" i="5"/>
  <c r="E33" i="5"/>
  <c r="F54" i="5"/>
  <c r="E132" i="5"/>
  <c r="G113" i="5"/>
  <c r="E529" i="5"/>
  <c r="F682" i="5"/>
  <c r="G156" i="5"/>
  <c r="G707" i="5"/>
  <c r="F356" i="5"/>
  <c r="E70" i="5"/>
  <c r="F602" i="5"/>
  <c r="E404" i="5"/>
  <c r="E574" i="5"/>
  <c r="E48" i="5"/>
  <c r="F413" i="5"/>
  <c r="F284" i="5"/>
  <c r="F248" i="5"/>
  <c r="F374" i="5"/>
  <c r="E505" i="5"/>
  <c r="G358" i="5"/>
  <c r="G143" i="5"/>
  <c r="G719" i="5"/>
  <c r="F726" i="5"/>
  <c r="F733" i="5"/>
  <c r="E357" i="5"/>
  <c r="G232" i="5"/>
  <c r="E106" i="5"/>
  <c r="F514" i="5"/>
  <c r="G331" i="5"/>
  <c r="F472" i="5"/>
  <c r="F388" i="5"/>
  <c r="E450" i="5"/>
  <c r="G203" i="5"/>
  <c r="E600" i="5"/>
  <c r="G608" i="5"/>
  <c r="E586" i="5"/>
  <c r="E487" i="5"/>
  <c r="F657" i="5"/>
  <c r="G738" i="5"/>
  <c r="E406" i="5"/>
  <c r="G68" i="5"/>
  <c r="F533" i="5"/>
  <c r="G420" i="5"/>
  <c r="G60" i="5"/>
  <c r="G398" i="5"/>
  <c r="E753" i="5"/>
  <c r="F489" i="5"/>
  <c r="E28" i="5"/>
  <c r="G43" i="5"/>
  <c r="E645" i="5"/>
  <c r="F400" i="5"/>
  <c r="G180" i="5"/>
  <c r="F430" i="5"/>
  <c r="E547" i="5"/>
  <c r="F471" i="5"/>
  <c r="E453" i="5"/>
  <c r="G621" i="5"/>
  <c r="F572" i="5"/>
  <c r="F721" i="5"/>
  <c r="F467" i="5"/>
  <c r="F79" i="5"/>
  <c r="F626" i="5"/>
  <c r="F71" i="5"/>
  <c r="E382" i="5"/>
  <c r="E642" i="5"/>
  <c r="F74" i="5"/>
  <c r="E343" i="5"/>
  <c r="F307" i="5"/>
  <c r="F169" i="5"/>
  <c r="E431" i="5"/>
  <c r="F219" i="5"/>
  <c r="E621" i="5"/>
  <c r="G742" i="5"/>
  <c r="E90" i="5"/>
  <c r="F742" i="5"/>
  <c r="F621" i="5"/>
  <c r="G780" i="5"/>
  <c r="G5" i="5"/>
  <c r="F464" i="5"/>
  <c r="E202" i="5"/>
  <c r="G451" i="5"/>
  <c r="E495" i="5"/>
  <c r="F510" i="5"/>
  <c r="E771" i="5"/>
  <c r="F278" i="5"/>
  <c r="F465" i="5"/>
  <c r="E89" i="5"/>
  <c r="E773" i="5"/>
  <c r="G642" i="5"/>
  <c r="E335" i="5"/>
  <c r="G51" i="5"/>
  <c r="F265" i="5"/>
  <c r="F252" i="5"/>
  <c r="G463" i="5"/>
  <c r="G418" i="5"/>
  <c r="F701" i="5"/>
  <c r="G273" i="5"/>
  <c r="E15" i="5"/>
  <c r="G46" i="5"/>
  <c r="G244" i="5"/>
  <c r="F702" i="5"/>
  <c r="G562" i="5"/>
  <c r="E403" i="5"/>
  <c r="F595" i="5"/>
  <c r="E702" i="5"/>
  <c r="G84" i="5"/>
  <c r="F466" i="5"/>
  <c r="G246" i="5"/>
  <c r="E241" i="5"/>
  <c r="E546" i="5"/>
  <c r="F727" i="5"/>
  <c r="F68" i="5"/>
  <c r="G3" i="5"/>
  <c r="G406" i="5"/>
  <c r="E477" i="5"/>
  <c r="G298" i="5"/>
  <c r="G204" i="5"/>
  <c r="F454" i="5"/>
  <c r="F618" i="5"/>
  <c r="E666" i="5"/>
  <c r="G588" i="5"/>
  <c r="E770" i="5"/>
  <c r="G732" i="5"/>
  <c r="F699" i="5"/>
  <c r="G61" i="5"/>
  <c r="F695" i="5"/>
  <c r="F143" i="5"/>
  <c r="E352" i="5"/>
  <c r="E142" i="5"/>
  <c r="F672" i="5"/>
  <c r="E573" i="5"/>
  <c r="F740" i="5"/>
  <c r="E701" i="5"/>
  <c r="E466" i="5"/>
  <c r="F292" i="5"/>
  <c r="E784" i="5"/>
  <c r="G701" i="5"/>
  <c r="E783" i="5"/>
  <c r="G6" i="5"/>
  <c r="F5" i="5"/>
  <c r="F614" i="5"/>
  <c r="G134" i="5"/>
  <c r="E189" i="5"/>
  <c r="F375" i="5"/>
  <c r="E288" i="5"/>
  <c r="F186" i="5"/>
  <c r="E704" i="5"/>
  <c r="E596" i="5"/>
  <c r="F660" i="5"/>
  <c r="E548" i="5"/>
  <c r="E540" i="5"/>
  <c r="F630" i="5"/>
  <c r="E475" i="5"/>
  <c r="F339" i="5"/>
  <c r="G212" i="5"/>
  <c r="G190" i="5"/>
  <c r="F462" i="5"/>
  <c r="F182" i="5"/>
  <c r="F516" i="5"/>
  <c r="F599" i="5"/>
  <c r="G607" i="5"/>
  <c r="E251" i="5"/>
  <c r="E392" i="5"/>
  <c r="F642" i="5"/>
  <c r="G403" i="5"/>
  <c r="F784" i="5"/>
  <c r="E508" i="5"/>
  <c r="G649" i="5"/>
  <c r="G10" i="5"/>
  <c r="G658" i="5"/>
  <c r="F363" i="5"/>
  <c r="F38" i="5"/>
  <c r="F685" i="5"/>
  <c r="F617" i="5"/>
  <c r="F469" i="5"/>
  <c r="E97" i="5"/>
  <c r="E283" i="5"/>
  <c r="E426" i="5"/>
  <c r="F496" i="5"/>
  <c r="F494" i="5"/>
  <c r="E559" i="5"/>
  <c r="E410" i="5"/>
  <c r="E462" i="5"/>
  <c r="G147" i="5"/>
  <c r="G640" i="5"/>
  <c r="E646" i="5"/>
  <c r="F756" i="5"/>
  <c r="F563" i="5"/>
  <c r="E428" i="5"/>
  <c r="F681" i="5"/>
  <c r="F24" i="5"/>
  <c r="G753" i="5"/>
  <c r="G485" i="5"/>
  <c r="G129" i="5"/>
  <c r="F223" i="5"/>
  <c r="G254" i="5"/>
  <c r="G483" i="5"/>
  <c r="G267" i="5"/>
  <c r="E527" i="5"/>
  <c r="G659" i="5"/>
  <c r="F138" i="5"/>
  <c r="G304" i="5"/>
  <c r="G434" i="5"/>
  <c r="F352" i="5"/>
  <c r="G435" i="5"/>
  <c r="E221" i="5"/>
  <c r="G550" i="5"/>
  <c r="F680" i="5"/>
  <c r="G8" i="5"/>
  <c r="E680" i="5"/>
  <c r="G424" i="5"/>
  <c r="E81" i="5"/>
  <c r="G770" i="5"/>
  <c r="E295" i="5"/>
  <c r="F773" i="5"/>
  <c r="F77" i="5"/>
  <c r="G498" i="5"/>
  <c r="E34" i="5"/>
  <c r="E234" i="5"/>
  <c r="G291" i="5"/>
  <c r="F670" i="5"/>
  <c r="F477" i="5"/>
  <c r="G624" i="5"/>
  <c r="G34" i="5"/>
  <c r="E688" i="5"/>
  <c r="E388" i="5"/>
  <c r="E524" i="5"/>
  <c r="F528" i="5"/>
  <c r="E215" i="5"/>
  <c r="F255" i="5"/>
  <c r="E118" i="5"/>
  <c r="G106" i="5"/>
  <c r="F378" i="5"/>
  <c r="F580" i="5"/>
  <c r="E713" i="5"/>
  <c r="E538" i="5"/>
  <c r="E391" i="5"/>
  <c r="F673" i="5"/>
  <c r="E526" i="5"/>
  <c r="G460" i="5"/>
  <c r="G430" i="5"/>
  <c r="G688" i="5"/>
  <c r="E532" i="5"/>
  <c r="G240" i="5"/>
  <c r="F36" i="5"/>
  <c r="F628" i="5"/>
  <c r="G98" i="5"/>
  <c r="G486" i="5"/>
  <c r="E750" i="5"/>
  <c r="F577" i="5"/>
  <c r="E20" i="5"/>
  <c r="G726" i="5"/>
  <c r="G214" i="5"/>
  <c r="E117" i="5"/>
  <c r="E583" i="5"/>
  <c r="G689" i="5"/>
  <c r="F635" i="5"/>
  <c r="F96" i="5"/>
  <c r="G448" i="5"/>
  <c r="E622" i="5"/>
  <c r="G343" i="5"/>
  <c r="F612" i="5"/>
  <c r="G752" i="5"/>
  <c r="F93" i="5"/>
  <c r="G33" i="5"/>
  <c r="G87" i="5"/>
  <c r="F710" i="5"/>
  <c r="F89" i="5"/>
  <c r="E635" i="5"/>
  <c r="G103" i="5"/>
  <c r="E539" i="5"/>
  <c r="F236" i="5"/>
  <c r="E266" i="5"/>
  <c r="F139" i="5"/>
  <c r="F117" i="5"/>
  <c r="E389" i="5"/>
  <c r="E591" i="5"/>
  <c r="G755" i="5"/>
  <c r="F559" i="5"/>
  <c r="G561" i="5"/>
  <c r="G758" i="5"/>
  <c r="G568" i="5"/>
  <c r="E482" i="5"/>
  <c r="G445" i="5"/>
  <c r="E710" i="5"/>
  <c r="F615" i="5"/>
  <c r="E274" i="5"/>
  <c r="E47" i="5"/>
  <c r="E659" i="5"/>
  <c r="G12" i="5"/>
  <c r="E614" i="5"/>
  <c r="G41" i="5"/>
  <c r="E16" i="5"/>
  <c r="G380" i="5"/>
  <c r="F629" i="5"/>
  <c r="E120" i="5"/>
  <c r="E381" i="5"/>
  <c r="G243" i="5"/>
  <c r="E175" i="5"/>
  <c r="F112" i="5"/>
  <c r="F119" i="5"/>
  <c r="G601" i="5"/>
  <c r="E777" i="5"/>
  <c r="G580" i="5"/>
  <c r="F604" i="5"/>
  <c r="E311" i="5"/>
  <c r="F611" i="5"/>
  <c r="G524" i="5"/>
  <c r="F731" i="5"/>
  <c r="G652" i="5"/>
  <c r="G57" i="5"/>
  <c r="F11" i="5"/>
  <c r="E580" i="5"/>
  <c r="E152" i="5"/>
  <c r="E194" i="5"/>
  <c r="E623" i="5"/>
  <c r="F631" i="5"/>
  <c r="G89" i="5"/>
  <c r="G489" i="5"/>
  <c r="E96" i="5"/>
  <c r="E88" i="5"/>
  <c r="G189" i="5"/>
  <c r="F574" i="5"/>
  <c r="E216" i="5"/>
  <c r="G487" i="5"/>
  <c r="F372" i="5"/>
  <c r="F309" i="5"/>
  <c r="E219" i="5"/>
  <c r="F215" i="5"/>
  <c r="E110" i="5"/>
  <c r="E497" i="5"/>
  <c r="F336" i="5"/>
  <c r="E629" i="5"/>
  <c r="E393" i="5"/>
  <c r="F687" i="5"/>
  <c r="E687" i="5"/>
  <c r="E610" i="5"/>
  <c r="G615" i="5"/>
  <c r="F67" i="5"/>
  <c r="F787" i="5"/>
  <c r="E355" i="5"/>
  <c r="F100" i="5"/>
  <c r="F775" i="5"/>
  <c r="E8" i="5"/>
  <c r="E742" i="5"/>
  <c r="F43" i="5"/>
  <c r="E86" i="5"/>
  <c r="G667" i="5"/>
  <c r="E284" i="5"/>
  <c r="G226" i="5"/>
  <c r="F498" i="5"/>
  <c r="G425" i="5"/>
  <c r="E320" i="5"/>
  <c r="F240" i="5"/>
  <c r="F247" i="5"/>
  <c r="G120" i="5"/>
  <c r="F518" i="5"/>
  <c r="G629" i="5"/>
  <c r="G639" i="5"/>
  <c r="F426" i="5"/>
  <c r="E240" i="5"/>
  <c r="G697" i="5"/>
  <c r="F654" i="5"/>
  <c r="E677" i="5"/>
  <c r="E64" i="5"/>
  <c r="E269" i="5"/>
  <c r="G404" i="5"/>
  <c r="G78" i="5"/>
  <c r="E141" i="5"/>
  <c r="E123" i="5"/>
  <c r="F763" i="5"/>
  <c r="E98" i="5"/>
  <c r="F616" i="5"/>
  <c r="F645" i="5"/>
  <c r="G751" i="5"/>
  <c r="E115" i="5"/>
  <c r="F175" i="5"/>
  <c r="F153" i="5"/>
  <c r="G521" i="5"/>
  <c r="G163" i="5"/>
  <c r="E199" i="5"/>
  <c r="E179" i="5"/>
  <c r="G152" i="5"/>
  <c r="E561" i="5"/>
  <c r="F704" i="5"/>
  <c r="F154" i="5"/>
  <c r="E597" i="5"/>
  <c r="F263" i="5"/>
  <c r="E751" i="5"/>
  <c r="E761" i="5"/>
  <c r="E133" i="5"/>
  <c r="G23" i="5"/>
  <c r="G442" i="5"/>
  <c r="F527" i="5"/>
  <c r="G80" i="5"/>
  <c r="G410" i="5"/>
  <c r="G532" i="5"/>
  <c r="G17" i="5"/>
  <c r="F12" i="5"/>
  <c r="G42" i="5"/>
  <c r="E95" i="5"/>
  <c r="F729" i="5"/>
  <c r="F239" i="5"/>
  <c r="E228" i="5"/>
  <c r="E575" i="5"/>
  <c r="G373" i="5"/>
  <c r="E300" i="5"/>
  <c r="E290" i="5"/>
  <c r="E238" i="5"/>
  <c r="E593" i="5"/>
  <c r="E715" i="5"/>
  <c r="F499" i="5"/>
  <c r="E149" i="5"/>
  <c r="F168" i="5"/>
  <c r="G761" i="5"/>
  <c r="G771" i="5"/>
  <c r="F451" i="5"/>
  <c r="E45" i="5"/>
  <c r="G783" i="5"/>
  <c r="E625" i="5"/>
  <c r="F91" i="5"/>
  <c r="F453" i="5"/>
  <c r="E594" i="5"/>
  <c r="G49" i="5"/>
  <c r="G82" i="5"/>
  <c r="G754" i="5"/>
  <c r="G64" i="5"/>
  <c r="F122" i="5"/>
  <c r="E250" i="5"/>
  <c r="G238" i="5"/>
  <c r="G585" i="5"/>
  <c r="F384" i="5"/>
  <c r="E332" i="5"/>
  <c r="G300" i="5"/>
  <c r="F160" i="5"/>
  <c r="G603" i="5"/>
  <c r="G725" i="5"/>
  <c r="G520" i="5"/>
  <c r="F583" i="5"/>
  <c r="G253" i="5"/>
  <c r="F772" i="5"/>
  <c r="F782" i="5"/>
  <c r="G512" i="5"/>
  <c r="E77" i="5"/>
  <c r="F385" i="5"/>
  <c r="G655" i="5"/>
  <c r="E102" i="5"/>
  <c r="G618" i="5"/>
  <c r="E689" i="5"/>
  <c r="F60" i="5"/>
  <c r="F29" i="5"/>
  <c r="E686" i="5"/>
  <c r="F86" i="5"/>
  <c r="F493" i="5"/>
  <c r="F120" i="5"/>
  <c r="F249" i="5"/>
  <c r="E209" i="5"/>
  <c r="G405" i="5"/>
  <c r="G342" i="5"/>
  <c r="F311" i="5"/>
  <c r="G181" i="5"/>
  <c r="E208" i="5"/>
  <c r="E747" i="5"/>
  <c r="E306" i="5"/>
  <c r="F41" i="5"/>
  <c r="G141" i="5"/>
  <c r="F123" i="5"/>
  <c r="G251" i="5"/>
  <c r="F416" i="5"/>
  <c r="F126" i="5"/>
  <c r="E322" i="5"/>
  <c r="E203" i="5"/>
  <c r="F144" i="5"/>
  <c r="G757" i="5"/>
  <c r="G584" i="5"/>
  <c r="E641" i="5"/>
  <c r="F520" i="5"/>
  <c r="E351" i="5"/>
  <c r="E315" i="5"/>
  <c r="G617" i="5"/>
  <c r="E24" i="5"/>
  <c r="F513" i="5"/>
  <c r="E741" i="5"/>
  <c r="G14" i="5"/>
  <c r="E253" i="5"/>
  <c r="F774" i="5"/>
  <c r="E29" i="5"/>
  <c r="F540" i="5"/>
  <c r="E4" i="5"/>
  <c r="G499" i="5"/>
  <c r="G289" i="5"/>
  <c r="F764" i="5"/>
  <c r="E396" i="5"/>
  <c r="E61" i="5"/>
  <c r="F146" i="5"/>
  <c r="E558" i="5"/>
  <c r="G740" i="5"/>
  <c r="G205" i="5"/>
  <c r="F480" i="5"/>
  <c r="G312" i="5"/>
  <c r="F689" i="5"/>
  <c r="G683" i="5"/>
  <c r="E422" i="5"/>
  <c r="E13" i="5"/>
  <c r="G135" i="5"/>
  <c r="F636" i="5"/>
  <c r="E554" i="5"/>
  <c r="E512" i="5"/>
  <c r="E227" i="5"/>
  <c r="G363" i="5"/>
  <c r="F116" i="5"/>
  <c r="F753" i="5"/>
  <c r="E452" i="5"/>
  <c r="E163" i="5"/>
  <c r="G144" i="5"/>
  <c r="G283" i="5"/>
  <c r="E427" i="5"/>
  <c r="E169" i="5"/>
  <c r="G332" i="5"/>
  <c r="F224" i="5"/>
  <c r="G229" i="5"/>
  <c r="E779" i="5"/>
  <c r="F620" i="5"/>
  <c r="G651" i="5"/>
  <c r="G431" i="5"/>
  <c r="F525" i="5"/>
  <c r="F379" i="5"/>
  <c r="G733" i="5"/>
  <c r="G9" i="5"/>
  <c r="E556" i="5"/>
  <c r="E743" i="5"/>
  <c r="G47" i="5"/>
  <c r="F348" i="5"/>
  <c r="G277" i="5"/>
  <c r="G39" i="5"/>
  <c r="E205" i="5"/>
  <c r="G125" i="5"/>
  <c r="E430" i="5"/>
  <c r="G574" i="5"/>
  <c r="F184" i="5"/>
  <c r="F155" i="5"/>
  <c r="E305" i="5"/>
  <c r="G469" i="5"/>
  <c r="G211" i="5"/>
  <c r="F343" i="5"/>
  <c r="G245" i="5"/>
  <c r="E294" i="5"/>
  <c r="E668" i="5"/>
  <c r="E631" i="5"/>
  <c r="F662" i="5"/>
  <c r="E489" i="5"/>
  <c r="F425" i="5"/>
  <c r="G400" i="5"/>
  <c r="E10" i="5"/>
  <c r="F691" i="5"/>
  <c r="G750" i="5"/>
  <c r="F58" i="5"/>
  <c r="G488" i="5"/>
  <c r="G495" i="5"/>
  <c r="E166" i="5"/>
  <c r="G347" i="5"/>
  <c r="F254" i="5"/>
  <c r="E354" i="5"/>
  <c r="G294" i="5"/>
  <c r="E695" i="5"/>
  <c r="F562" i="5"/>
  <c r="F553" i="5"/>
  <c r="E173" i="5"/>
  <c r="G712" i="5"/>
  <c r="F90" i="5"/>
  <c r="G438" i="5"/>
  <c r="G71" i="5"/>
  <c r="E275" i="5"/>
  <c r="G669" i="5"/>
  <c r="E124" i="5"/>
  <c r="E523" i="5"/>
  <c r="E285" i="5"/>
  <c r="F323" i="5"/>
  <c r="F337" i="5"/>
  <c r="F748" i="5"/>
  <c r="G30" i="5"/>
  <c r="F534" i="5"/>
  <c r="E210" i="5"/>
  <c r="F231" i="5"/>
  <c r="G316" i="5"/>
  <c r="G114" i="5"/>
  <c r="F232" i="5"/>
  <c r="E211" i="5"/>
  <c r="E499" i="5"/>
  <c r="G573" i="5"/>
  <c r="G769" i="5"/>
  <c r="E60" i="5"/>
  <c r="F780" i="5"/>
  <c r="G215" i="5"/>
  <c r="G386" i="5"/>
  <c r="F88" i="5"/>
  <c r="E374" i="5"/>
  <c r="F698" i="5"/>
  <c r="F408" i="5"/>
  <c r="G371" i="5"/>
  <c r="E334" i="5"/>
  <c r="G467" i="5"/>
  <c r="E667" i="5"/>
  <c r="F23" i="5"/>
  <c r="E109" i="5"/>
  <c r="F147" i="5"/>
  <c r="G218" i="5"/>
  <c r="G38" i="5"/>
  <c r="F135" i="5"/>
  <c r="F101" i="5"/>
  <c r="E438" i="5"/>
  <c r="G178" i="5"/>
  <c r="E759" i="5"/>
  <c r="F538" i="5"/>
  <c r="F189" i="5"/>
  <c r="F302" i="5"/>
  <c r="G533" i="5"/>
  <c r="F442" i="5"/>
  <c r="E9" i="5"/>
  <c r="F350" i="5"/>
  <c r="E67" i="5"/>
  <c r="G188" i="5"/>
  <c r="F386" i="5"/>
  <c r="G77" i="5"/>
  <c r="G612" i="5"/>
  <c r="G407" i="5"/>
  <c r="G747" i="5"/>
  <c r="G384" i="5"/>
  <c r="F418" i="5"/>
  <c r="E99" i="5"/>
  <c r="F306" i="5"/>
  <c r="G775" i="5"/>
  <c r="F165" i="5"/>
  <c r="F785" i="5"/>
  <c r="F167" i="5"/>
  <c r="G29" i="5"/>
  <c r="F345" i="5"/>
  <c r="E654" i="5"/>
  <c r="E336" i="5"/>
  <c r="F133" i="5"/>
  <c r="E158" i="5"/>
  <c r="E480" i="5"/>
  <c r="G168" i="5"/>
  <c r="G522" i="5"/>
  <c r="E660" i="5"/>
  <c r="G74" i="5"/>
  <c r="G481" i="5"/>
  <c r="E502" i="5"/>
  <c r="F537" i="5"/>
  <c r="G666" i="5"/>
  <c r="E245" i="5"/>
  <c r="F665" i="5"/>
  <c r="F488" i="5"/>
  <c r="F556" i="5"/>
  <c r="F523" i="5"/>
  <c r="E682" i="5"/>
  <c r="E460" i="5"/>
  <c r="E599" i="5"/>
  <c r="F610" i="5"/>
  <c r="E730" i="5"/>
  <c r="F659" i="5"/>
  <c r="G609" i="5"/>
  <c r="G119" i="5"/>
  <c r="E522" i="5"/>
  <c r="G265" i="5"/>
  <c r="F344" i="5"/>
  <c r="F405" i="5"/>
  <c r="F671" i="5"/>
  <c r="G351" i="5"/>
  <c r="G500" i="5"/>
  <c r="F261" i="5"/>
  <c r="E738" i="5"/>
  <c r="E387" i="5"/>
  <c r="G506" i="5"/>
  <c r="G397" i="5"/>
  <c r="E690" i="5"/>
  <c r="F584" i="5"/>
  <c r="F669" i="5"/>
  <c r="F365" i="5"/>
  <c r="G344" i="5"/>
  <c r="E230" i="5"/>
  <c r="F609" i="5"/>
  <c r="G53" i="5"/>
  <c r="F313" i="5"/>
  <c r="F272" i="5"/>
  <c r="G632" i="5"/>
  <c r="F84" i="5"/>
  <c r="E356" i="5"/>
  <c r="G677" i="5"/>
  <c r="G696" i="5"/>
  <c r="F688" i="5"/>
  <c r="F325" i="5"/>
  <c r="F752" i="5"/>
  <c r="E691" i="5"/>
  <c r="E271" i="5"/>
  <c r="F190" i="5"/>
  <c r="G69" i="5"/>
  <c r="E317" i="5"/>
  <c r="F380" i="5"/>
  <c r="F142" i="5"/>
  <c r="G465" i="5"/>
  <c r="E536" i="5"/>
  <c r="F461" i="5"/>
  <c r="F115" i="5"/>
  <c r="F606" i="5"/>
  <c r="E684" i="5"/>
  <c r="E584" i="5"/>
  <c r="G247" i="5"/>
  <c r="E809" i="5"/>
  <c r="N809" i="5" s="1" a="1"/>
  <c r="F809" i="5"/>
  <c r="O809" i="5" s="1" a="1"/>
  <c r="G809" i="5"/>
  <c r="F801" i="5"/>
  <c r="E801" i="5"/>
  <c r="E800" i="5"/>
  <c r="F800" i="5"/>
  <c r="G800" i="5"/>
  <c r="G801" i="5"/>
  <c r="F802" i="5"/>
  <c r="G802" i="5"/>
  <c r="E803" i="5"/>
  <c r="F803" i="5"/>
  <c r="G803" i="5"/>
  <c r="E802" i="5"/>
  <c r="E804" i="5"/>
  <c r="F804" i="5"/>
  <c r="G804" i="5"/>
  <c r="E805" i="5"/>
  <c r="F805" i="5"/>
  <c r="G805" i="5"/>
  <c r="E806" i="5"/>
  <c r="F806" i="5"/>
  <c r="G806" i="5"/>
  <c r="E807" i="5"/>
  <c r="F807" i="5"/>
  <c r="G807" i="5"/>
  <c r="E798" i="5"/>
  <c r="F798" i="5"/>
  <c r="G798" i="5"/>
  <c r="O809" i="5" l="1"/>
  <c r="N809" i="5"/>
  <c r="N4" i="5"/>
  <c r="M4" i="4"/>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4" i="2"/>
  <c r="F15" i="2"/>
  <c r="F16" i="2"/>
  <c r="F17" i="2"/>
  <c r="F18" i="2"/>
  <c r="F19" i="2"/>
  <c r="E3" i="5"/>
  <c r="L2" i="3" l="1"/>
  <c r="M2" i="1"/>
  <c r="H503" i="3" l="1"/>
  <c r="H511" i="3"/>
  <c r="H519" i="3"/>
  <c r="H527" i="3"/>
  <c r="H535" i="3"/>
  <c r="H543" i="3"/>
  <c r="H551" i="3"/>
  <c r="H559" i="3"/>
  <c r="H567" i="3"/>
  <c r="H506" i="3"/>
  <c r="H514" i="3"/>
  <c r="H522" i="3"/>
  <c r="H530" i="3"/>
  <c r="H538" i="3"/>
  <c r="H546" i="3"/>
  <c r="H554" i="3"/>
  <c r="H562" i="3"/>
  <c r="H570" i="3"/>
  <c r="H578" i="3"/>
  <c r="H586" i="3"/>
  <c r="H594" i="3"/>
  <c r="H602" i="3"/>
  <c r="H610" i="3"/>
  <c r="H618" i="3"/>
  <c r="H626" i="3"/>
  <c r="H634" i="3"/>
  <c r="H642" i="3"/>
  <c r="H650" i="3"/>
  <c r="H658" i="3"/>
  <c r="H666" i="3"/>
  <c r="H674" i="3"/>
  <c r="H682" i="3"/>
  <c r="H690" i="3"/>
  <c r="H698" i="3"/>
  <c r="H706" i="3"/>
  <c r="H501" i="3"/>
  <c r="H509" i="3"/>
  <c r="H517" i="3"/>
  <c r="H525" i="3"/>
  <c r="H533" i="3"/>
  <c r="H541" i="3"/>
  <c r="H549" i="3"/>
  <c r="H557" i="3"/>
  <c r="H565" i="3"/>
  <c r="H573" i="3"/>
  <c r="H581" i="3"/>
  <c r="H589" i="3"/>
  <c r="H597" i="3"/>
  <c r="H605" i="3"/>
  <c r="H613" i="3"/>
  <c r="H504" i="3"/>
  <c r="H512" i="3"/>
  <c r="H520" i="3"/>
  <c r="H528" i="3"/>
  <c r="H536" i="3"/>
  <c r="H544" i="3"/>
  <c r="H552" i="3"/>
  <c r="H560" i="3"/>
  <c r="H568" i="3"/>
  <c r="H576" i="3"/>
  <c r="H584" i="3"/>
  <c r="H592" i="3"/>
  <c r="H600" i="3"/>
  <c r="H608" i="3"/>
  <c r="H616" i="3"/>
  <c r="H624" i="3"/>
  <c r="H632" i="3"/>
  <c r="H640" i="3"/>
  <c r="H648" i="3"/>
  <c r="H656" i="3"/>
  <c r="H664" i="3"/>
  <c r="H672" i="3"/>
  <c r="H680" i="3"/>
  <c r="H688" i="3"/>
  <c r="H696" i="3"/>
  <c r="H704" i="3"/>
  <c r="H712" i="3"/>
  <c r="H720" i="3"/>
  <c r="H505" i="3"/>
  <c r="H513" i="3"/>
  <c r="H521" i="3"/>
  <c r="H529" i="3"/>
  <c r="H537" i="3"/>
  <c r="H545" i="3"/>
  <c r="H553" i="3"/>
  <c r="H561" i="3"/>
  <c r="H569" i="3"/>
  <c r="H577" i="3"/>
  <c r="H585" i="3"/>
  <c r="H593" i="3"/>
  <c r="H601" i="3"/>
  <c r="H609" i="3"/>
  <c r="H617" i="3"/>
  <c r="H625" i="3"/>
  <c r="H633" i="3"/>
  <c r="H641" i="3"/>
  <c r="H649" i="3"/>
  <c r="H657" i="3"/>
  <c r="H665" i="3"/>
  <c r="H673" i="3"/>
  <c r="H681" i="3"/>
  <c r="H689" i="3"/>
  <c r="H697" i="3"/>
  <c r="H705" i="3"/>
  <c r="H713" i="3"/>
  <c r="H721" i="3"/>
  <c r="H508" i="3"/>
  <c r="H523" i="3"/>
  <c r="H558" i="3"/>
  <c r="H582" i="3"/>
  <c r="H598" i="3"/>
  <c r="H614" i="3"/>
  <c r="H619" i="3"/>
  <c r="H623" i="3"/>
  <c r="H636" i="3"/>
  <c r="H653" i="3"/>
  <c r="H670" i="3"/>
  <c r="H683" i="3"/>
  <c r="H687" i="3"/>
  <c r="H700" i="3"/>
  <c r="H716" i="3"/>
  <c r="H723" i="3"/>
  <c r="H732" i="3"/>
  <c r="H740" i="3"/>
  <c r="H748" i="3"/>
  <c r="H756" i="3"/>
  <c r="H764" i="3"/>
  <c r="H772" i="3"/>
  <c r="H780" i="3"/>
  <c r="H788" i="3"/>
  <c r="H502" i="3"/>
  <c r="H516" i="3"/>
  <c r="H531" i="3"/>
  <c r="H566" i="3"/>
  <c r="H572" i="3"/>
  <c r="H588" i="3"/>
  <c r="H604" i="3"/>
  <c r="H628" i="3"/>
  <c r="H645" i="3"/>
  <c r="H662" i="3"/>
  <c r="H675" i="3"/>
  <c r="H679" i="3"/>
  <c r="H692" i="3"/>
  <c r="H709" i="3"/>
  <c r="H727" i="3"/>
  <c r="H735" i="3"/>
  <c r="H743" i="3"/>
  <c r="H751" i="3"/>
  <c r="H759" i="3"/>
  <c r="H767" i="3"/>
  <c r="H775" i="3"/>
  <c r="H783" i="3"/>
  <c r="H510" i="3"/>
  <c r="H524" i="3"/>
  <c r="H539" i="3"/>
  <c r="H583" i="3"/>
  <c r="H599" i="3"/>
  <c r="H615" i="3"/>
  <c r="H620" i="3"/>
  <c r="H637" i="3"/>
  <c r="H654" i="3"/>
  <c r="H667" i="3"/>
  <c r="H671" i="3"/>
  <c r="H684" i="3"/>
  <c r="H701" i="3"/>
  <c r="H724" i="3"/>
  <c r="H730" i="3"/>
  <c r="H738" i="3"/>
  <c r="H746" i="3"/>
  <c r="H754" i="3"/>
  <c r="H762" i="3"/>
  <c r="H770" i="3"/>
  <c r="H778" i="3"/>
  <c r="H786" i="3"/>
  <c r="H518" i="3"/>
  <c r="H532" i="3"/>
  <c r="H547" i="3"/>
  <c r="H579" i="3"/>
  <c r="H595" i="3"/>
  <c r="H611" i="3"/>
  <c r="H629" i="3"/>
  <c r="H646" i="3"/>
  <c r="H659" i="3"/>
  <c r="H663" i="3"/>
  <c r="H676" i="3"/>
  <c r="H693" i="3"/>
  <c r="H710" i="3"/>
  <c r="H717" i="3"/>
  <c r="H733" i="3"/>
  <c r="H741" i="3"/>
  <c r="H749" i="3"/>
  <c r="H757" i="3"/>
  <c r="H765" i="3"/>
  <c r="H773" i="3"/>
  <c r="H781" i="3"/>
  <c r="H526" i="3"/>
  <c r="H540" i="3"/>
  <c r="H555" i="3"/>
  <c r="H574" i="3"/>
  <c r="H590" i="3"/>
  <c r="H606" i="3"/>
  <c r="H621" i="3"/>
  <c r="H638" i="3"/>
  <c r="H651" i="3"/>
  <c r="H655" i="3"/>
  <c r="H668" i="3"/>
  <c r="H685" i="3"/>
  <c r="H702" i="3"/>
  <c r="H714" i="3"/>
  <c r="H728" i="3"/>
  <c r="H736" i="3"/>
  <c r="H744" i="3"/>
  <c r="H752" i="3"/>
  <c r="H760" i="3"/>
  <c r="H768" i="3"/>
  <c r="H776" i="3"/>
  <c r="H784" i="3"/>
  <c r="H534" i="3"/>
  <c r="H548" i="3"/>
  <c r="H563" i="3"/>
  <c r="H580" i="3"/>
  <c r="H596" i="3"/>
  <c r="H612" i="3"/>
  <c r="H630" i="3"/>
  <c r="H643" i="3"/>
  <c r="H647" i="3"/>
  <c r="H660" i="3"/>
  <c r="H677" i="3"/>
  <c r="H694" i="3"/>
  <c r="H707" i="3"/>
  <c r="H711" i="3"/>
  <c r="H718" i="3"/>
  <c r="H725" i="3"/>
  <c r="H731" i="3"/>
  <c r="H739" i="3"/>
  <c r="H747" i="3"/>
  <c r="H755" i="3"/>
  <c r="H763" i="3"/>
  <c r="H771" i="3"/>
  <c r="H779" i="3"/>
  <c r="H787" i="3"/>
  <c r="H507" i="3"/>
  <c r="H542" i="3"/>
  <c r="H556" i="3"/>
  <c r="H575" i="3"/>
  <c r="H591" i="3"/>
  <c r="H607" i="3"/>
  <c r="H622" i="3"/>
  <c r="H635" i="3"/>
  <c r="H639" i="3"/>
  <c r="H652" i="3"/>
  <c r="H669" i="3"/>
  <c r="H686" i="3"/>
  <c r="H699" i="3"/>
  <c r="H703" i="3"/>
  <c r="H715" i="3"/>
  <c r="H722" i="3"/>
  <c r="H734" i="3"/>
  <c r="H742" i="3"/>
  <c r="H750" i="3"/>
  <c r="H758" i="3"/>
  <c r="H766" i="3"/>
  <c r="H774" i="3"/>
  <c r="H782" i="3"/>
  <c r="H515" i="3"/>
  <c r="H550" i="3"/>
  <c r="H564" i="3"/>
  <c r="H571" i="3"/>
  <c r="H587" i="3"/>
  <c r="H603" i="3"/>
  <c r="H627" i="3"/>
  <c r="H631" i="3"/>
  <c r="H644" i="3"/>
  <c r="H661" i="3"/>
  <c r="H678" i="3"/>
  <c r="H691" i="3"/>
  <c r="H695" i="3"/>
  <c r="H708" i="3"/>
  <c r="H719" i="3"/>
  <c r="H726" i="3"/>
  <c r="H729" i="3"/>
  <c r="H737" i="3"/>
  <c r="H745" i="3"/>
  <c r="H753" i="3"/>
  <c r="H761" i="3"/>
  <c r="H769" i="3"/>
  <c r="H777" i="3"/>
  <c r="H785" i="3"/>
  <c r="H16" i="3"/>
  <c r="H24" i="3"/>
  <c r="H32" i="3"/>
  <c r="H40" i="3"/>
  <c r="H48" i="3"/>
  <c r="H56" i="3"/>
  <c r="H64" i="3"/>
  <c r="H72" i="3"/>
  <c r="H80" i="3"/>
  <c r="H88" i="3"/>
  <c r="H96" i="3"/>
  <c r="H104" i="3"/>
  <c r="H112" i="3"/>
  <c r="H120" i="3"/>
  <c r="H128" i="3"/>
  <c r="H19" i="3"/>
  <c r="H27" i="3"/>
  <c r="H35" i="3"/>
  <c r="H43" i="3"/>
  <c r="H51" i="3"/>
  <c r="H59" i="3"/>
  <c r="H67" i="3"/>
  <c r="H75" i="3"/>
  <c r="H83" i="3"/>
  <c r="H91" i="3"/>
  <c r="H99" i="3"/>
  <c r="H107" i="3"/>
  <c r="H115" i="3"/>
  <c r="H123" i="3"/>
  <c r="H131" i="3"/>
  <c r="H139" i="3"/>
  <c r="H147" i="3"/>
  <c r="H155" i="3"/>
  <c r="H163" i="3"/>
  <c r="H171" i="3"/>
  <c r="H22" i="3"/>
  <c r="H20" i="3"/>
  <c r="H28" i="3"/>
  <c r="H36" i="3"/>
  <c r="H44" i="3"/>
  <c r="H52" i="3"/>
  <c r="H60" i="3"/>
  <c r="H68" i="3"/>
  <c r="H76" i="3"/>
  <c r="H84" i="3"/>
  <c r="H92" i="3"/>
  <c r="H100" i="3"/>
  <c r="H108" i="3"/>
  <c r="H116" i="3"/>
  <c r="H124" i="3"/>
  <c r="H132" i="3"/>
  <c r="H140" i="3"/>
  <c r="H148" i="3"/>
  <c r="H156" i="3"/>
  <c r="H164" i="3"/>
  <c r="H172" i="3"/>
  <c r="H180" i="3"/>
  <c r="H188" i="3"/>
  <c r="H196" i="3"/>
  <c r="H204" i="3"/>
  <c r="H212" i="3"/>
  <c r="H220" i="3"/>
  <c r="H228" i="3"/>
  <c r="H236" i="3"/>
  <c r="H15" i="3"/>
  <c r="H23" i="3"/>
  <c r="H31" i="3"/>
  <c r="H39" i="3"/>
  <c r="H47" i="3"/>
  <c r="H55" i="3"/>
  <c r="H63" i="3"/>
  <c r="H71" i="3"/>
  <c r="H79" i="3"/>
  <c r="H87" i="3"/>
  <c r="H95" i="3"/>
  <c r="H103" i="3"/>
  <c r="H111" i="3"/>
  <c r="H119" i="3"/>
  <c r="H127" i="3"/>
  <c r="H135" i="3"/>
  <c r="H143" i="3"/>
  <c r="H151" i="3"/>
  <c r="H159" i="3"/>
  <c r="H167" i="3"/>
  <c r="H175" i="3"/>
  <c r="H183" i="3"/>
  <c r="H191" i="3"/>
  <c r="H199" i="3"/>
  <c r="H207" i="3"/>
  <c r="H215" i="3"/>
  <c r="H223" i="3"/>
  <c r="H231" i="3"/>
  <c r="H239" i="3"/>
  <c r="H26" i="3"/>
  <c r="H42" i="3"/>
  <c r="H58" i="3"/>
  <c r="H74" i="3"/>
  <c r="H90" i="3"/>
  <c r="H106" i="3"/>
  <c r="H122" i="3"/>
  <c r="H141" i="3"/>
  <c r="H145" i="3"/>
  <c r="H154" i="3"/>
  <c r="H158" i="3"/>
  <c r="H185" i="3"/>
  <c r="H189" i="3"/>
  <c r="H203" i="3"/>
  <c r="H217" i="3"/>
  <c r="H221" i="3"/>
  <c r="H235" i="3"/>
  <c r="H247" i="3"/>
  <c r="H255" i="3"/>
  <c r="H263" i="3"/>
  <c r="H271" i="3"/>
  <c r="H279" i="3"/>
  <c r="H287" i="3"/>
  <c r="H295" i="3"/>
  <c r="H303" i="3"/>
  <c r="H311" i="3"/>
  <c r="H319" i="3"/>
  <c r="H327" i="3"/>
  <c r="H335" i="3"/>
  <c r="H343" i="3"/>
  <c r="H351" i="3"/>
  <c r="H37" i="3"/>
  <c r="H53" i="3"/>
  <c r="H69" i="3"/>
  <c r="H85" i="3"/>
  <c r="H101" i="3"/>
  <c r="H117" i="3"/>
  <c r="H133" i="3"/>
  <c r="H137" i="3"/>
  <c r="H146" i="3"/>
  <c r="H150" i="3"/>
  <c r="H182" i="3"/>
  <c r="H186" i="3"/>
  <c r="H200" i="3"/>
  <c r="H214" i="3"/>
  <c r="H218" i="3"/>
  <c r="H232" i="3"/>
  <c r="H242" i="3"/>
  <c r="H250" i="3"/>
  <c r="H258" i="3"/>
  <c r="H266" i="3"/>
  <c r="H274" i="3"/>
  <c r="H282" i="3"/>
  <c r="H290" i="3"/>
  <c r="H298" i="3"/>
  <c r="H38" i="3"/>
  <c r="H54" i="3"/>
  <c r="H70" i="3"/>
  <c r="H86" i="3"/>
  <c r="H102" i="3"/>
  <c r="H118" i="3"/>
  <c r="H138" i="3"/>
  <c r="H142" i="3"/>
  <c r="H179" i="3"/>
  <c r="H193" i="3"/>
  <c r="H197" i="3"/>
  <c r="H211" i="3"/>
  <c r="H225" i="3"/>
  <c r="H229" i="3"/>
  <c r="H245" i="3"/>
  <c r="H253" i="3"/>
  <c r="H261" i="3"/>
  <c r="H269" i="3"/>
  <c r="H277" i="3"/>
  <c r="H285" i="3"/>
  <c r="H293" i="3"/>
  <c r="H301" i="3"/>
  <c r="H309" i="3"/>
  <c r="H317" i="3"/>
  <c r="H325" i="3"/>
  <c r="H333" i="3"/>
  <c r="H34" i="3"/>
  <c r="H50" i="3"/>
  <c r="H66" i="3"/>
  <c r="H82" i="3"/>
  <c r="H98" i="3"/>
  <c r="H114" i="3"/>
  <c r="H130" i="3"/>
  <c r="H160" i="3"/>
  <c r="H173" i="3"/>
  <c r="H187" i="3"/>
  <c r="H201" i="3"/>
  <c r="H205" i="3"/>
  <c r="H219" i="3"/>
  <c r="H233" i="3"/>
  <c r="H237" i="3"/>
  <c r="H243" i="3"/>
  <c r="H251" i="3"/>
  <c r="H259" i="3"/>
  <c r="H267" i="3"/>
  <c r="H275" i="3"/>
  <c r="H283" i="3"/>
  <c r="H291" i="3"/>
  <c r="H299" i="3"/>
  <c r="H307" i="3"/>
  <c r="H315" i="3"/>
  <c r="H323" i="3"/>
  <c r="H331" i="3"/>
  <c r="H339" i="3"/>
  <c r="H347" i="3"/>
  <c r="H355" i="3"/>
  <c r="H45" i="3"/>
  <c r="H77" i="3"/>
  <c r="H109" i="3"/>
  <c r="H165" i="3"/>
  <c r="H202" i="3"/>
  <c r="H216" i="3"/>
  <c r="H230" i="3"/>
  <c r="H254" i="3"/>
  <c r="H270" i="3"/>
  <c r="H286" i="3"/>
  <c r="H310" i="3"/>
  <c r="H314" i="3"/>
  <c r="H346" i="3"/>
  <c r="H353" i="3"/>
  <c r="H365" i="3"/>
  <c r="H373" i="3"/>
  <c r="H381" i="3"/>
  <c r="H389" i="3"/>
  <c r="H397" i="3"/>
  <c r="H405" i="3"/>
  <c r="H413" i="3"/>
  <c r="H421" i="3"/>
  <c r="H429" i="3"/>
  <c r="H437" i="3"/>
  <c r="H445" i="3"/>
  <c r="H453" i="3"/>
  <c r="H461" i="3"/>
  <c r="H469" i="3"/>
  <c r="H477" i="3"/>
  <c r="H485" i="3"/>
  <c r="H493" i="3"/>
  <c r="H427" i="3"/>
  <c r="H435" i="3"/>
  <c r="H499" i="3"/>
  <c r="H113" i="3"/>
  <c r="H134" i="3"/>
  <c r="H176" i="3"/>
  <c r="H190" i="3"/>
  <c r="H226" i="3"/>
  <c r="H320" i="3"/>
  <c r="H358" i="3"/>
  <c r="H430" i="3"/>
  <c r="H438" i="3"/>
  <c r="H446" i="3"/>
  <c r="H454" i="3"/>
  <c r="H462" i="3"/>
  <c r="H470" i="3"/>
  <c r="H192" i="3"/>
  <c r="H300" i="3"/>
  <c r="H313" i="3"/>
  <c r="H338" i="3"/>
  <c r="H352" i="3"/>
  <c r="H367" i="3"/>
  <c r="H375" i="3"/>
  <c r="H46" i="3"/>
  <c r="H78" i="3"/>
  <c r="H110" i="3"/>
  <c r="H157" i="3"/>
  <c r="H181" i="3"/>
  <c r="H195" i="3"/>
  <c r="H209" i="3"/>
  <c r="H249" i="3"/>
  <c r="H265" i="3"/>
  <c r="H281" i="3"/>
  <c r="H297" i="3"/>
  <c r="H302" i="3"/>
  <c r="H306" i="3"/>
  <c r="H350" i="3"/>
  <c r="H357" i="3"/>
  <c r="H360" i="3"/>
  <c r="H368" i="3"/>
  <c r="H376" i="3"/>
  <c r="H384" i="3"/>
  <c r="H392" i="3"/>
  <c r="H400" i="3"/>
  <c r="H408" i="3"/>
  <c r="H416" i="3"/>
  <c r="H424" i="3"/>
  <c r="H432" i="3"/>
  <c r="H440" i="3"/>
  <c r="H448" i="3"/>
  <c r="H456" i="3"/>
  <c r="H464" i="3"/>
  <c r="H472" i="3"/>
  <c r="H480" i="3"/>
  <c r="H488" i="3"/>
  <c r="H496" i="3"/>
  <c r="H443" i="3"/>
  <c r="H467" i="3"/>
  <c r="H475" i="3"/>
  <c r="H483" i="3"/>
  <c r="H491" i="3"/>
  <c r="H49" i="3"/>
  <c r="H81" i="3"/>
  <c r="H324" i="3"/>
  <c r="H382" i="3"/>
  <c r="H390" i="3"/>
  <c r="H414" i="3"/>
  <c r="H422" i="3"/>
  <c r="H478" i="3"/>
  <c r="H206" i="3"/>
  <c r="H268" i="3"/>
  <c r="H284" i="3"/>
  <c r="H25" i="3"/>
  <c r="H57" i="3"/>
  <c r="H89" i="3"/>
  <c r="H121" i="3"/>
  <c r="H149" i="3"/>
  <c r="H166" i="3"/>
  <c r="H174" i="3"/>
  <c r="H210" i="3"/>
  <c r="H224" i="3"/>
  <c r="H238" i="3"/>
  <c r="H244" i="3"/>
  <c r="H260" i="3"/>
  <c r="H276" i="3"/>
  <c r="H292" i="3"/>
  <c r="H328" i="3"/>
  <c r="H332" i="3"/>
  <c r="H336" i="3"/>
  <c r="H354" i="3"/>
  <c r="H363" i="3"/>
  <c r="H371" i="3"/>
  <c r="H379" i="3"/>
  <c r="H387" i="3"/>
  <c r="H395" i="3"/>
  <c r="H403" i="3"/>
  <c r="H411" i="3"/>
  <c r="H419" i="3"/>
  <c r="H451" i="3"/>
  <c r="H459" i="3"/>
  <c r="H168" i="3"/>
  <c r="H240" i="3"/>
  <c r="H256" i="3"/>
  <c r="H272" i="3"/>
  <c r="H288" i="3"/>
  <c r="H340" i="3"/>
  <c r="H366" i="3"/>
  <c r="H374" i="3"/>
  <c r="H398" i="3"/>
  <c r="H406" i="3"/>
  <c r="H486" i="3"/>
  <c r="H494" i="3"/>
  <c r="H178" i="3"/>
  <c r="H326" i="3"/>
  <c r="H345" i="3"/>
  <c r="H359" i="3"/>
  <c r="H29" i="3"/>
  <c r="H61" i="3"/>
  <c r="H93" i="3"/>
  <c r="H125" i="3"/>
  <c r="H152" i="3"/>
  <c r="H169" i="3"/>
  <c r="H184" i="3"/>
  <c r="H198" i="3"/>
  <c r="H234" i="3"/>
  <c r="H246" i="3"/>
  <c r="H262" i="3"/>
  <c r="H278" i="3"/>
  <c r="H294" i="3"/>
  <c r="H312" i="3"/>
  <c r="H316" i="3"/>
  <c r="H329" i="3"/>
  <c r="H337" i="3"/>
  <c r="H344" i="3"/>
  <c r="H361" i="3"/>
  <c r="H369" i="3"/>
  <c r="H377" i="3"/>
  <c r="H385" i="3"/>
  <c r="H393" i="3"/>
  <c r="H401" i="3"/>
  <c r="H409" i="3"/>
  <c r="H417" i="3"/>
  <c r="H425" i="3"/>
  <c r="H433" i="3"/>
  <c r="H441" i="3"/>
  <c r="H449" i="3"/>
  <c r="H457" i="3"/>
  <c r="H465" i="3"/>
  <c r="H473" i="3"/>
  <c r="H481" i="3"/>
  <c r="H489" i="3"/>
  <c r="H497" i="3"/>
  <c r="H492" i="3"/>
  <c r="H18" i="3"/>
  <c r="H41" i="3"/>
  <c r="H73" i="3"/>
  <c r="H105" i="3"/>
  <c r="H136" i="3"/>
  <c r="H153" i="3"/>
  <c r="H162" i="3"/>
  <c r="H252" i="3"/>
  <c r="H330" i="3"/>
  <c r="H17" i="3"/>
  <c r="H30" i="3"/>
  <c r="H62" i="3"/>
  <c r="H94" i="3"/>
  <c r="H126" i="3"/>
  <c r="H144" i="3"/>
  <c r="H161" i="3"/>
  <c r="H170" i="3"/>
  <c r="H177" i="3"/>
  <c r="H213" i="3"/>
  <c r="H227" i="3"/>
  <c r="H241" i="3"/>
  <c r="H257" i="3"/>
  <c r="H273" i="3"/>
  <c r="H289" i="3"/>
  <c r="H304" i="3"/>
  <c r="H308" i="3"/>
  <c r="H321" i="3"/>
  <c r="H334" i="3"/>
  <c r="H341" i="3"/>
  <c r="H348" i="3"/>
  <c r="H364" i="3"/>
  <c r="H372" i="3"/>
  <c r="H380" i="3"/>
  <c r="H388" i="3"/>
  <c r="H396" i="3"/>
  <c r="H404" i="3"/>
  <c r="H412" i="3"/>
  <c r="H420" i="3"/>
  <c r="H428" i="3"/>
  <c r="H436" i="3"/>
  <c r="H444" i="3"/>
  <c r="H452" i="3"/>
  <c r="H460" i="3"/>
  <c r="H468" i="3"/>
  <c r="H476" i="3"/>
  <c r="H484" i="3"/>
  <c r="H500" i="3"/>
  <c r="H264" i="3"/>
  <c r="H305" i="3"/>
  <c r="H383" i="3"/>
  <c r="H415" i="3"/>
  <c r="H447" i="3"/>
  <c r="H479" i="3"/>
  <c r="H318" i="3"/>
  <c r="H65" i="3"/>
  <c r="H362" i="3"/>
  <c r="H402" i="3"/>
  <c r="H434" i="3"/>
  <c r="H222" i="3"/>
  <c r="H342" i="3"/>
  <c r="H394" i="3"/>
  <c r="H426" i="3"/>
  <c r="H458" i="3"/>
  <c r="H490" i="3"/>
  <c r="H208" i="3"/>
  <c r="H97" i="3"/>
  <c r="H370" i="3"/>
  <c r="H407" i="3"/>
  <c r="H439" i="3"/>
  <c r="H471" i="3"/>
  <c r="H21" i="3"/>
  <c r="H280" i="3"/>
  <c r="H349" i="3"/>
  <c r="H386" i="3"/>
  <c r="H418" i="3"/>
  <c r="H450" i="3"/>
  <c r="H482" i="3"/>
  <c r="H466" i="3"/>
  <c r="H33" i="3"/>
  <c r="H322" i="3"/>
  <c r="H399" i="3"/>
  <c r="H431" i="3"/>
  <c r="H463" i="3"/>
  <c r="H495" i="3"/>
  <c r="H296" i="3"/>
  <c r="H487" i="3"/>
  <c r="H129" i="3"/>
  <c r="H194" i="3"/>
  <c r="H248" i="3"/>
  <c r="H356" i="3"/>
  <c r="H410" i="3"/>
  <c r="H442" i="3"/>
  <c r="H474" i="3"/>
  <c r="H378" i="3"/>
  <c r="H391" i="3"/>
  <c r="H423" i="3"/>
  <c r="H455" i="3"/>
  <c r="H498" i="3"/>
  <c r="F501" i="3"/>
  <c r="F509" i="3"/>
  <c r="F517" i="3"/>
  <c r="F525" i="3"/>
  <c r="F533" i="3"/>
  <c r="F541" i="3"/>
  <c r="F549" i="3"/>
  <c r="F557" i="3"/>
  <c r="F565" i="3"/>
  <c r="F504" i="3"/>
  <c r="F512" i="3"/>
  <c r="F520" i="3"/>
  <c r="F528" i="3"/>
  <c r="F536" i="3"/>
  <c r="F544" i="3"/>
  <c r="F552" i="3"/>
  <c r="F560" i="3"/>
  <c r="F568" i="3"/>
  <c r="F576" i="3"/>
  <c r="F584" i="3"/>
  <c r="F592" i="3"/>
  <c r="F600" i="3"/>
  <c r="F608" i="3"/>
  <c r="F616" i="3"/>
  <c r="F624" i="3"/>
  <c r="F632" i="3"/>
  <c r="F640" i="3"/>
  <c r="F648" i="3"/>
  <c r="F656" i="3"/>
  <c r="F664" i="3"/>
  <c r="F672" i="3"/>
  <c r="F680" i="3"/>
  <c r="F688" i="3"/>
  <c r="F696" i="3"/>
  <c r="F704" i="3"/>
  <c r="F507" i="3"/>
  <c r="F515" i="3"/>
  <c r="F523" i="3"/>
  <c r="F531" i="3"/>
  <c r="F539" i="3"/>
  <c r="F547" i="3"/>
  <c r="F555" i="3"/>
  <c r="F563" i="3"/>
  <c r="F571" i="3"/>
  <c r="F579" i="3"/>
  <c r="F587" i="3"/>
  <c r="F595" i="3"/>
  <c r="F603" i="3"/>
  <c r="F611" i="3"/>
  <c r="F502" i="3"/>
  <c r="F510" i="3"/>
  <c r="F518" i="3"/>
  <c r="F526" i="3"/>
  <c r="F534" i="3"/>
  <c r="F542" i="3"/>
  <c r="F550" i="3"/>
  <c r="F558" i="3"/>
  <c r="F566" i="3"/>
  <c r="F574" i="3"/>
  <c r="F582" i="3"/>
  <c r="F590" i="3"/>
  <c r="F598" i="3"/>
  <c r="F606" i="3"/>
  <c r="F614" i="3"/>
  <c r="F622" i="3"/>
  <c r="F630" i="3"/>
  <c r="F638" i="3"/>
  <c r="F646" i="3"/>
  <c r="F654" i="3"/>
  <c r="F662" i="3"/>
  <c r="F670" i="3"/>
  <c r="F678" i="3"/>
  <c r="F686" i="3"/>
  <c r="F694" i="3"/>
  <c r="F702" i="3"/>
  <c r="F710" i="3"/>
  <c r="F718" i="3"/>
  <c r="F726" i="3"/>
  <c r="F503" i="3"/>
  <c r="F511" i="3"/>
  <c r="F519" i="3"/>
  <c r="F527" i="3"/>
  <c r="F535" i="3"/>
  <c r="F543" i="3"/>
  <c r="F551" i="3"/>
  <c r="F559" i="3"/>
  <c r="F567" i="3"/>
  <c r="F575" i="3"/>
  <c r="F583" i="3"/>
  <c r="F591" i="3"/>
  <c r="F599" i="3"/>
  <c r="F607" i="3"/>
  <c r="F615" i="3"/>
  <c r="F623" i="3"/>
  <c r="F631" i="3"/>
  <c r="F639" i="3"/>
  <c r="F647" i="3"/>
  <c r="F655" i="3"/>
  <c r="F663" i="3"/>
  <c r="F671" i="3"/>
  <c r="F679" i="3"/>
  <c r="F687" i="3"/>
  <c r="F695" i="3"/>
  <c r="F703" i="3"/>
  <c r="F711" i="3"/>
  <c r="F719" i="3"/>
  <c r="F727" i="3"/>
  <c r="F516" i="3"/>
  <c r="F530" i="3"/>
  <c r="F545" i="3"/>
  <c r="F572" i="3"/>
  <c r="F588" i="3"/>
  <c r="F604" i="3"/>
  <c r="F628" i="3"/>
  <c r="F641" i="3"/>
  <c r="F645" i="3"/>
  <c r="F658" i="3"/>
  <c r="F675" i="3"/>
  <c r="F692" i="3"/>
  <c r="F705" i="3"/>
  <c r="F709" i="3"/>
  <c r="F713" i="3"/>
  <c r="F720" i="3"/>
  <c r="F730" i="3"/>
  <c r="F738" i="3"/>
  <c r="F746" i="3"/>
  <c r="F754" i="3"/>
  <c r="F762" i="3"/>
  <c r="F770" i="3"/>
  <c r="F778" i="3"/>
  <c r="F786" i="3"/>
  <c r="F524" i="3"/>
  <c r="F538" i="3"/>
  <c r="F553" i="3"/>
  <c r="F578" i="3"/>
  <c r="F594" i="3"/>
  <c r="F610" i="3"/>
  <c r="F620" i="3"/>
  <c r="F633" i="3"/>
  <c r="F637" i="3"/>
  <c r="F650" i="3"/>
  <c r="F667" i="3"/>
  <c r="F684" i="3"/>
  <c r="F697" i="3"/>
  <c r="F701" i="3"/>
  <c r="F717" i="3"/>
  <c r="F724" i="3"/>
  <c r="F733" i="3"/>
  <c r="F741" i="3"/>
  <c r="F749" i="3"/>
  <c r="F757" i="3"/>
  <c r="F765" i="3"/>
  <c r="F773" i="3"/>
  <c r="F781" i="3"/>
  <c r="F532" i="3"/>
  <c r="F546" i="3"/>
  <c r="F561" i="3"/>
  <c r="F573" i="3"/>
  <c r="F589" i="3"/>
  <c r="F605" i="3"/>
  <c r="F625" i="3"/>
  <c r="F629" i="3"/>
  <c r="F642" i="3"/>
  <c r="F659" i="3"/>
  <c r="F676" i="3"/>
  <c r="F689" i="3"/>
  <c r="F693" i="3"/>
  <c r="F706" i="3"/>
  <c r="F714" i="3"/>
  <c r="F721" i="3"/>
  <c r="F728" i="3"/>
  <c r="F736" i="3"/>
  <c r="F744" i="3"/>
  <c r="F752" i="3"/>
  <c r="F760" i="3"/>
  <c r="F768" i="3"/>
  <c r="F776" i="3"/>
  <c r="F784" i="3"/>
  <c r="F505" i="3"/>
  <c r="F540" i="3"/>
  <c r="F554" i="3"/>
  <c r="F569" i="3"/>
  <c r="F585" i="3"/>
  <c r="F601" i="3"/>
  <c r="F617" i="3"/>
  <c r="F621" i="3"/>
  <c r="F634" i="3"/>
  <c r="F651" i="3"/>
  <c r="F668" i="3"/>
  <c r="F681" i="3"/>
  <c r="F685" i="3"/>
  <c r="F698" i="3"/>
  <c r="F725" i="3"/>
  <c r="F731" i="3"/>
  <c r="F739" i="3"/>
  <c r="F747" i="3"/>
  <c r="F755" i="3"/>
  <c r="F763" i="3"/>
  <c r="F771" i="3"/>
  <c r="F779" i="3"/>
  <c r="F787" i="3"/>
  <c r="F513" i="3"/>
  <c r="F548" i="3"/>
  <c r="F562" i="3"/>
  <c r="F580" i="3"/>
  <c r="F596" i="3"/>
  <c r="F612" i="3"/>
  <c r="F626" i="3"/>
  <c r="F643" i="3"/>
  <c r="F660" i="3"/>
  <c r="F673" i="3"/>
  <c r="F677" i="3"/>
  <c r="F690" i="3"/>
  <c r="F707" i="3"/>
  <c r="F722" i="3"/>
  <c r="F734" i="3"/>
  <c r="F742" i="3"/>
  <c r="F750" i="3"/>
  <c r="F758" i="3"/>
  <c r="F766" i="3"/>
  <c r="F774" i="3"/>
  <c r="F782" i="3"/>
  <c r="F506" i="3"/>
  <c r="F521" i="3"/>
  <c r="F556" i="3"/>
  <c r="F570" i="3"/>
  <c r="F586" i="3"/>
  <c r="F602" i="3"/>
  <c r="F618" i="3"/>
  <c r="F635" i="3"/>
  <c r="F652" i="3"/>
  <c r="F665" i="3"/>
  <c r="F669" i="3"/>
  <c r="F682" i="3"/>
  <c r="F699" i="3"/>
  <c r="F715" i="3"/>
  <c r="F729" i="3"/>
  <c r="F737" i="3"/>
  <c r="F745" i="3"/>
  <c r="F753" i="3"/>
  <c r="F761" i="3"/>
  <c r="F769" i="3"/>
  <c r="F777" i="3"/>
  <c r="F785" i="3"/>
  <c r="F514" i="3"/>
  <c r="F529" i="3"/>
  <c r="F564" i="3"/>
  <c r="F581" i="3"/>
  <c r="F597" i="3"/>
  <c r="F613" i="3"/>
  <c r="F627" i="3"/>
  <c r="F644" i="3"/>
  <c r="F657" i="3"/>
  <c r="F661" i="3"/>
  <c r="F674" i="3"/>
  <c r="F691" i="3"/>
  <c r="F708" i="3"/>
  <c r="F712" i="3"/>
  <c r="F732" i="3"/>
  <c r="F740" i="3"/>
  <c r="F748" i="3"/>
  <c r="F756" i="3"/>
  <c r="F764" i="3"/>
  <c r="F772" i="3"/>
  <c r="F780" i="3"/>
  <c r="F788" i="3"/>
  <c r="F508" i="3"/>
  <c r="F522" i="3"/>
  <c r="F537" i="3"/>
  <c r="F577" i="3"/>
  <c r="F593" i="3"/>
  <c r="F609" i="3"/>
  <c r="F619" i="3"/>
  <c r="F636" i="3"/>
  <c r="F649" i="3"/>
  <c r="F653" i="3"/>
  <c r="F666" i="3"/>
  <c r="F683" i="3"/>
  <c r="F700" i="3"/>
  <c r="F716" i="3"/>
  <c r="F723" i="3"/>
  <c r="F735" i="3"/>
  <c r="F743" i="3"/>
  <c r="F751" i="3"/>
  <c r="F759" i="3"/>
  <c r="F767" i="3"/>
  <c r="F775" i="3"/>
  <c r="F783" i="3"/>
  <c r="F30" i="3"/>
  <c r="F38" i="3"/>
  <c r="F46" i="3"/>
  <c r="F54" i="3"/>
  <c r="F62" i="3"/>
  <c r="F70" i="3"/>
  <c r="F78" i="3"/>
  <c r="F86" i="3"/>
  <c r="F94" i="3"/>
  <c r="F102" i="3"/>
  <c r="F110" i="3"/>
  <c r="F118" i="3"/>
  <c r="F126" i="3"/>
  <c r="F25" i="3"/>
  <c r="F33" i="3"/>
  <c r="F41" i="3"/>
  <c r="F49" i="3"/>
  <c r="F57" i="3"/>
  <c r="F65" i="3"/>
  <c r="F73" i="3"/>
  <c r="F81" i="3"/>
  <c r="F89" i="3"/>
  <c r="F97" i="3"/>
  <c r="F105" i="3"/>
  <c r="F113" i="3"/>
  <c r="F121" i="3"/>
  <c r="F129" i="3"/>
  <c r="F137" i="3"/>
  <c r="F145" i="3"/>
  <c r="F153" i="3"/>
  <c r="F161" i="3"/>
  <c r="F169" i="3"/>
  <c r="F26" i="3"/>
  <c r="F34" i="3"/>
  <c r="F42" i="3"/>
  <c r="F50" i="3"/>
  <c r="F58" i="3"/>
  <c r="F66" i="3"/>
  <c r="F74" i="3"/>
  <c r="F82" i="3"/>
  <c r="F90" i="3"/>
  <c r="F98" i="3"/>
  <c r="F106" i="3"/>
  <c r="F114" i="3"/>
  <c r="F122" i="3"/>
  <c r="F130" i="3"/>
  <c r="F138" i="3"/>
  <c r="F146" i="3"/>
  <c r="F154" i="3"/>
  <c r="F162" i="3"/>
  <c r="F170" i="3"/>
  <c r="F178" i="3"/>
  <c r="F186" i="3"/>
  <c r="F194" i="3"/>
  <c r="F202" i="3"/>
  <c r="F210" i="3"/>
  <c r="F218" i="3"/>
  <c r="F226" i="3"/>
  <c r="F234" i="3"/>
  <c r="F29" i="3"/>
  <c r="F37" i="3"/>
  <c r="F45" i="3"/>
  <c r="F53" i="3"/>
  <c r="F61" i="3"/>
  <c r="F69" i="3"/>
  <c r="F77" i="3"/>
  <c r="F85" i="3"/>
  <c r="F93" i="3"/>
  <c r="F101" i="3"/>
  <c r="F109" i="3"/>
  <c r="F117" i="3"/>
  <c r="F125" i="3"/>
  <c r="F133" i="3"/>
  <c r="F141" i="3"/>
  <c r="F149" i="3"/>
  <c r="F157" i="3"/>
  <c r="F165" i="3"/>
  <c r="F173" i="3"/>
  <c r="F181" i="3"/>
  <c r="F189" i="3"/>
  <c r="F197" i="3"/>
  <c r="F205" i="3"/>
  <c r="F213" i="3"/>
  <c r="F221" i="3"/>
  <c r="F229" i="3"/>
  <c r="F237" i="3"/>
  <c r="F32" i="3"/>
  <c r="F48" i="3"/>
  <c r="F64" i="3"/>
  <c r="F80" i="3"/>
  <c r="F96" i="3"/>
  <c r="F112" i="3"/>
  <c r="F128" i="3"/>
  <c r="F150" i="3"/>
  <c r="F163" i="3"/>
  <c r="F167" i="3"/>
  <c r="F175" i="3"/>
  <c r="F179" i="3"/>
  <c r="F193" i="3"/>
  <c r="F207" i="3"/>
  <c r="F211" i="3"/>
  <c r="F225" i="3"/>
  <c r="F239" i="3"/>
  <c r="F245" i="3"/>
  <c r="F253" i="3"/>
  <c r="F261" i="3"/>
  <c r="F269" i="3"/>
  <c r="F277" i="3"/>
  <c r="F285" i="3"/>
  <c r="F293" i="3"/>
  <c r="F301" i="3"/>
  <c r="F309" i="3"/>
  <c r="F317" i="3"/>
  <c r="F325" i="3"/>
  <c r="F333" i="3"/>
  <c r="F341" i="3"/>
  <c r="F349" i="3"/>
  <c r="F357" i="3"/>
  <c r="F27" i="3"/>
  <c r="F43" i="3"/>
  <c r="F59" i="3"/>
  <c r="F75" i="3"/>
  <c r="F91" i="3"/>
  <c r="F107" i="3"/>
  <c r="F123" i="3"/>
  <c r="F142" i="3"/>
  <c r="F155" i="3"/>
  <c r="F159" i="3"/>
  <c r="F168" i="3"/>
  <c r="F172" i="3"/>
  <c r="F176" i="3"/>
  <c r="F190" i="3"/>
  <c r="F204" i="3"/>
  <c r="F208" i="3"/>
  <c r="F222" i="3"/>
  <c r="F236" i="3"/>
  <c r="F240" i="3"/>
  <c r="F248" i="3"/>
  <c r="F256" i="3"/>
  <c r="F264" i="3"/>
  <c r="F272" i="3"/>
  <c r="F280" i="3"/>
  <c r="F288" i="3"/>
  <c r="F296" i="3"/>
  <c r="F28" i="3"/>
  <c r="F44" i="3"/>
  <c r="F60" i="3"/>
  <c r="F76" i="3"/>
  <c r="F92" i="3"/>
  <c r="F108" i="3"/>
  <c r="F124" i="3"/>
  <c r="F134" i="3"/>
  <c r="F147" i="3"/>
  <c r="F151" i="3"/>
  <c r="F160" i="3"/>
  <c r="F164" i="3"/>
  <c r="F183" i="3"/>
  <c r="F187" i="3"/>
  <c r="F201" i="3"/>
  <c r="F215" i="3"/>
  <c r="F219" i="3"/>
  <c r="F233" i="3"/>
  <c r="F243" i="3"/>
  <c r="F251" i="3"/>
  <c r="F259" i="3"/>
  <c r="F267" i="3"/>
  <c r="F275" i="3"/>
  <c r="F283" i="3"/>
  <c r="F291" i="3"/>
  <c r="F299" i="3"/>
  <c r="F307" i="3"/>
  <c r="F315" i="3"/>
  <c r="F323" i="3"/>
  <c r="F331" i="3"/>
  <c r="F23" i="3"/>
  <c r="F40" i="3"/>
  <c r="F56" i="3"/>
  <c r="F72" i="3"/>
  <c r="F88" i="3"/>
  <c r="F104" i="3"/>
  <c r="F120" i="3"/>
  <c r="F135" i="3"/>
  <c r="F144" i="3"/>
  <c r="F148" i="3"/>
  <c r="F177" i="3"/>
  <c r="F191" i="3"/>
  <c r="F195" i="3"/>
  <c r="F209" i="3"/>
  <c r="F223" i="3"/>
  <c r="F227" i="3"/>
  <c r="F241" i="3"/>
  <c r="F249" i="3"/>
  <c r="F257" i="3"/>
  <c r="F265" i="3"/>
  <c r="F273" i="3"/>
  <c r="F281" i="3"/>
  <c r="F289" i="3"/>
  <c r="F297" i="3"/>
  <c r="F305" i="3"/>
  <c r="F313" i="3"/>
  <c r="F321" i="3"/>
  <c r="F329" i="3"/>
  <c r="F337" i="3"/>
  <c r="F345" i="3"/>
  <c r="F353" i="3"/>
  <c r="F24" i="3"/>
  <c r="F35" i="3"/>
  <c r="F67" i="3"/>
  <c r="F99" i="3"/>
  <c r="F131" i="3"/>
  <c r="F140" i="3"/>
  <c r="F174" i="3"/>
  <c r="F188" i="3"/>
  <c r="F224" i="3"/>
  <c r="F238" i="3"/>
  <c r="F244" i="3"/>
  <c r="F260" i="3"/>
  <c r="F276" i="3"/>
  <c r="F292" i="3"/>
  <c r="F302" i="3"/>
  <c r="F306" i="3"/>
  <c r="F319" i="3"/>
  <c r="F332" i="3"/>
  <c r="F336" i="3"/>
  <c r="F343" i="3"/>
  <c r="F350" i="3"/>
  <c r="F363" i="3"/>
  <c r="F371" i="3"/>
  <c r="F379" i="3"/>
  <c r="F387" i="3"/>
  <c r="F395" i="3"/>
  <c r="F403" i="3"/>
  <c r="F411" i="3"/>
  <c r="F419" i="3"/>
  <c r="F427" i="3"/>
  <c r="F435" i="3"/>
  <c r="F443" i="3"/>
  <c r="F451" i="3"/>
  <c r="F459" i="3"/>
  <c r="F467" i="3"/>
  <c r="F475" i="3"/>
  <c r="F483" i="3"/>
  <c r="F491" i="3"/>
  <c r="F499" i="3"/>
  <c r="F441" i="3"/>
  <c r="F449" i="3"/>
  <c r="F457" i="3"/>
  <c r="F465" i="3"/>
  <c r="F473" i="3"/>
  <c r="F39" i="3"/>
  <c r="F71" i="3"/>
  <c r="F152" i="3"/>
  <c r="F246" i="3"/>
  <c r="F262" i="3"/>
  <c r="F278" i="3"/>
  <c r="F294" i="3"/>
  <c r="F308" i="3"/>
  <c r="F364" i="3"/>
  <c r="F372" i="3"/>
  <c r="F380" i="3"/>
  <c r="F388" i="3"/>
  <c r="F396" i="3"/>
  <c r="F404" i="3"/>
  <c r="F412" i="3"/>
  <c r="F420" i="3"/>
  <c r="F214" i="3"/>
  <c r="F242" i="3"/>
  <c r="F322" i="3"/>
  <c r="F36" i="3"/>
  <c r="F68" i="3"/>
  <c r="F100" i="3"/>
  <c r="F132" i="3"/>
  <c r="F166" i="3"/>
  <c r="F203" i="3"/>
  <c r="F217" i="3"/>
  <c r="F231" i="3"/>
  <c r="F255" i="3"/>
  <c r="F271" i="3"/>
  <c r="F287" i="3"/>
  <c r="F311" i="3"/>
  <c r="F324" i="3"/>
  <c r="F328" i="3"/>
  <c r="F340" i="3"/>
  <c r="F347" i="3"/>
  <c r="F354" i="3"/>
  <c r="F366" i="3"/>
  <c r="F374" i="3"/>
  <c r="F382" i="3"/>
  <c r="F390" i="3"/>
  <c r="F398" i="3"/>
  <c r="F406" i="3"/>
  <c r="F414" i="3"/>
  <c r="F422" i="3"/>
  <c r="F430" i="3"/>
  <c r="F438" i="3"/>
  <c r="F446" i="3"/>
  <c r="F454" i="3"/>
  <c r="F462" i="3"/>
  <c r="F470" i="3"/>
  <c r="F478" i="3"/>
  <c r="F486" i="3"/>
  <c r="F494" i="3"/>
  <c r="F497" i="3"/>
  <c r="F103" i="3"/>
  <c r="F143" i="3"/>
  <c r="F184" i="3"/>
  <c r="F198" i="3"/>
  <c r="F212" i="3"/>
  <c r="F312" i="3"/>
  <c r="F348" i="3"/>
  <c r="F428" i="3"/>
  <c r="F436" i="3"/>
  <c r="F444" i="3"/>
  <c r="F484" i="3"/>
  <c r="F492" i="3"/>
  <c r="F500" i="3"/>
  <c r="F63" i="3"/>
  <c r="F171" i="3"/>
  <c r="F228" i="3"/>
  <c r="F258" i="3"/>
  <c r="F318" i="3"/>
  <c r="F335" i="3"/>
  <c r="F342" i="3"/>
  <c r="F365" i="3"/>
  <c r="F373" i="3"/>
  <c r="F47" i="3"/>
  <c r="F79" i="3"/>
  <c r="F111" i="3"/>
  <c r="F158" i="3"/>
  <c r="F182" i="3"/>
  <c r="F196" i="3"/>
  <c r="F232" i="3"/>
  <c r="F250" i="3"/>
  <c r="F266" i="3"/>
  <c r="F282" i="3"/>
  <c r="F298" i="3"/>
  <c r="F303" i="3"/>
  <c r="F316" i="3"/>
  <c r="F320" i="3"/>
  <c r="F344" i="3"/>
  <c r="F351" i="3"/>
  <c r="F358" i="3"/>
  <c r="F361" i="3"/>
  <c r="F369" i="3"/>
  <c r="F377" i="3"/>
  <c r="F385" i="3"/>
  <c r="F393" i="3"/>
  <c r="F401" i="3"/>
  <c r="F409" i="3"/>
  <c r="F417" i="3"/>
  <c r="F425" i="3"/>
  <c r="F433" i="3"/>
  <c r="F481" i="3"/>
  <c r="F489" i="3"/>
  <c r="F355" i="3"/>
  <c r="F452" i="3"/>
  <c r="F460" i="3"/>
  <c r="F468" i="3"/>
  <c r="F476" i="3"/>
  <c r="F381" i="3"/>
  <c r="F51" i="3"/>
  <c r="F83" i="3"/>
  <c r="F115" i="3"/>
  <c r="F136" i="3"/>
  <c r="F192" i="3"/>
  <c r="F206" i="3"/>
  <c r="F220" i="3"/>
  <c r="F252" i="3"/>
  <c r="F268" i="3"/>
  <c r="F284" i="3"/>
  <c r="F300" i="3"/>
  <c r="F304" i="3"/>
  <c r="F334" i="3"/>
  <c r="F352" i="3"/>
  <c r="F359" i="3"/>
  <c r="F367" i="3"/>
  <c r="F375" i="3"/>
  <c r="F383" i="3"/>
  <c r="F391" i="3"/>
  <c r="F399" i="3"/>
  <c r="F407" i="3"/>
  <c r="F415" i="3"/>
  <c r="F423" i="3"/>
  <c r="F431" i="3"/>
  <c r="F439" i="3"/>
  <c r="F447" i="3"/>
  <c r="F455" i="3"/>
  <c r="F463" i="3"/>
  <c r="F471" i="3"/>
  <c r="F479" i="3"/>
  <c r="F487" i="3"/>
  <c r="F495" i="3"/>
  <c r="F498" i="3"/>
  <c r="F31" i="3"/>
  <c r="F95" i="3"/>
  <c r="F127" i="3"/>
  <c r="F200" i="3"/>
  <c r="F274" i="3"/>
  <c r="F290" i="3"/>
  <c r="F52" i="3"/>
  <c r="F84" i="3"/>
  <c r="F116" i="3"/>
  <c r="F185" i="3"/>
  <c r="F199" i="3"/>
  <c r="F235" i="3"/>
  <c r="F247" i="3"/>
  <c r="F263" i="3"/>
  <c r="F279" i="3"/>
  <c r="F295" i="3"/>
  <c r="F326" i="3"/>
  <c r="F330" i="3"/>
  <c r="F338" i="3"/>
  <c r="F356" i="3"/>
  <c r="F362" i="3"/>
  <c r="F370" i="3"/>
  <c r="F378" i="3"/>
  <c r="F386" i="3"/>
  <c r="F394" i="3"/>
  <c r="F402" i="3"/>
  <c r="F410" i="3"/>
  <c r="F418" i="3"/>
  <c r="F426" i="3"/>
  <c r="F434" i="3"/>
  <c r="F442" i="3"/>
  <c r="F450" i="3"/>
  <c r="F458" i="3"/>
  <c r="F466" i="3"/>
  <c r="F474" i="3"/>
  <c r="F482" i="3"/>
  <c r="F490" i="3"/>
  <c r="F156" i="3"/>
  <c r="F216" i="3"/>
  <c r="F339" i="3"/>
  <c r="F405" i="3"/>
  <c r="F437" i="3"/>
  <c r="F469" i="3"/>
  <c r="F408" i="3"/>
  <c r="F440" i="3"/>
  <c r="F472" i="3"/>
  <c r="F456" i="3"/>
  <c r="F488" i="3"/>
  <c r="F87" i="3"/>
  <c r="F270" i="3"/>
  <c r="F310" i="3"/>
  <c r="F368" i="3"/>
  <c r="F384" i="3"/>
  <c r="F416" i="3"/>
  <c r="F448" i="3"/>
  <c r="F480" i="3"/>
  <c r="F424" i="3"/>
  <c r="F230" i="3"/>
  <c r="F314" i="3"/>
  <c r="F346" i="3"/>
  <c r="F397" i="3"/>
  <c r="F429" i="3"/>
  <c r="F461" i="3"/>
  <c r="F493" i="3"/>
  <c r="F180" i="3"/>
  <c r="F119" i="3"/>
  <c r="F286" i="3"/>
  <c r="F376" i="3"/>
  <c r="F389" i="3"/>
  <c r="F421" i="3"/>
  <c r="F453" i="3"/>
  <c r="F485" i="3"/>
  <c r="F327" i="3"/>
  <c r="F400" i="3"/>
  <c r="F432" i="3"/>
  <c r="F464" i="3"/>
  <c r="F496" i="3"/>
  <c r="F55" i="3"/>
  <c r="F139" i="3"/>
  <c r="F254" i="3"/>
  <c r="F360" i="3"/>
  <c r="F413" i="3"/>
  <c r="F445" i="3"/>
  <c r="F477" i="3"/>
  <c r="F392" i="3"/>
  <c r="G506" i="3"/>
  <c r="G514" i="3"/>
  <c r="G522" i="3"/>
  <c r="G530" i="3"/>
  <c r="G538" i="3"/>
  <c r="G546" i="3"/>
  <c r="G554" i="3"/>
  <c r="G562" i="3"/>
  <c r="G501" i="3"/>
  <c r="G509" i="3"/>
  <c r="G517" i="3"/>
  <c r="G525" i="3"/>
  <c r="G533" i="3"/>
  <c r="G541" i="3"/>
  <c r="G549" i="3"/>
  <c r="G557" i="3"/>
  <c r="G565" i="3"/>
  <c r="G573" i="3"/>
  <c r="G581" i="3"/>
  <c r="G589" i="3"/>
  <c r="G597" i="3"/>
  <c r="G605" i="3"/>
  <c r="G613" i="3"/>
  <c r="G621" i="3"/>
  <c r="G629" i="3"/>
  <c r="G637" i="3"/>
  <c r="G645" i="3"/>
  <c r="G653" i="3"/>
  <c r="G661" i="3"/>
  <c r="G669" i="3"/>
  <c r="G677" i="3"/>
  <c r="G685" i="3"/>
  <c r="G693" i="3"/>
  <c r="G701" i="3"/>
  <c r="G709" i="3"/>
  <c r="G504" i="3"/>
  <c r="G512" i="3"/>
  <c r="G520" i="3"/>
  <c r="G528" i="3"/>
  <c r="G536" i="3"/>
  <c r="G544" i="3"/>
  <c r="G552" i="3"/>
  <c r="G560" i="3"/>
  <c r="G568" i="3"/>
  <c r="G576" i="3"/>
  <c r="G584" i="3"/>
  <c r="G592" i="3"/>
  <c r="G600" i="3"/>
  <c r="G608" i="3"/>
  <c r="G616" i="3"/>
  <c r="G507" i="3"/>
  <c r="G515" i="3"/>
  <c r="G523" i="3"/>
  <c r="G531" i="3"/>
  <c r="G539" i="3"/>
  <c r="G547" i="3"/>
  <c r="G555" i="3"/>
  <c r="G563" i="3"/>
  <c r="G571" i="3"/>
  <c r="G579" i="3"/>
  <c r="G587" i="3"/>
  <c r="G595" i="3"/>
  <c r="G603" i="3"/>
  <c r="G611" i="3"/>
  <c r="G619" i="3"/>
  <c r="G627" i="3"/>
  <c r="G635" i="3"/>
  <c r="G643" i="3"/>
  <c r="G651" i="3"/>
  <c r="G659" i="3"/>
  <c r="G667" i="3"/>
  <c r="G675" i="3"/>
  <c r="G683" i="3"/>
  <c r="G691" i="3"/>
  <c r="G699" i="3"/>
  <c r="G707" i="3"/>
  <c r="G715" i="3"/>
  <c r="G723" i="3"/>
  <c r="G508" i="3"/>
  <c r="G516" i="3"/>
  <c r="G524" i="3"/>
  <c r="G532" i="3"/>
  <c r="G540" i="3"/>
  <c r="G548" i="3"/>
  <c r="G556" i="3"/>
  <c r="G564" i="3"/>
  <c r="G572" i="3"/>
  <c r="G580" i="3"/>
  <c r="G588" i="3"/>
  <c r="G596" i="3"/>
  <c r="G604" i="3"/>
  <c r="G612" i="3"/>
  <c r="G620" i="3"/>
  <c r="G628" i="3"/>
  <c r="G636" i="3"/>
  <c r="G644" i="3"/>
  <c r="G652" i="3"/>
  <c r="G660" i="3"/>
  <c r="G668" i="3"/>
  <c r="G676" i="3"/>
  <c r="G684" i="3"/>
  <c r="G692" i="3"/>
  <c r="G700" i="3"/>
  <c r="G708" i="3"/>
  <c r="G716" i="3"/>
  <c r="G724" i="3"/>
  <c r="G502" i="3"/>
  <c r="G537" i="3"/>
  <c r="G551" i="3"/>
  <c r="G566" i="3"/>
  <c r="G577" i="3"/>
  <c r="G593" i="3"/>
  <c r="G609" i="3"/>
  <c r="G632" i="3"/>
  <c r="G649" i="3"/>
  <c r="G662" i="3"/>
  <c r="G666" i="3"/>
  <c r="G679" i="3"/>
  <c r="G696" i="3"/>
  <c r="G727" i="3"/>
  <c r="G735" i="3"/>
  <c r="G743" i="3"/>
  <c r="G751" i="3"/>
  <c r="G759" i="3"/>
  <c r="G767" i="3"/>
  <c r="G775" i="3"/>
  <c r="G783" i="3"/>
  <c r="G510" i="3"/>
  <c r="G545" i="3"/>
  <c r="G559" i="3"/>
  <c r="G583" i="3"/>
  <c r="G599" i="3"/>
  <c r="G615" i="3"/>
  <c r="G624" i="3"/>
  <c r="G641" i="3"/>
  <c r="G654" i="3"/>
  <c r="G658" i="3"/>
  <c r="G671" i="3"/>
  <c r="G688" i="3"/>
  <c r="G705" i="3"/>
  <c r="G713" i="3"/>
  <c r="G720" i="3"/>
  <c r="G730" i="3"/>
  <c r="G738" i="3"/>
  <c r="G746" i="3"/>
  <c r="G754" i="3"/>
  <c r="G762" i="3"/>
  <c r="G770" i="3"/>
  <c r="G778" i="3"/>
  <c r="G786" i="3"/>
  <c r="G503" i="3"/>
  <c r="G518" i="3"/>
  <c r="G553" i="3"/>
  <c r="G567" i="3"/>
  <c r="G578" i="3"/>
  <c r="G594" i="3"/>
  <c r="G610" i="3"/>
  <c r="G633" i="3"/>
  <c r="G646" i="3"/>
  <c r="G650" i="3"/>
  <c r="G663" i="3"/>
  <c r="G680" i="3"/>
  <c r="G697" i="3"/>
  <c r="G710" i="3"/>
  <c r="G717" i="3"/>
  <c r="G733" i="3"/>
  <c r="G741" i="3"/>
  <c r="G749" i="3"/>
  <c r="G757" i="3"/>
  <c r="G765" i="3"/>
  <c r="G773" i="3"/>
  <c r="G781" i="3"/>
  <c r="G511" i="3"/>
  <c r="G526" i="3"/>
  <c r="G561" i="3"/>
  <c r="G574" i="3"/>
  <c r="G590" i="3"/>
  <c r="G606" i="3"/>
  <c r="G625" i="3"/>
  <c r="G638" i="3"/>
  <c r="G642" i="3"/>
  <c r="G655" i="3"/>
  <c r="G672" i="3"/>
  <c r="G689" i="3"/>
  <c r="G702" i="3"/>
  <c r="G706" i="3"/>
  <c r="G714" i="3"/>
  <c r="G721" i="3"/>
  <c r="G728" i="3"/>
  <c r="G736" i="3"/>
  <c r="G744" i="3"/>
  <c r="G752" i="3"/>
  <c r="G760" i="3"/>
  <c r="G768" i="3"/>
  <c r="G776" i="3"/>
  <c r="G784" i="3"/>
  <c r="G505" i="3"/>
  <c r="G519" i="3"/>
  <c r="G534" i="3"/>
  <c r="G569" i="3"/>
  <c r="G585" i="3"/>
  <c r="G601" i="3"/>
  <c r="G617" i="3"/>
  <c r="G630" i="3"/>
  <c r="G634" i="3"/>
  <c r="G647" i="3"/>
  <c r="G664" i="3"/>
  <c r="G681" i="3"/>
  <c r="G694" i="3"/>
  <c r="G698" i="3"/>
  <c r="G711" i="3"/>
  <c r="G718" i="3"/>
  <c r="G725" i="3"/>
  <c r="G731" i="3"/>
  <c r="G739" i="3"/>
  <c r="G747" i="3"/>
  <c r="G755" i="3"/>
  <c r="G763" i="3"/>
  <c r="G771" i="3"/>
  <c r="G779" i="3"/>
  <c r="G787" i="3"/>
  <c r="G513" i="3"/>
  <c r="G527" i="3"/>
  <c r="G542" i="3"/>
  <c r="G575" i="3"/>
  <c r="G591" i="3"/>
  <c r="G607" i="3"/>
  <c r="G622" i="3"/>
  <c r="G626" i="3"/>
  <c r="G639" i="3"/>
  <c r="G656" i="3"/>
  <c r="G673" i="3"/>
  <c r="G686" i="3"/>
  <c r="G690" i="3"/>
  <c r="G703" i="3"/>
  <c r="G722" i="3"/>
  <c r="G734" i="3"/>
  <c r="G742" i="3"/>
  <c r="G750" i="3"/>
  <c r="G758" i="3"/>
  <c r="G766" i="3"/>
  <c r="G774" i="3"/>
  <c r="G782" i="3"/>
  <c r="G521" i="3"/>
  <c r="G535" i="3"/>
  <c r="G550" i="3"/>
  <c r="G570" i="3"/>
  <c r="G586" i="3"/>
  <c r="G602" i="3"/>
  <c r="G618" i="3"/>
  <c r="G631" i="3"/>
  <c r="G648" i="3"/>
  <c r="G665" i="3"/>
  <c r="G678" i="3"/>
  <c r="G682" i="3"/>
  <c r="G695" i="3"/>
  <c r="G719" i="3"/>
  <c r="G726" i="3"/>
  <c r="G729" i="3"/>
  <c r="G737" i="3"/>
  <c r="G745" i="3"/>
  <c r="G753" i="3"/>
  <c r="G761" i="3"/>
  <c r="G769" i="3"/>
  <c r="G777" i="3"/>
  <c r="G785" i="3"/>
  <c r="G529" i="3"/>
  <c r="G543" i="3"/>
  <c r="G558" i="3"/>
  <c r="G582" i="3"/>
  <c r="G598" i="3"/>
  <c r="G614" i="3"/>
  <c r="G623" i="3"/>
  <c r="G640" i="3"/>
  <c r="G657" i="3"/>
  <c r="G670" i="3"/>
  <c r="G674" i="3"/>
  <c r="G687" i="3"/>
  <c r="G704" i="3"/>
  <c r="G712" i="3"/>
  <c r="G732" i="3"/>
  <c r="G740" i="3"/>
  <c r="G748" i="3"/>
  <c r="G756" i="3"/>
  <c r="G764" i="3"/>
  <c r="G772" i="3"/>
  <c r="G780" i="3"/>
  <c r="G788" i="3"/>
  <c r="G19" i="3"/>
  <c r="G27" i="3"/>
  <c r="G35" i="3"/>
  <c r="G43" i="3"/>
  <c r="G51" i="3"/>
  <c r="G59" i="3"/>
  <c r="G67" i="3"/>
  <c r="G75" i="3"/>
  <c r="G83" i="3"/>
  <c r="G91" i="3"/>
  <c r="G99" i="3"/>
  <c r="G107" i="3"/>
  <c r="G115" i="3"/>
  <c r="G123" i="3"/>
  <c r="G131" i="3"/>
  <c r="G22" i="3"/>
  <c r="G30" i="3"/>
  <c r="G38" i="3"/>
  <c r="G46" i="3"/>
  <c r="G54" i="3"/>
  <c r="G62" i="3"/>
  <c r="G70" i="3"/>
  <c r="G78" i="3"/>
  <c r="G86" i="3"/>
  <c r="G94" i="3"/>
  <c r="G102" i="3"/>
  <c r="G110" i="3"/>
  <c r="G118" i="3"/>
  <c r="G126" i="3"/>
  <c r="G134" i="3"/>
  <c r="G142" i="3"/>
  <c r="G150" i="3"/>
  <c r="G158" i="3"/>
  <c r="G166" i="3"/>
  <c r="G17" i="3"/>
  <c r="G25" i="3"/>
  <c r="G15" i="3"/>
  <c r="G23" i="3"/>
  <c r="G31" i="3"/>
  <c r="G39" i="3"/>
  <c r="G47" i="3"/>
  <c r="G55" i="3"/>
  <c r="G63" i="3"/>
  <c r="G71" i="3"/>
  <c r="G79" i="3"/>
  <c r="G87" i="3"/>
  <c r="G95" i="3"/>
  <c r="G103" i="3"/>
  <c r="G111" i="3"/>
  <c r="G119" i="3"/>
  <c r="G127" i="3"/>
  <c r="G135" i="3"/>
  <c r="G143" i="3"/>
  <c r="G151" i="3"/>
  <c r="G159" i="3"/>
  <c r="G167" i="3"/>
  <c r="G175" i="3"/>
  <c r="G183" i="3"/>
  <c r="G191" i="3"/>
  <c r="G199" i="3"/>
  <c r="G207" i="3"/>
  <c r="G215" i="3"/>
  <c r="G223" i="3"/>
  <c r="G231" i="3"/>
  <c r="G239" i="3"/>
  <c r="G18" i="3"/>
  <c r="G26" i="3"/>
  <c r="G34" i="3"/>
  <c r="G42" i="3"/>
  <c r="G50" i="3"/>
  <c r="G58" i="3"/>
  <c r="G66" i="3"/>
  <c r="G74" i="3"/>
  <c r="G82" i="3"/>
  <c r="G90" i="3"/>
  <c r="G98" i="3"/>
  <c r="G106" i="3"/>
  <c r="G114" i="3"/>
  <c r="G122" i="3"/>
  <c r="G130" i="3"/>
  <c r="G138" i="3"/>
  <c r="G146" i="3"/>
  <c r="G154" i="3"/>
  <c r="G162" i="3"/>
  <c r="G170" i="3"/>
  <c r="G178" i="3"/>
  <c r="G186" i="3"/>
  <c r="G194" i="3"/>
  <c r="G202" i="3"/>
  <c r="G210" i="3"/>
  <c r="G218" i="3"/>
  <c r="G226" i="3"/>
  <c r="G234" i="3"/>
  <c r="G37" i="3"/>
  <c r="G53" i="3"/>
  <c r="G69" i="3"/>
  <c r="G85" i="3"/>
  <c r="G101" i="3"/>
  <c r="G117" i="3"/>
  <c r="G133" i="3"/>
  <c r="G137" i="3"/>
  <c r="G171" i="3"/>
  <c r="G182" i="3"/>
  <c r="G196" i="3"/>
  <c r="G200" i="3"/>
  <c r="G214" i="3"/>
  <c r="G228" i="3"/>
  <c r="G232" i="3"/>
  <c r="G242" i="3"/>
  <c r="G250" i="3"/>
  <c r="G258" i="3"/>
  <c r="G266" i="3"/>
  <c r="G274" i="3"/>
  <c r="G282" i="3"/>
  <c r="G290" i="3"/>
  <c r="G298" i="3"/>
  <c r="G306" i="3"/>
  <c r="G314" i="3"/>
  <c r="G322" i="3"/>
  <c r="G330" i="3"/>
  <c r="G338" i="3"/>
  <c r="G346" i="3"/>
  <c r="G354" i="3"/>
  <c r="G20" i="3"/>
  <c r="G32" i="3"/>
  <c r="G48" i="3"/>
  <c r="G64" i="3"/>
  <c r="G80" i="3"/>
  <c r="G96" i="3"/>
  <c r="G112" i="3"/>
  <c r="G128" i="3"/>
  <c r="G163" i="3"/>
  <c r="G179" i="3"/>
  <c r="G193" i="3"/>
  <c r="G197" i="3"/>
  <c r="G211" i="3"/>
  <c r="G225" i="3"/>
  <c r="G229" i="3"/>
  <c r="G245" i="3"/>
  <c r="G253" i="3"/>
  <c r="G261" i="3"/>
  <c r="G269" i="3"/>
  <c r="G277" i="3"/>
  <c r="G285" i="3"/>
  <c r="G293" i="3"/>
  <c r="G21" i="3"/>
  <c r="G33" i="3"/>
  <c r="G49" i="3"/>
  <c r="G65" i="3"/>
  <c r="G81" i="3"/>
  <c r="G97" i="3"/>
  <c r="G113" i="3"/>
  <c r="G129" i="3"/>
  <c r="G155" i="3"/>
  <c r="G168" i="3"/>
  <c r="G172" i="3"/>
  <c r="G176" i="3"/>
  <c r="G190" i="3"/>
  <c r="G204" i="3"/>
  <c r="G208" i="3"/>
  <c r="G222" i="3"/>
  <c r="G236" i="3"/>
  <c r="G240" i="3"/>
  <c r="G248" i="3"/>
  <c r="G256" i="3"/>
  <c r="G264" i="3"/>
  <c r="G272" i="3"/>
  <c r="G280" i="3"/>
  <c r="G288" i="3"/>
  <c r="G296" i="3"/>
  <c r="G304" i="3"/>
  <c r="G312" i="3"/>
  <c r="G320" i="3"/>
  <c r="G328" i="3"/>
  <c r="G29" i="3"/>
  <c r="G45" i="3"/>
  <c r="G61" i="3"/>
  <c r="G77" i="3"/>
  <c r="G93" i="3"/>
  <c r="G109" i="3"/>
  <c r="G125" i="3"/>
  <c r="G139" i="3"/>
  <c r="G152" i="3"/>
  <c r="G156" i="3"/>
  <c r="G165" i="3"/>
  <c r="G169" i="3"/>
  <c r="G180" i="3"/>
  <c r="G184" i="3"/>
  <c r="G198" i="3"/>
  <c r="G212" i="3"/>
  <c r="G216" i="3"/>
  <c r="G230" i="3"/>
  <c r="G246" i="3"/>
  <c r="G254" i="3"/>
  <c r="G262" i="3"/>
  <c r="G270" i="3"/>
  <c r="G278" i="3"/>
  <c r="G286" i="3"/>
  <c r="G294" i="3"/>
  <c r="G302" i="3"/>
  <c r="G310" i="3"/>
  <c r="G318" i="3"/>
  <c r="G326" i="3"/>
  <c r="G334" i="3"/>
  <c r="G342" i="3"/>
  <c r="G350" i="3"/>
  <c r="G358" i="3"/>
  <c r="G56" i="3"/>
  <c r="G88" i="3"/>
  <c r="G120" i="3"/>
  <c r="G148" i="3"/>
  <c r="G157" i="3"/>
  <c r="G181" i="3"/>
  <c r="G195" i="3"/>
  <c r="G209" i="3"/>
  <c r="G249" i="3"/>
  <c r="G265" i="3"/>
  <c r="G281" i="3"/>
  <c r="G297" i="3"/>
  <c r="G323" i="3"/>
  <c r="G327" i="3"/>
  <c r="G339" i="3"/>
  <c r="G357" i="3"/>
  <c r="G360" i="3"/>
  <c r="G368" i="3"/>
  <c r="G376" i="3"/>
  <c r="G384" i="3"/>
  <c r="G392" i="3"/>
  <c r="G400" i="3"/>
  <c r="G408" i="3"/>
  <c r="G416" i="3"/>
  <c r="G424" i="3"/>
  <c r="G432" i="3"/>
  <c r="G440" i="3"/>
  <c r="G448" i="3"/>
  <c r="G456" i="3"/>
  <c r="G464" i="3"/>
  <c r="G472" i="3"/>
  <c r="G480" i="3"/>
  <c r="G488" i="3"/>
  <c r="G496" i="3"/>
  <c r="G414" i="3"/>
  <c r="G478" i="3"/>
  <c r="G486" i="3"/>
  <c r="G494" i="3"/>
  <c r="G92" i="3"/>
  <c r="G205" i="3"/>
  <c r="G333" i="3"/>
  <c r="G344" i="3"/>
  <c r="G481" i="3"/>
  <c r="G489" i="3"/>
  <c r="G497" i="3"/>
  <c r="G52" i="3"/>
  <c r="G263" i="3"/>
  <c r="G279" i="3"/>
  <c r="G24" i="3"/>
  <c r="G57" i="3"/>
  <c r="G89" i="3"/>
  <c r="G121" i="3"/>
  <c r="G140" i="3"/>
  <c r="G149" i="3"/>
  <c r="G174" i="3"/>
  <c r="G188" i="3"/>
  <c r="G224" i="3"/>
  <c r="G238" i="3"/>
  <c r="G244" i="3"/>
  <c r="G260" i="3"/>
  <c r="G276" i="3"/>
  <c r="G292" i="3"/>
  <c r="G315" i="3"/>
  <c r="G319" i="3"/>
  <c r="G332" i="3"/>
  <c r="G336" i="3"/>
  <c r="G343" i="3"/>
  <c r="G363" i="3"/>
  <c r="G371" i="3"/>
  <c r="G379" i="3"/>
  <c r="G387" i="3"/>
  <c r="G395" i="3"/>
  <c r="G403" i="3"/>
  <c r="G411" i="3"/>
  <c r="G419" i="3"/>
  <c r="G427" i="3"/>
  <c r="G435" i="3"/>
  <c r="G443" i="3"/>
  <c r="G451" i="3"/>
  <c r="G459" i="3"/>
  <c r="G467" i="3"/>
  <c r="G475" i="3"/>
  <c r="G483" i="3"/>
  <c r="G491" i="3"/>
  <c r="G499" i="3"/>
  <c r="G430" i="3"/>
  <c r="G454" i="3"/>
  <c r="G462" i="3"/>
  <c r="G60" i="3"/>
  <c r="G124" i="3"/>
  <c r="G160" i="3"/>
  <c r="G233" i="3"/>
  <c r="G251" i="3"/>
  <c r="G267" i="3"/>
  <c r="G283" i="3"/>
  <c r="G299" i="3"/>
  <c r="G337" i="3"/>
  <c r="G351" i="3"/>
  <c r="G361" i="3"/>
  <c r="G369" i="3"/>
  <c r="G377" i="3"/>
  <c r="G393" i="3"/>
  <c r="G401" i="3"/>
  <c r="G409" i="3"/>
  <c r="G449" i="3"/>
  <c r="G457" i="3"/>
  <c r="G465" i="3"/>
  <c r="G473" i="3"/>
  <c r="G247" i="3"/>
  <c r="G305" i="3"/>
  <c r="G356" i="3"/>
  <c r="G36" i="3"/>
  <c r="G68" i="3"/>
  <c r="G100" i="3"/>
  <c r="G132" i="3"/>
  <c r="G141" i="3"/>
  <c r="G189" i="3"/>
  <c r="G203" i="3"/>
  <c r="G217" i="3"/>
  <c r="G255" i="3"/>
  <c r="G271" i="3"/>
  <c r="G287" i="3"/>
  <c r="G307" i="3"/>
  <c r="G311" i="3"/>
  <c r="G324" i="3"/>
  <c r="G340" i="3"/>
  <c r="G347" i="3"/>
  <c r="G366" i="3"/>
  <c r="G374" i="3"/>
  <c r="G382" i="3"/>
  <c r="G390" i="3"/>
  <c r="G398" i="3"/>
  <c r="G406" i="3"/>
  <c r="G422" i="3"/>
  <c r="G438" i="3"/>
  <c r="G446" i="3"/>
  <c r="G470" i="3"/>
  <c r="G28" i="3"/>
  <c r="G219" i="3"/>
  <c r="G303" i="3"/>
  <c r="G316" i="3"/>
  <c r="G329" i="3"/>
  <c r="G385" i="3"/>
  <c r="G417" i="3"/>
  <c r="G425" i="3"/>
  <c r="G433" i="3"/>
  <c r="G441" i="3"/>
  <c r="G295" i="3"/>
  <c r="G370" i="3"/>
  <c r="G16" i="3"/>
  <c r="G40" i="3"/>
  <c r="G72" i="3"/>
  <c r="G104" i="3"/>
  <c r="G144" i="3"/>
  <c r="G161" i="3"/>
  <c r="G177" i="3"/>
  <c r="G213" i="3"/>
  <c r="G227" i="3"/>
  <c r="G241" i="3"/>
  <c r="G257" i="3"/>
  <c r="G273" i="3"/>
  <c r="G289" i="3"/>
  <c r="G308" i="3"/>
  <c r="G321" i="3"/>
  <c r="G325" i="3"/>
  <c r="G341" i="3"/>
  <c r="G348" i="3"/>
  <c r="G355" i="3"/>
  <c r="G364" i="3"/>
  <c r="G372" i="3"/>
  <c r="G380" i="3"/>
  <c r="G388" i="3"/>
  <c r="G396" i="3"/>
  <c r="G404" i="3"/>
  <c r="G412" i="3"/>
  <c r="G420" i="3"/>
  <c r="G428" i="3"/>
  <c r="G436" i="3"/>
  <c r="G444" i="3"/>
  <c r="G452" i="3"/>
  <c r="G460" i="3"/>
  <c r="G468" i="3"/>
  <c r="G476" i="3"/>
  <c r="G484" i="3"/>
  <c r="G492" i="3"/>
  <c r="G500" i="3"/>
  <c r="G479" i="3"/>
  <c r="G487" i="3"/>
  <c r="G84" i="3"/>
  <c r="G116" i="3"/>
  <c r="G145" i="3"/>
  <c r="G185" i="3"/>
  <c r="G221" i="3"/>
  <c r="G235" i="3"/>
  <c r="G309" i="3"/>
  <c r="G349" i="3"/>
  <c r="G362" i="3"/>
  <c r="G41" i="3"/>
  <c r="G73" i="3"/>
  <c r="G105" i="3"/>
  <c r="G136" i="3"/>
  <c r="G153" i="3"/>
  <c r="G192" i="3"/>
  <c r="G206" i="3"/>
  <c r="G220" i="3"/>
  <c r="G252" i="3"/>
  <c r="G268" i="3"/>
  <c r="G284" i="3"/>
  <c r="G300" i="3"/>
  <c r="G313" i="3"/>
  <c r="G317" i="3"/>
  <c r="G345" i="3"/>
  <c r="G352" i="3"/>
  <c r="G359" i="3"/>
  <c r="G367" i="3"/>
  <c r="G375" i="3"/>
  <c r="G383" i="3"/>
  <c r="G391" i="3"/>
  <c r="G399" i="3"/>
  <c r="G407" i="3"/>
  <c r="G415" i="3"/>
  <c r="G423" i="3"/>
  <c r="G431" i="3"/>
  <c r="G439" i="3"/>
  <c r="G447" i="3"/>
  <c r="G455" i="3"/>
  <c r="G463" i="3"/>
  <c r="G471" i="3"/>
  <c r="G495" i="3"/>
  <c r="G76" i="3"/>
  <c r="G365" i="3"/>
  <c r="G394" i="3"/>
  <c r="G426" i="3"/>
  <c r="G458" i="3"/>
  <c r="G490" i="3"/>
  <c r="G108" i="3"/>
  <c r="G373" i="3"/>
  <c r="G397" i="3"/>
  <c r="G429" i="3"/>
  <c r="G461" i="3"/>
  <c r="G493" i="3"/>
  <c r="G335" i="3"/>
  <c r="G381" i="3"/>
  <c r="G164" i="3"/>
  <c r="G405" i="3"/>
  <c r="G437" i="3"/>
  <c r="G469" i="3"/>
  <c r="G173" i="3"/>
  <c r="G275" i="3"/>
  <c r="G386" i="3"/>
  <c r="G418" i="3"/>
  <c r="G450" i="3"/>
  <c r="G482" i="3"/>
  <c r="G237" i="3"/>
  <c r="G147" i="3"/>
  <c r="G187" i="3"/>
  <c r="G243" i="3"/>
  <c r="G353" i="3"/>
  <c r="G410" i="3"/>
  <c r="G442" i="3"/>
  <c r="G474" i="3"/>
  <c r="G402" i="3"/>
  <c r="G434" i="3"/>
  <c r="G466" i="3"/>
  <c r="G301" i="3"/>
  <c r="G44" i="3"/>
  <c r="G291" i="3"/>
  <c r="G378" i="3"/>
  <c r="G389" i="3"/>
  <c r="G421" i="3"/>
  <c r="G453" i="3"/>
  <c r="G485" i="3"/>
  <c r="G201" i="3"/>
  <c r="G331" i="3"/>
  <c r="G498" i="3"/>
  <c r="G259" i="3"/>
  <c r="G413" i="3"/>
  <c r="G445" i="3"/>
  <c r="G477" i="3"/>
  <c r="K19" i="3"/>
  <c r="K13" i="3"/>
  <c r="K16" i="3"/>
  <c r="K17" i="3"/>
  <c r="K21" i="3"/>
  <c r="K20" i="3"/>
  <c r="K18" i="3"/>
  <c r="K15" i="3"/>
  <c r="K14" i="3"/>
  <c r="H383" i="4"/>
  <c r="H71" i="4"/>
  <c r="H217" i="4"/>
  <c r="H229" i="4"/>
  <c r="H218" i="4"/>
  <c r="H298" i="4"/>
  <c r="H236" i="4"/>
  <c r="H311" i="4"/>
  <c r="H112" i="4"/>
  <c r="H73" i="4"/>
  <c r="H63" i="4"/>
  <c r="H76" i="4"/>
  <c r="H204" i="4"/>
  <c r="H85" i="4"/>
  <c r="H248" i="4"/>
  <c r="H458" i="4"/>
  <c r="H307" i="4"/>
  <c r="H268" i="4"/>
  <c r="H348" i="4"/>
  <c r="H233" i="4"/>
  <c r="H256" i="4"/>
  <c r="H7" i="4"/>
  <c r="H384" i="4"/>
  <c r="H189" i="4"/>
  <c r="H98" i="4"/>
  <c r="H65" i="4"/>
  <c r="H400" i="4"/>
  <c r="H221" i="4"/>
  <c r="H231" i="4"/>
  <c r="H351" i="4"/>
  <c r="H474" i="4"/>
  <c r="H435" i="4"/>
  <c r="H253" i="4"/>
  <c r="H492" i="4"/>
  <c r="H377" i="4"/>
  <c r="H283" i="4"/>
  <c r="H390" i="4"/>
  <c r="H44" i="4"/>
  <c r="H127" i="4"/>
  <c r="H194" i="4"/>
  <c r="H345" i="4"/>
  <c r="H424" i="4"/>
  <c r="H138" i="4"/>
  <c r="H478" i="4"/>
  <c r="H40" i="4"/>
  <c r="H117" i="4"/>
  <c r="H244" i="4"/>
  <c r="H259" i="4"/>
  <c r="H94" i="4"/>
  <c r="H429" i="4"/>
  <c r="H230" i="4"/>
  <c r="H494" i="4"/>
  <c r="H116" i="4"/>
  <c r="H420" i="4"/>
  <c r="H210" i="4"/>
  <c r="H361" i="4"/>
  <c r="H406" i="4"/>
  <c r="H55" i="4"/>
  <c r="H140" i="4"/>
  <c r="H278" i="4"/>
  <c r="H343" i="4"/>
  <c r="H17" i="4"/>
  <c r="H370" i="4"/>
  <c r="H132" i="4"/>
  <c r="H454" i="4"/>
  <c r="H97" i="4"/>
  <c r="H5" i="4"/>
  <c r="H439" i="4"/>
  <c r="H329" i="4"/>
  <c r="H437" i="4"/>
  <c r="H346" i="4"/>
  <c r="H172" i="4"/>
  <c r="H43" i="4"/>
  <c r="H223" i="4"/>
  <c r="H288" i="4"/>
  <c r="H129" i="4"/>
  <c r="H350" i="4"/>
  <c r="H166" i="4"/>
  <c r="H483" i="4"/>
  <c r="H119" i="4"/>
  <c r="H402" i="4"/>
  <c r="H447" i="4"/>
  <c r="H452" i="4"/>
  <c r="H428" i="4"/>
  <c r="H453" i="4"/>
  <c r="H108" i="4"/>
  <c r="H393" i="4"/>
  <c r="H441" i="4"/>
  <c r="H382" i="4"/>
  <c r="H427" i="4"/>
  <c r="H438" i="4"/>
  <c r="H431" i="4"/>
  <c r="H293" i="4"/>
  <c r="H252" i="4"/>
  <c r="H75" i="4"/>
  <c r="H21" i="4"/>
  <c r="H169" i="4"/>
  <c r="H56" i="4"/>
  <c r="H42" i="4"/>
  <c r="H190" i="4"/>
  <c r="H309" i="4"/>
  <c r="H274" i="4"/>
  <c r="H262" i="4"/>
  <c r="H83" i="4"/>
  <c r="H325" i="4"/>
  <c r="H78" i="4"/>
  <c r="H322" i="4"/>
  <c r="H460" i="4"/>
  <c r="H319" i="4"/>
  <c r="H289" i="4"/>
  <c r="H48" i="4"/>
  <c r="H9" i="4"/>
  <c r="H51" i="4"/>
  <c r="H414" i="4"/>
  <c r="H90" i="4"/>
  <c r="H137" i="4"/>
  <c r="H485" i="4"/>
  <c r="H287" i="4"/>
  <c r="H151" i="4"/>
  <c r="H49" i="4"/>
  <c r="H126" i="4"/>
  <c r="H70" i="4"/>
  <c r="H323" i="4"/>
  <c r="H93" i="4"/>
  <c r="H66" i="4"/>
  <c r="H161" i="4"/>
  <c r="H205" i="4"/>
  <c r="H394" i="4"/>
  <c r="H499" i="4"/>
  <c r="H373" i="4"/>
  <c r="H473" i="4"/>
  <c r="H368" i="4"/>
  <c r="H239" i="4"/>
  <c r="H86" i="4"/>
  <c r="H46" i="4"/>
  <c r="H396" i="4"/>
  <c r="H426" i="4"/>
  <c r="H133" i="4"/>
  <c r="H222" i="4"/>
  <c r="H462" i="4"/>
  <c r="H459" i="4"/>
  <c r="H295" i="4"/>
  <c r="H326" i="4"/>
  <c r="H114" i="4"/>
  <c r="H155" i="4"/>
  <c r="H280" i="4"/>
  <c r="H410" i="4"/>
  <c r="H178" i="4"/>
  <c r="H209" i="4"/>
  <c r="H28" i="4"/>
  <c r="H327" i="4"/>
  <c r="H286" i="4"/>
  <c r="H356" i="4"/>
  <c r="H226" i="4"/>
  <c r="H395" i="4"/>
  <c r="H305" i="4"/>
  <c r="H269" i="4"/>
  <c r="H195" i="4"/>
  <c r="H238" i="4"/>
  <c r="H54" i="4"/>
  <c r="H243" i="4"/>
  <c r="H282" i="4"/>
  <c r="H26" i="4"/>
  <c r="H170" i="4"/>
  <c r="H489" i="4"/>
  <c r="H349" i="4"/>
  <c r="H188" i="4"/>
  <c r="H20" i="4"/>
  <c r="H27" i="4"/>
  <c r="H391" i="4"/>
  <c r="H366" i="4"/>
  <c r="H500" i="4"/>
  <c r="H448" i="4"/>
  <c r="H355" i="4"/>
  <c r="H275" i="4"/>
  <c r="H82" i="4"/>
  <c r="H461" i="4"/>
  <c r="H4" i="4"/>
  <c r="G4" i="4" s="1"/>
  <c r="H241" i="4"/>
  <c r="H465" i="4"/>
  <c r="H258" i="4"/>
  <c r="H450" i="4"/>
  <c r="H87" i="4"/>
  <c r="H77" i="4"/>
  <c r="H167" i="4"/>
  <c r="H103" i="4"/>
  <c r="H135" i="4"/>
  <c r="H16" i="4"/>
  <c r="H254" i="4"/>
  <c r="H74" i="4"/>
  <c r="H33" i="4"/>
  <c r="H234" i="4"/>
  <c r="H257" i="4"/>
  <c r="H228" i="4"/>
  <c r="H276" i="4"/>
  <c r="H31" i="4"/>
  <c r="H466" i="4"/>
  <c r="H482" i="4"/>
  <c r="H201" i="4"/>
  <c r="H432" i="4"/>
  <c r="H232" i="4"/>
  <c r="H313" i="4"/>
  <c r="H24" i="4"/>
  <c r="H250" i="4"/>
  <c r="H484" i="4"/>
  <c r="H8" i="4"/>
  <c r="G8" i="4" s="1"/>
  <c r="H216" i="4"/>
  <c r="H148" i="4"/>
  <c r="H369" i="4"/>
  <c r="H324" i="4"/>
  <c r="H477" i="4"/>
  <c r="H300" i="4"/>
  <c r="H220" i="4"/>
  <c r="H100" i="4"/>
  <c r="H120" i="4"/>
  <c r="H388" i="4"/>
  <c r="H174" i="4"/>
  <c r="H279" i="4"/>
  <c r="H145" i="4"/>
  <c r="H407" i="4"/>
  <c r="H47" i="4"/>
  <c r="H6" i="4"/>
  <c r="H53" i="4"/>
  <c r="H162" i="4"/>
  <c r="H310" i="4"/>
  <c r="H374" i="4"/>
  <c r="H451" i="4"/>
  <c r="H321" i="4"/>
  <c r="H397" i="4"/>
  <c r="H339" i="4"/>
  <c r="H359" i="4"/>
  <c r="H187" i="4"/>
  <c r="H171" i="4"/>
  <c r="H64" i="4"/>
  <c r="H340" i="4"/>
  <c r="H84" i="4"/>
  <c r="H372" i="4"/>
  <c r="H363" i="4"/>
  <c r="H182" i="4"/>
  <c r="H419" i="4"/>
  <c r="H365" i="4"/>
  <c r="H11" i="4"/>
  <c r="H277" i="4"/>
  <c r="H264" i="4"/>
  <c r="H491" i="4"/>
  <c r="H320" i="4"/>
  <c r="H15" i="4"/>
  <c r="G15" i="4" s="1"/>
  <c r="H304" i="4"/>
  <c r="H308" i="4"/>
  <c r="H102" i="4"/>
  <c r="H331" i="4"/>
  <c r="H96" i="4"/>
  <c r="H357" i="4"/>
  <c r="H111" i="4"/>
  <c r="H152" i="4"/>
  <c r="H113" i="4"/>
  <c r="H294" i="4"/>
  <c r="H285" i="4"/>
  <c r="H184" i="4"/>
  <c r="H335" i="4"/>
  <c r="H371" i="4"/>
  <c r="H67" i="4"/>
  <c r="H215" i="4"/>
  <c r="H392" i="4"/>
  <c r="H332" i="4"/>
  <c r="H281" i="4"/>
  <c r="H378" i="4"/>
  <c r="H121" i="4"/>
  <c r="H423" i="4"/>
  <c r="H130" i="4"/>
  <c r="H3" i="4"/>
  <c r="G3" i="4" s="1"/>
  <c r="H249" i="4"/>
  <c r="H347" i="4"/>
  <c r="H421" i="4"/>
  <c r="H455" i="4"/>
  <c r="H224" i="4"/>
  <c r="H213" i="4"/>
  <c r="H303" i="4"/>
  <c r="H487" i="4"/>
  <c r="H156" i="4"/>
  <c r="H317" i="4"/>
  <c r="H38" i="4"/>
  <c r="H306" i="4"/>
  <c r="H247" i="4"/>
  <c r="H488" i="4"/>
  <c r="H475" i="4"/>
  <c r="H118" i="4"/>
  <c r="H358" i="4"/>
  <c r="H272" i="4"/>
  <c r="H291" i="4"/>
  <c r="H29" i="4"/>
  <c r="H299" i="4"/>
  <c r="H367" i="4"/>
  <c r="H237" i="4"/>
  <c r="H186" i="4"/>
  <c r="H68" i="4"/>
  <c r="H157" i="4"/>
  <c r="H183" i="4"/>
  <c r="H442" i="4"/>
  <c r="H496" i="4"/>
  <c r="H399" i="4"/>
  <c r="H125" i="4"/>
  <c r="H59" i="4"/>
  <c r="H312" i="4"/>
  <c r="H88" i="4"/>
  <c r="H333" i="4"/>
  <c r="H124" i="4"/>
  <c r="H352" i="4"/>
  <c r="H173" i="4"/>
  <c r="H330" i="4"/>
  <c r="H444" i="4"/>
  <c r="H19" i="4"/>
  <c r="H14" i="4"/>
  <c r="H375" i="4"/>
  <c r="H265" i="4"/>
  <c r="H445" i="4"/>
  <c r="G9" i="4"/>
  <c r="H251" i="4"/>
  <c r="H95" i="4"/>
  <c r="H192" i="4"/>
  <c r="H404" i="4"/>
  <c r="H147" i="4"/>
  <c r="H62" i="4"/>
  <c r="H408" i="4"/>
  <c r="H154" i="4"/>
  <c r="H422" i="4"/>
  <c r="H163" i="4"/>
  <c r="H168" i="4"/>
  <c r="H464" i="4"/>
  <c r="H34" i="4"/>
  <c r="H449" i="4"/>
  <c r="H175" i="4"/>
  <c r="H89" i="4"/>
  <c r="H158" i="4"/>
  <c r="H13" i="4"/>
  <c r="G13" i="4" s="1"/>
  <c r="H104" i="4"/>
  <c r="H490" i="4"/>
  <c r="H18" i="4"/>
  <c r="H486" i="4"/>
  <c r="H58" i="4"/>
  <c r="H122" i="4"/>
  <c r="H471" i="4"/>
  <c r="H364" i="4"/>
  <c r="H106" i="4"/>
  <c r="H45" i="4"/>
  <c r="H61" i="4"/>
  <c r="H107" i="4"/>
  <c r="H200" i="4"/>
  <c r="H481" i="4"/>
  <c r="H136" i="4"/>
  <c r="H177" i="4"/>
  <c r="H23" i="4"/>
  <c r="H472" i="4"/>
  <c r="H181" i="4"/>
  <c r="H341" i="4"/>
  <c r="H380" i="4"/>
  <c r="H416" i="4"/>
  <c r="H314" i="4"/>
  <c r="H389" i="4"/>
  <c r="H219" i="4"/>
  <c r="H134" i="4"/>
  <c r="H336" i="4"/>
  <c r="H212" i="4"/>
  <c r="H261" i="4"/>
  <c r="H146" i="4"/>
  <c r="H446" i="4"/>
  <c r="H52" i="4"/>
  <c r="H415" i="4"/>
  <c r="H198" i="4"/>
  <c r="H297" i="4"/>
  <c r="H417" i="4"/>
  <c r="H208" i="4"/>
  <c r="H176" i="4"/>
  <c r="H91" i="4"/>
  <c r="H456" i="4"/>
  <c r="H337" i="4"/>
  <c r="H362" i="4"/>
  <c r="H150" i="4"/>
  <c r="H207" i="4"/>
  <c r="H381" i="4"/>
  <c r="H260" i="4"/>
  <c r="H22" i="4"/>
  <c r="H159" i="4"/>
  <c r="H433" i="4"/>
  <c r="H409" i="4"/>
  <c r="H418" i="4"/>
  <c r="H60" i="4"/>
  <c r="H92" i="4"/>
  <c r="H315" i="4"/>
  <c r="H203" i="4"/>
  <c r="H164" i="4"/>
  <c r="H385" i="4"/>
  <c r="H284" i="4"/>
  <c r="H493" i="4"/>
  <c r="H479" i="4"/>
  <c r="H425" i="4"/>
  <c r="H143" i="4"/>
  <c r="H430" i="4"/>
  <c r="H69" i="4"/>
  <c r="H128" i="4"/>
  <c r="H401" i="4"/>
  <c r="H180" i="4"/>
  <c r="H110" i="4"/>
  <c r="H206" i="4"/>
  <c r="H338" i="4"/>
  <c r="H405" i="4"/>
  <c r="H436" i="4"/>
  <c r="H41" i="4"/>
  <c r="H386" i="4"/>
  <c r="H202" i="4"/>
  <c r="H480" i="4"/>
  <c r="H292" i="4"/>
  <c r="H123" i="4"/>
  <c r="H316" i="4"/>
  <c r="H411" i="4"/>
  <c r="H266" i="4"/>
  <c r="H25" i="4"/>
  <c r="H36" i="4"/>
  <c r="H12" i="4"/>
  <c r="H196" i="4"/>
  <c r="H387" i="4"/>
  <c r="H179" i="4"/>
  <c r="H214" i="4"/>
  <c r="H328" i="4"/>
  <c r="H412" i="4"/>
  <c r="H131" i="4"/>
  <c r="H35" i="4"/>
  <c r="H467" i="4"/>
  <c r="H72" i="4"/>
  <c r="H193" i="4"/>
  <c r="H463" i="4"/>
  <c r="H376" i="4"/>
  <c r="H245" i="4"/>
  <c r="H353" i="4"/>
  <c r="H165" i="4"/>
  <c r="H270" i="4"/>
  <c r="H191" i="4"/>
  <c r="H109" i="4"/>
  <c r="H160" i="4"/>
  <c r="H476" i="4"/>
  <c r="H37" i="4"/>
  <c r="H57" i="4"/>
  <c r="H342" i="4"/>
  <c r="H149" i="4"/>
  <c r="H290" i="4"/>
  <c r="H240" i="4"/>
  <c r="H495" i="4"/>
  <c r="H105" i="4"/>
  <c r="H273" i="4"/>
  <c r="H115" i="4"/>
  <c r="H99" i="4"/>
  <c r="H235" i="4"/>
  <c r="H263" i="4"/>
  <c r="H255" i="4"/>
  <c r="H185" i="4"/>
  <c r="H301" i="4"/>
  <c r="H211" i="4"/>
  <c r="H32" i="4"/>
  <c r="H302" i="4"/>
  <c r="H398" i="4"/>
  <c r="H344" i="4"/>
  <c r="H468" i="4"/>
  <c r="H142" i="4"/>
  <c r="H30" i="4"/>
  <c r="H360" i="4"/>
  <c r="H101" i="4"/>
  <c r="H197" i="4"/>
  <c r="H379" i="4"/>
  <c r="H334" i="4"/>
  <c r="G12" i="4"/>
  <c r="H469" i="4"/>
  <c r="H440" i="4"/>
  <c r="H39" i="4"/>
  <c r="H443" i="4"/>
  <c r="H246" i="4"/>
  <c r="H457" i="4"/>
  <c r="H267" i="4"/>
  <c r="H10" i="4"/>
  <c r="G10" i="4" s="1"/>
  <c r="H81" i="4"/>
  <c r="H141" i="4"/>
  <c r="H318" i="4"/>
  <c r="H79" i="4"/>
  <c r="H199" i="4"/>
  <c r="H80" i="4"/>
  <c r="H139" i="4"/>
  <c r="G11" i="4"/>
  <c r="H50" i="4"/>
  <c r="H413" i="4"/>
  <c r="H227" i="4"/>
  <c r="H153" i="4"/>
  <c r="H225" i="4"/>
  <c r="H296" i="4"/>
  <c r="H403" i="4"/>
  <c r="H497" i="4"/>
  <c r="H242" i="4"/>
  <c r="H354" i="4"/>
  <c r="H144" i="4"/>
  <c r="H470" i="4"/>
  <c r="H271" i="4"/>
  <c r="H434" i="4"/>
  <c r="H498" i="4"/>
  <c r="G14" i="4"/>
  <c r="G18" i="4"/>
  <c r="L23" i="3" l="1"/>
  <c r="J23" i="3"/>
  <c r="L24" i="3"/>
  <c r="J25" i="3"/>
  <c r="K23" i="3"/>
  <c r="J24" i="3"/>
  <c r="K25" i="3"/>
  <c r="L25" i="3"/>
  <c r="K24" i="3"/>
  <c r="F18" i="4"/>
  <c r="E18" i="4"/>
  <c r="E8" i="4"/>
  <c r="E4" i="4"/>
  <c r="E15" i="4"/>
  <c r="F13" i="4"/>
  <c r="E13" i="4"/>
  <c r="E10" i="4"/>
  <c r="E12" i="4"/>
  <c r="E14" i="4"/>
  <c r="F4" i="4"/>
  <c r="F11" i="4"/>
  <c r="F15" i="4"/>
  <c r="E9" i="4"/>
  <c r="F10" i="4"/>
  <c r="F12" i="4"/>
  <c r="E3" i="4"/>
  <c r="F9" i="4"/>
  <c r="E11" i="4"/>
  <c r="F3" i="4"/>
  <c r="F14" i="4"/>
  <c r="F8" i="4"/>
  <c r="G13" i="3" l="1"/>
  <c r="C12" i="2" s="1"/>
  <c r="G14" i="3"/>
  <c r="C13" i="2" s="1"/>
  <c r="H14" i="3"/>
  <c r="D13" i="2" s="1"/>
  <c r="H13" i="3"/>
  <c r="D12" i="2" s="1"/>
  <c r="F13" i="3"/>
  <c r="B12" i="2" s="1"/>
  <c r="F14" i="3"/>
  <c r="B13" i="2" s="1"/>
  <c r="H5" i="3"/>
  <c r="D4" i="2" s="1"/>
  <c r="H9" i="3"/>
  <c r="D8" i="2" s="1"/>
  <c r="H4" i="3"/>
  <c r="D3" i="2" s="1"/>
  <c r="H6" i="3"/>
  <c r="D5" i="2" s="1"/>
  <c r="H12" i="3"/>
  <c r="D11" i="2" s="1"/>
  <c r="H7" i="3"/>
  <c r="D6" i="2" s="1"/>
  <c r="H11" i="3"/>
  <c r="D10" i="2" s="1"/>
  <c r="H10" i="3"/>
  <c r="D9" i="2" s="1"/>
  <c r="H8" i="3"/>
  <c r="D7" i="2" s="1"/>
  <c r="G9" i="3"/>
  <c r="C8" i="2" s="1"/>
  <c r="G6" i="3"/>
  <c r="C5" i="2" s="1"/>
  <c r="G5" i="3"/>
  <c r="C4" i="2" s="1"/>
  <c r="C3" i="2"/>
  <c r="G10" i="3"/>
  <c r="C9" i="2" s="1"/>
  <c r="G8" i="3"/>
  <c r="C7" i="2" s="1"/>
  <c r="G11" i="3"/>
  <c r="C10" i="2" s="1"/>
  <c r="G12" i="3"/>
  <c r="C11" i="2" s="1"/>
  <c r="G7" i="3"/>
  <c r="C6" i="2" s="1"/>
  <c r="F6" i="3"/>
  <c r="B5" i="2" s="1"/>
  <c r="F10" i="3"/>
  <c r="B9" i="2" s="1"/>
  <c r="F12" i="3"/>
  <c r="B11" i="2" s="1"/>
  <c r="F5" i="3"/>
  <c r="B4" i="2" s="1"/>
  <c r="F8" i="3"/>
  <c r="B7" i="2" s="1"/>
  <c r="F11" i="3"/>
  <c r="B10" i="2" s="1"/>
  <c r="F9" i="3"/>
  <c r="B8" i="2" s="1"/>
  <c r="F7" i="3"/>
  <c r="B6" i="2" s="1"/>
  <c r="B3" i="2"/>
  <c r="E13" i="2" l="1"/>
  <c r="E12" i="2"/>
  <c r="E9" i="2"/>
  <c r="E8" i="2"/>
  <c r="E10" i="2"/>
  <c r="E3" i="2"/>
  <c r="E11" i="2"/>
  <c r="E6" i="2"/>
  <c r="E7" i="2"/>
  <c r="E5" i="2"/>
  <c r="E4" i="2"/>
  <c r="I3" i="2" l="1" a="1"/>
  <c r="I3" i="2" s="1"/>
  <c r="I2" i="2"/>
  <c r="I1" i="2"/>
  <c r="F12" i="2" l="1"/>
  <c r="F13" i="2"/>
  <c r="F5" i="2"/>
  <c r="F9" i="2"/>
  <c r="F7" i="2"/>
  <c r="F8" i="2"/>
  <c r="F3" i="2"/>
  <c r="F11" i="2"/>
  <c r="F6" i="2"/>
  <c r="F10" i="2"/>
  <c r="F4" i="2"/>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<sst xmlns="http://schemas.openxmlformats.org/spreadsheetml/2006/main" count="137" uniqueCount="94">
  <si>
    <t>POINT</t>
  </si>
  <si>
    <t>SYSTEM 1</t>
  </si>
  <si>
    <t>SYSTEM 2</t>
  </si>
  <si>
    <t>SCALE</t>
  </si>
  <si>
    <t>ROT X</t>
  </si>
  <si>
    <t>ROT Y</t>
  </si>
  <si>
    <t>ROT Z</t>
  </si>
  <si>
    <t>TRANS X</t>
  </si>
  <si>
    <t>TRANS Y</t>
  </si>
  <si>
    <t>TRANS Z</t>
  </si>
  <si>
    <t>99POWDER</t>
  </si>
  <si>
    <t>ELGINA</t>
  </si>
  <si>
    <t>X1</t>
  </si>
  <si>
    <t>Y1</t>
  </si>
  <si>
    <t>Z1</t>
  </si>
  <si>
    <t>X2</t>
  </si>
  <si>
    <t>Y2</t>
  </si>
  <si>
    <t>Z2</t>
  </si>
  <si>
    <t>PARAMETERS</t>
  </si>
  <si>
    <t>"</t>
  </si>
  <si>
    <t>'</t>
  </si>
  <si>
    <t>PPM</t>
  </si>
  <si>
    <t>GOOSE</t>
  </si>
  <si>
    <t>SCALE AND ROTATION MATRIX</t>
  </si>
  <si>
    <t>R33=</t>
  </si>
  <si>
    <t>R32=</t>
  </si>
  <si>
    <t>R31=</t>
  </si>
  <si>
    <t>R23=</t>
  </si>
  <si>
    <t>R22=</t>
  </si>
  <si>
    <t>R21=</t>
  </si>
  <si>
    <t>R13=</t>
  </si>
  <si>
    <t>R12=</t>
  </si>
  <si>
    <t>R11=</t>
  </si>
  <si>
    <t>INTERMEDIATE COMPUTATIONS</t>
  </si>
  <si>
    <t>Tz=</t>
  </si>
  <si>
    <t>Ty=</t>
  </si>
  <si>
    <t>Tx=</t>
  </si>
  <si>
    <t>Z-ROT(dd.mmss)=</t>
  </si>
  <si>
    <t>Y-ROT(dd.mmss)=</t>
  </si>
  <si>
    <t>X-ROT(dd.mmss)=</t>
  </si>
  <si>
    <t>&lt;--SCALE FACTOR</t>
  </si>
  <si>
    <t>SCALE(ppm)=</t>
  </si>
  <si>
    <t>TRANSFORMED Z</t>
  </si>
  <si>
    <t>TRANSFORMED Y</t>
  </si>
  <si>
    <t>TRANSFORMED X</t>
  </si>
  <si>
    <t>Point</t>
  </si>
  <si>
    <t>INPUT PARAMETERS</t>
  </si>
  <si>
    <t>7 Parameter Helmert Coordinate Transformation</t>
  </si>
  <si>
    <t>RESIDUALS</t>
  </si>
  <si>
    <t>X</t>
  </si>
  <si>
    <t>Y</t>
  </si>
  <si>
    <t>Z</t>
  </si>
  <si>
    <t>TOTAL</t>
  </si>
  <si>
    <t>GEODETIC TO GEOCENTRIC</t>
  </si>
  <si>
    <t>LATITUDE</t>
  </si>
  <si>
    <t>LONGITUDE</t>
  </si>
  <si>
    <t>ELLIP HEIGHT</t>
  </si>
  <si>
    <t>ELLIPSOID PARAMETERS</t>
  </si>
  <si>
    <t>a=</t>
  </si>
  <si>
    <t>1/f=</t>
  </si>
  <si>
    <t>N</t>
  </si>
  <si>
    <t>€²=</t>
  </si>
  <si>
    <t>ft</t>
  </si>
  <si>
    <t>GEOCENTRIC TO GEODETIC</t>
  </si>
  <si>
    <t xml:space="preserve">Z </t>
  </si>
  <si>
    <t>ELLIPSOID HEIGHT</t>
  </si>
  <si>
    <t>99 BECKER STATIC</t>
  </si>
  <si>
    <t>99 CASE</t>
  </si>
  <si>
    <t>99 Cove</t>
  </si>
  <si>
    <t>99 Imbler</t>
  </si>
  <si>
    <t>99 Med Springs</t>
  </si>
  <si>
    <t>99 PERRY</t>
  </si>
  <si>
    <t>99 Powder</t>
  </si>
  <si>
    <t>99 Scarfo</t>
  </si>
  <si>
    <t>99 Summerville</t>
  </si>
  <si>
    <t>99 Union</t>
  </si>
  <si>
    <t>99 Wallowa</t>
  </si>
  <si>
    <t>9327NERP</t>
  </si>
  <si>
    <t>9903A</t>
  </si>
  <si>
    <t>9906A</t>
  </si>
  <si>
    <t>9909A</t>
  </si>
  <si>
    <t>9931A</t>
  </si>
  <si>
    <t>200103AZ</t>
  </si>
  <si>
    <t>200143WC</t>
  </si>
  <si>
    <t>200806A</t>
  </si>
  <si>
    <t>Elgina</t>
  </si>
  <si>
    <t>RMS=</t>
  </si>
  <si>
    <t>OUTLIER</t>
  </si>
  <si>
    <t>STD DEV=</t>
  </si>
  <si>
    <t>MEAN=</t>
  </si>
  <si>
    <t>OUTLIER DETECTION</t>
  </si>
  <si>
    <t>x RMS =</t>
  </si>
  <si>
    <t>BLM MTN CBL 0</t>
  </si>
  <si>
    <t>COVE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</si>
</sst>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0"/>
    <numFmt numFmtId="165" formatCode="##0.\°00&quot;'&quot;00.00000000&quot;''&quot;"/>
    <numFmt numFmtId="166" formatCode="0.000"/>
    <numFmt numFmtId="167" formatCode="##0.\°00&quot;'&quot;00.000000&quot;''&quot;"/>
    <numFmt numFmtId="168" formatCode="0.000000000000000"/>
    <numFmt numFmtId="169" formatCode="0.00000000000000000"/>
    <numFmt numFmtId="170" formatCode="0.0000000000000000000"/>
    <numFmt numFmtId="171" formatCode="&quot;$&quot;#,##0.00000000000"/>
    <numFmt numFmtId="172" formatCode="0.0000000000"/>
  </numFmts>
  <fonts count="11" x14ac:knownFonts="1">
    <font>
      <sz val="11"/>
      <color theme="1"/>
      <name val="Calibri"/>
      <family val="2"/>
      <scheme val="minor"/>
    </font>
    <font>
      <b/>
      <sz val="11"/>
      <color theme="1"/>
      <name val="Calibri"/>
      <family val="2"/>
      <scheme val="minor"/>
    </font>
    <font>
      <b/>
      <sz val="12"/>
      <color theme="1"/>
      <name val="Calibri"/>
      <family val="2"/>
      <scheme val="minor"/>
    </font>
    <font>
      <sz val="12"/>
      <name val="Arial"/>
      <family val="2"/>
    </font>
    <font>
      <b/>
      <sz val="12"/>
      <name val="Arial"/>
      <family val="2"/>
    </font>
    <font>
      <b/>
      <i/>
      <sz val="12"/>
      <name val="Arial"/>
      <family val="2"/>
    </font>
    <font>
      <b/>
      <sz val="14"/>
      <name val="Arial"/>
      <family val="2"/>
    </font>
    <font>
      <b/>
      <sz val="16"/>
      <color theme="1"/>
      <name val="Calibri"/>
      <family val="2"/>
      <scheme val="minor"/>
    </font>
    <font>
      <b/>
      <sz val="14"/>
      <color theme="1"/>
      <name val="Calibri"/>
      <family val="2"/>
      <scheme val="minor"/>
    </font>
    <font>
      <sz val="11"/>
      <name val="Calibri"/>
      <family val="2"/>
      <scheme val="minor"/>
    </font>
    <font>
      <sz val="10"/>
      <color theme="1"/>
      <name val="Calibri"/>
      <family val="2"/>
      <scheme val="minor"/>
    </font>
  </fonts>
  <fills count="10">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92D050"/>
        <bgColor indexed="64"/>
      </patternFill>
    </fill>
    <fill>
      <patternFill patternType="solid">
        <fgColor theme="7"/>
        <bgColor indexed="64"/>
      </patternFill>
    </fill>
    <fill>
      <patternFill patternType="solid">
        <fgColor theme="9" tint="0.39997558519241921"/>
        <bgColor indexed="64"/>
      </patternFill>
    </fill>
    <fill>
      <patternFill patternType="solid">
        <fgColor theme="9"/>
        <bgColor indexed="64"/>
      </patternFill>
    </fill>
    <fill>
      <patternFill patternType="solid">
        <fgColor theme="9" tint="0.79998168889431442"/>
        <bgColor indexed="64"/>
      </patternFill>
    </fill>
    <fill>
      <patternFill patternType="solid">
        <fgColor theme="3" tint="0.79998168889431442"/>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s>
  <cellStyleXfs count="2">
    <xf numFmtId="0" fontId="0" fillId="0" borderId="0"/>
    <xf numFmtId="0" fontId="3" fillId="0" borderId="0"/>
  </cellStyleXfs>
  <cellXfs count="106">
    <xf numFmtId="0" fontId="0" fillId="0" borderId="0" xfId="0"/>
    <xf numFmtId="0" fontId="0" fillId="0" borderId="1" xfId="0" applyBorder="1" applyAlignment="1">
      <alignment horizontal="center"/>
    </xf>
    <xf numFmtId="0" fontId="0" fillId="0" borderId="1" xfId="0" applyBorder="1"/>
    <xf numFmtId="0" fontId="2" fillId="2" borderId="1" xfId="0" applyFont="1" applyFill="1" applyBorder="1" applyAlignment="1">
      <alignment horizontal="center"/>
    </xf>
    <xf numFmtId="0" fontId="0" fillId="0" borderId="2" xfId="0" applyBorder="1"/>
    <xf numFmtId="0" fontId="0" fillId="0" borderId="5" xfId="0" applyBorder="1"/>
    <xf numFmtId="0" fontId="0" fillId="0" borderId="0" xfId="0" applyAlignment="1">
      <alignment horizontal="right"/>
    </xf>
    <xf numFmtId="0" fontId="2" fillId="2" borderId="7" xfId="0" applyFont="1" applyFill="1" applyBorder="1"/>
    <xf numFmtId="0" fontId="0" fillId="0" borderId="1" xfId="0" quotePrefix="1" applyBorder="1"/>
    <xf numFmtId="0" fontId="0" fillId="3" borderId="0" xfId="0" applyFill="1" applyAlignment="1">
      <alignment horizontal="right"/>
    </xf>
    <xf numFmtId="0" fontId="0" fillId="0" borderId="10" xfId="0" applyBorder="1"/>
    <xf numFmtId="0" fontId="0" fillId="0" borderId="10" xfId="0" applyBorder="1" applyAlignment="1">
      <alignment horizontal="right"/>
    </xf>
    <xf numFmtId="0" fontId="0" fillId="0" borderId="3" xfId="0" applyBorder="1"/>
    <xf numFmtId="0" fontId="0" fillId="3" borderId="11" xfId="0" applyFill="1" applyBorder="1"/>
    <xf numFmtId="0" fontId="0" fillId="0" borderId="12" xfId="0" quotePrefix="1" applyBorder="1"/>
    <xf numFmtId="0" fontId="0" fillId="3" borderId="13" xfId="0" applyFill="1" applyBorder="1" applyAlignment="1">
      <alignment horizontal="right"/>
    </xf>
    <xf numFmtId="0" fontId="0" fillId="3" borderId="14" xfId="0" applyFill="1" applyBorder="1"/>
    <xf numFmtId="0" fontId="0" fillId="0" borderId="0" xfId="0" applyAlignment="1">
      <alignment horizontal="center"/>
    </xf>
    <xf numFmtId="0" fontId="3" fillId="0" borderId="0" xfId="1"/>
    <xf numFmtId="0" fontId="3" fillId="0" borderId="0" xfId="1" applyAlignment="1">
      <alignment horizontal="center"/>
    </xf>
    <xf numFmtId="0" fontId="3" fillId="0" borderId="15" xfId="1" applyBorder="1"/>
    <xf numFmtId="164" fontId="3" fillId="0" borderId="0" xfId="1" applyNumberFormat="1" applyAlignment="1">
      <alignment horizontal="center"/>
    </xf>
    <xf numFmtId="0" fontId="3" fillId="0" borderId="0" xfId="1" applyAlignment="1" applyProtection="1">
      <alignment horizontal="center"/>
      <protection locked="0"/>
    </xf>
    <xf numFmtId="164" fontId="3" fillId="0" borderId="1" xfId="1" applyNumberFormat="1" applyBorder="1" applyAlignment="1">
      <alignment horizontal="center"/>
    </xf>
    <xf numFmtId="0" fontId="3" fillId="0" borderId="1" xfId="1" applyBorder="1" applyAlignment="1">
      <alignment horizontal="center"/>
    </xf>
    <xf numFmtId="164" fontId="3" fillId="0" borderId="1" xfId="1" applyNumberFormat="1" applyBorder="1" applyAlignment="1" applyProtection="1">
      <alignment horizontal="center"/>
      <protection locked="0"/>
    </xf>
    <xf numFmtId="0" fontId="3" fillId="0" borderId="1" xfId="1" applyBorder="1" applyAlignment="1" applyProtection="1">
      <alignment horizontal="center"/>
      <protection locked="0"/>
    </xf>
    <xf numFmtId="0" fontId="3" fillId="0" borderId="1" xfId="1" applyBorder="1"/>
    <xf numFmtId="0" fontId="3" fillId="0" borderId="1" xfId="1" quotePrefix="1" applyBorder="1" applyAlignment="1" applyProtection="1">
      <alignment horizontal="center"/>
      <protection locked="0"/>
    </xf>
    <xf numFmtId="165" fontId="3" fillId="0" borderId="1" xfId="1" applyNumberFormat="1" applyBorder="1" applyAlignment="1">
      <alignment horizontal="center"/>
    </xf>
    <xf numFmtId="0" fontId="3" fillId="0" borderId="15" xfId="1" applyBorder="1" applyAlignment="1">
      <alignment horizontal="center"/>
    </xf>
    <xf numFmtId="164" fontId="3" fillId="0" borderId="8" xfId="1" applyNumberFormat="1" applyBorder="1" applyAlignment="1">
      <alignment horizontal="center"/>
    </xf>
    <xf numFmtId="0" fontId="5" fillId="0" borderId="0" xfId="1" applyFont="1"/>
    <xf numFmtId="0" fontId="3" fillId="0" borderId="0" xfId="1" quotePrefix="1"/>
    <xf numFmtId="0" fontId="5" fillId="0" borderId="15" xfId="1" applyFont="1" applyBorder="1"/>
    <xf numFmtId="166" fontId="0" fillId="0" borderId="1" xfId="0" applyNumberFormat="1" applyBorder="1" applyAlignment="1">
      <alignment horizontal="center"/>
    </xf>
    <xf numFmtId="166" fontId="0" fillId="0" borderId="0" xfId="0" applyNumberFormat="1" applyAlignment="1">
      <alignment horizontal="center"/>
    </xf>
    <xf numFmtId="0" fontId="5" fillId="4" borderId="1" xfId="1" applyFont="1" applyFill="1" applyBorder="1" applyAlignment="1">
      <alignment horizontal="center"/>
    </xf>
    <xf numFmtId="164" fontId="5" fillId="4" borderId="1" xfId="1" applyNumberFormat="1" applyFont="1" applyFill="1" applyBorder="1" applyAlignment="1">
      <alignment horizontal="center"/>
    </xf>
    <xf numFmtId="164" fontId="5" fillId="4" borderId="8" xfId="1" applyNumberFormat="1" applyFont="1" applyFill="1" applyBorder="1" applyAlignment="1">
      <alignment horizontal="center"/>
    </xf>
    <xf numFmtId="0" fontId="3" fillId="4" borderId="1" xfId="1" applyFill="1" applyBorder="1" applyAlignment="1">
      <alignment horizontal="center"/>
    </xf>
    <xf numFmtId="0" fontId="4" fillId="4" borderId="1" xfId="1" applyFont="1" applyFill="1" applyBorder="1" applyAlignment="1">
      <alignment horizontal="center"/>
    </xf>
    <xf numFmtId="0" fontId="2" fillId="4" borderId="1" xfId="0" applyFont="1" applyFill="1" applyBorder="1" applyAlignment="1">
      <alignment horizontal="center"/>
    </xf>
    <xf numFmtId="0" fontId="1" fillId="4" borderId="4" xfId="0" applyFont="1" applyFill="1" applyBorder="1"/>
    <xf numFmtId="0" fontId="1" fillId="4" borderId="6" xfId="0" applyFont="1" applyFill="1" applyBorder="1"/>
    <xf numFmtId="166" fontId="2" fillId="4" borderId="1" xfId="0" applyNumberFormat="1" applyFont="1" applyFill="1" applyBorder="1" applyAlignment="1">
      <alignment horizontal="center"/>
    </xf>
    <xf numFmtId="0" fontId="9" fillId="3" borderId="1" xfId="0" applyFont="1" applyFill="1" applyBorder="1" applyAlignment="1">
      <alignment horizontal="center"/>
    </xf>
    <xf numFmtId="0" fontId="2" fillId="6" borderId="1" xfId="0" applyFont="1" applyFill="1" applyBorder="1" applyAlignment="1">
      <alignment horizontal="center"/>
    </xf>
    <xf numFmtId="0" fontId="2" fillId="6" borderId="4" xfId="0" applyFont="1" applyFill="1" applyBorder="1" applyAlignment="1">
      <alignment horizontal="center"/>
    </xf>
    <xf numFmtId="0" fontId="2" fillId="6" borderId="1" xfId="0" applyFont="1" applyFill="1" applyBorder="1" applyAlignment="1">
      <alignment horizontal="right"/>
    </xf>
    <xf numFmtId="0" fontId="2" fillId="6" borderId="15" xfId="0" applyFont="1" applyFill="1" applyBorder="1" applyAlignment="1">
      <alignment horizontal="center"/>
    </xf>
    <xf numFmtId="0" fontId="0" fillId="0" borderId="1" xfId="0" applyBorder="1" applyAlignment="1">
      <alignment horizontal="right"/>
    </xf>
    <xf numFmtId="167" fontId="2" fillId="6" borderId="1" xfId="0" applyNumberFormat="1" applyFont="1" applyFill="1" applyBorder="1" applyAlignment="1">
      <alignment horizontal="center"/>
    </xf>
    <xf numFmtId="167" fontId="0" fillId="0" borderId="1" xfId="0" applyNumberFormat="1" applyBorder="1" applyAlignment="1">
      <alignment horizontal="center"/>
    </xf>
    <xf numFmtId="167" fontId="0" fillId="0" borderId="12" xfId="0" applyNumberFormat="1" applyBorder="1" applyAlignment="1">
      <alignment horizontal="center"/>
    </xf>
    <xf numFmtId="167" fontId="0" fillId="0" borderId="0" xfId="0" applyNumberFormat="1" applyAlignment="1">
      <alignment horizontal="center"/>
    </xf>
    <xf numFmtId="166" fontId="2" fillId="6" borderId="1" xfId="0" applyNumberFormat="1" applyFont="1" applyFill="1" applyBorder="1" applyAlignment="1">
      <alignment horizontal="center"/>
    </xf>
    <xf numFmtId="166" fontId="2" fillId="6" borderId="5" xfId="0" applyNumberFormat="1" applyFont="1" applyFill="1" applyBorder="1" applyAlignment="1">
      <alignment horizontal="center"/>
    </xf>
    <xf numFmtId="166" fontId="0" fillId="0" borderId="5" xfId="0" applyNumberFormat="1" applyBorder="1" applyAlignment="1">
      <alignment horizontal="center"/>
    </xf>
    <xf numFmtId="166" fontId="0" fillId="0" borderId="21" xfId="0" applyNumberFormat="1" applyBorder="1" applyAlignment="1">
      <alignment horizontal="center"/>
    </xf>
    <xf numFmtId="0" fontId="2" fillId="0" borderId="0" xfId="0" applyFont="1" applyAlignment="1">
      <alignment horizontal="center"/>
    </xf>
    <xf numFmtId="0" fontId="0" fillId="0" borderId="1" xfId="0" applyBorder="1" applyAlignment="1" applyProtection="1">
      <alignment horizontal="center"/>
      <protection locked="0"/>
    </xf>
    <xf numFmtId="0" fontId="0" fillId="0" borderId="1" xfId="0" applyBorder="1" applyProtection="1">
      <protection locked="0"/>
    </xf>
    <xf numFmtId="0" fontId="0" fillId="0" borderId="0" xfId="0" applyProtection="1">
      <protection locked="0"/>
    </xf>
    <xf numFmtId="0" fontId="0" fillId="0" borderId="8" xfId="0" applyBorder="1" applyProtection="1">
      <protection locked="0"/>
    </xf>
    <xf numFmtId="0" fontId="0" fillId="0" borderId="9" xfId="0" applyBorder="1" applyProtection="1">
      <protection locked="0"/>
    </xf>
    <xf numFmtId="0" fontId="0" fillId="0" borderId="4" xfId="0" applyBorder="1" applyAlignment="1" applyProtection="1">
      <alignment horizontal="center"/>
      <protection locked="0"/>
    </xf>
    <xf numFmtId="167" fontId="0" fillId="0" borderId="1" xfId="0" applyNumberFormat="1" applyBorder="1" applyAlignment="1" applyProtection="1">
      <alignment horizontal="center"/>
      <protection locked="0"/>
    </xf>
    <xf numFmtId="0" fontId="0" fillId="0" borderId="6" xfId="0" applyBorder="1" applyAlignment="1" applyProtection="1">
      <alignment horizontal="center"/>
      <protection locked="0"/>
    </xf>
    <xf numFmtId="166" fontId="0" fillId="0" borderId="1" xfId="0" applyNumberFormat="1" applyBorder="1" applyAlignment="1" applyProtection="1">
      <alignment horizontal="center"/>
      <protection locked="0"/>
    </xf>
    <xf numFmtId="166" fontId="0" fillId="0" borderId="12" xfId="0" applyNumberFormat="1" applyBorder="1" applyAlignment="1" applyProtection="1">
      <alignment horizontal="center"/>
      <protection locked="0"/>
    </xf>
    <xf numFmtId="168" fontId="0" fillId="0" borderId="0" xfId="0" applyNumberFormat="1"/>
    <xf numFmtId="0" fontId="0" fillId="2" borderId="1" xfId="0" applyFill="1" applyBorder="1" applyAlignment="1">
      <alignment horizontal="right"/>
    </xf>
    <xf numFmtId="169" fontId="0" fillId="0" borderId="1" xfId="0" applyNumberFormat="1" applyBorder="1" applyAlignment="1">
      <alignment horizontal="center"/>
    </xf>
    <xf numFmtId="0" fontId="0" fillId="2" borderId="1" xfId="0" applyFill="1" applyBorder="1" applyAlignment="1">
      <alignment horizontal="center"/>
    </xf>
    <xf numFmtId="0" fontId="1" fillId="7" borderId="1" xfId="0" applyFont="1" applyFill="1" applyBorder="1" applyAlignment="1">
      <alignment horizontal="center"/>
    </xf>
    <xf numFmtId="169" fontId="0" fillId="0" borderId="0" xfId="0" applyNumberFormat="1" applyAlignment="1">
      <alignment horizontal="center"/>
    </xf>
    <xf numFmtId="0" fontId="1" fillId="0" borderId="0" xfId="0" applyFont="1" applyAlignment="1">
      <alignment horizontal="center"/>
    </xf>
    <xf numFmtId="166" fontId="10" fillId="2" borderId="1" xfId="0" applyNumberFormat="1" applyFont="1" applyFill="1" applyBorder="1" applyAlignment="1">
      <alignment horizontal="center"/>
    </xf>
    <xf numFmtId="0" fontId="0" fillId="8" borderId="1" xfId="0" applyFill="1" applyBorder="1"/>
    <xf numFmtId="169" fontId="0" fillId="0" borderId="22" xfId="0" applyNumberFormat="1" applyBorder="1" applyAlignment="1">
      <alignment horizontal="center"/>
    </xf>
    <xf numFmtId="0" fontId="0" fillId="2" borderId="1" xfId="0" applyFill="1" applyBorder="1"/>
    <xf numFmtId="0" fontId="0" fillId="9" borderId="1" xfId="0" applyFill="1" applyBorder="1" applyProtection="1">
      <protection locked="0"/>
    </xf>
    <xf numFmtId="170" fontId="0" fillId="0" borderId="0" xfId="0" applyNumberFormat="1"/>
    <xf numFmtId="171" fontId="0" fillId="0" borderId="1" xfId="0" applyNumberFormat="1" applyBorder="1"/>
    <xf numFmtId="171" fontId="0" fillId="0" borderId="0" xfId="0" applyNumberFormat="1"/>
    <xf numFmtId="2" fontId="0" fillId="0" borderId="1" xfId="0" applyNumberFormat="1" applyBorder="1" applyProtection="1">
      <protection locked="0"/>
    </xf>
    <xf numFmtId="2" fontId="0" fillId="0" borderId="0" xfId="0" applyNumberFormat="1"/>
    <xf numFmtId="172" fontId="0" fillId="0" borderId="1" xfId="0" applyNumberFormat="1" applyBorder="1" applyProtection="1">
      <protection locked="0"/>
    </xf>
    <xf numFmtId="172" fontId="0" fillId="0" borderId="1" xfId="0" applyNumberFormat="1" applyBorder="1"/>
    <xf numFmtId="0" fontId="2" fillId="2" borderId="1" xfId="0" applyFont="1" applyFill="1" applyBorder="1" applyAlignment="1">
      <alignment horizontal="center"/>
    </xf>
    <xf numFmtId="0" fontId="4" fillId="0" borderId="1" xfId="1" applyFont="1" applyBorder="1" applyAlignment="1">
      <alignment horizontal="center"/>
    </xf>
    <xf numFmtId="0" fontId="6" fillId="2" borderId="16" xfId="1" applyFont="1" applyFill="1" applyBorder="1" applyAlignment="1">
      <alignment horizontal="center" vertical="center"/>
    </xf>
    <xf numFmtId="0" fontId="6" fillId="2" borderId="19" xfId="1" applyFont="1" applyFill="1" applyBorder="1" applyAlignment="1">
      <alignment horizontal="center" vertical="center"/>
    </xf>
    <xf numFmtId="0" fontId="6" fillId="2" borderId="8" xfId="1" applyFont="1" applyFill="1" applyBorder="1" applyAlignment="1">
      <alignment horizontal="center"/>
    </xf>
    <xf numFmtId="0" fontId="6" fillId="2" borderId="18" xfId="1" applyFont="1" applyFill="1" applyBorder="1" applyAlignment="1">
      <alignment horizontal="center"/>
    </xf>
    <xf numFmtId="0" fontId="4" fillId="0" borderId="17" xfId="1" applyFont="1" applyBorder="1" applyAlignment="1">
      <alignment horizontal="center"/>
    </xf>
    <xf numFmtId="0" fontId="4" fillId="0" borderId="16" xfId="1" applyFont="1" applyBorder="1" applyAlignment="1">
      <alignment horizontal="center"/>
    </xf>
    <xf numFmtId="166" fontId="7" fillId="2" borderId="1" xfId="0" applyNumberFormat="1" applyFont="1" applyFill="1" applyBorder="1" applyAlignment="1">
      <alignment horizontal="center"/>
    </xf>
    <xf numFmtId="0" fontId="0" fillId="2" borderId="1" xfId="0" applyFill="1" applyBorder="1" applyAlignment="1">
      <alignment horizontal="center"/>
    </xf>
    <xf numFmtId="0" fontId="8" fillId="5" borderId="2" xfId="0" applyFont="1" applyFill="1" applyBorder="1" applyAlignment="1">
      <alignment horizontal="center"/>
    </xf>
    <xf numFmtId="0" fontId="8" fillId="5" borderId="10" xfId="0" applyFont="1" applyFill="1" applyBorder="1" applyAlignment="1">
      <alignment horizontal="center"/>
    </xf>
    <xf numFmtId="0" fontId="8" fillId="5" borderId="3" xfId="0" applyFont="1" applyFill="1" applyBorder="1" applyAlignment="1">
      <alignment horizontal="center"/>
    </xf>
    <xf numFmtId="0" fontId="2" fillId="5" borderId="8" xfId="0" applyFont="1" applyFill="1" applyBorder="1" applyAlignment="1">
      <alignment horizontal="center"/>
    </xf>
    <xf numFmtId="0" fontId="2" fillId="5" borderId="20" xfId="0" applyFont="1" applyFill="1" applyBorder="1" applyAlignment="1">
      <alignment horizontal="center"/>
    </xf>
    <xf numFmtId="0" fontId="2" fillId="5" borderId="18" xfId="0" applyFont="1" applyFill="1" applyBorder="1" applyAlignment="1">
      <alignment horizontal="center"/>
    </xf>
  </cellXfs>
  <cellStyles count="2">
    <cellStyle name="Normal" xfId="0" builtinId="0"/>
    <cellStyle name="Normal 2" xfId="1" xr:uid="{B22D8F6B-F8B6-41CF-957E-017D6E5CCDC3}"/>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19050</xdr:colOff>
          <xdr:row>11</xdr:row>
          <xdr:rowOff>19050</xdr:rowOff>
        </xdr:from>
        <xdr:to>
          <xdr:col>11</xdr:col>
          <xdr:colOff>76200</xdr:colOff>
          <xdr:row>13</xdr:row>
          <xdr:rowOff>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xdr:row>
          <xdr:rowOff>133350</xdr:rowOff>
        </xdr:from>
        <xdr:to>
          <xdr:col>11</xdr:col>
          <xdr:colOff>76200</xdr:colOff>
          <xdr:row>15</xdr:row>
          <xdr:rowOff>114300</xdr:rowOff>
        </xdr:to>
        <xdr:sp macro="" textlink="">
          <xdr:nvSpPr>
            <xdr:cNvPr id="1026" name="CommandButton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257175</xdr:colOff>
      <xdr:row>16</xdr:row>
      <xdr:rowOff>85725</xdr:rowOff>
    </xdr:from>
    <xdr:to>
      <xdr:col>15</xdr:col>
      <xdr:colOff>228600</xdr:colOff>
      <xdr:row>31</xdr:row>
      <xdr:rowOff>22860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983855" y="3049905"/>
          <a:ext cx="5968365" cy="2680335"/>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a:t>
          </a:r>
          <a:r>
            <a:rPr lang="en-US" sz="1100" baseline="0"/>
            <a:t> sheet computes the 7 parameters of a Helmert 3D similarity transformation for purposes of determining a transformation between two datum realizations.  Input should be geocentric X, Y, and Z coordinates in the the system that you are tranforming from in Columns B, C, and D.  The Geocentric X, Y, and Z coordinates of the datum that you are transforming to are in Columns E, F and G.  </a:t>
          </a:r>
        </a:p>
        <a:p>
          <a:endParaRPr lang="en-US" sz="1100" baseline="0"/>
        </a:p>
        <a:p>
          <a:r>
            <a:rPr lang="en-US" sz="1100" baseline="0"/>
            <a:t>Button 'COMPUTE PARAMETERS' will compute the paramenters.  </a:t>
          </a:r>
        </a:p>
        <a:p>
          <a:r>
            <a:rPr lang="en-US" sz="1100" baseline="0"/>
            <a:t>Button 'COMPUTE RESIDUALS' will show display residuals in the Sheet labeled 'RESIDUALS'.  </a:t>
          </a:r>
        </a:p>
        <a:p>
          <a:r>
            <a:rPr lang="en-US" sz="1100" baseline="0"/>
            <a:t>Adjusted coordinates can be seen in sheet labeled 'APPLY TRANSFORMATION'</a:t>
          </a:r>
        </a:p>
        <a:p>
          <a:endParaRPr lang="en-US" sz="1100" baseline="0"/>
        </a:p>
        <a:p>
          <a:r>
            <a:rPr lang="en-US" sz="1100" b="1" baseline="0"/>
            <a:t>DISCLAIMER: THE UNION COUNTY SURVEYOR DOES NOT MAKE ANY CLAIMS OF ACCURACY, OR DOES IN ANY WAY WARRANTY THE INFORMATION CONTAINED IN, OR DERIVED FROM, THIS SPREADSHEET OTHER THAN FOR ITS OWN INTERNAL USE.  USE OF THIS SPREADSHEET BY OTHERS OUTISDE OF THE UNION COUNTY SURVEYOR'S OFFICE, IS DONE WITHOUT ANY EXPRESSED OR IMPLIED WARRANTY AS TO THE ACCURACY OF THE INFORMATION CONTAINED WITHIN.</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38100</xdr:colOff>
          <xdr:row>26</xdr:row>
          <xdr:rowOff>38100</xdr:rowOff>
        </xdr:from>
        <xdr:to>
          <xdr:col>10</xdr:col>
          <xdr:colOff>695325</xdr:colOff>
          <xdr:row>28</xdr:row>
          <xdr:rowOff>171450</xdr:rowOff>
        </xdr:to>
        <xdr:sp macro="" textlink="">
          <xdr:nvSpPr>
            <xdr:cNvPr id="2052" name="CommandButton1"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974912</xdr:colOff>
      <xdr:row>26</xdr:row>
      <xdr:rowOff>56029</xdr:rowOff>
    </xdr:from>
    <xdr:to>
      <xdr:col>12</xdr:col>
      <xdr:colOff>470647</xdr:colOff>
      <xdr:row>28</xdr:row>
      <xdr:rowOff>123265</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3659971" y="5098676"/>
          <a:ext cx="2633382" cy="448236"/>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a:t>
          </a:r>
          <a:r>
            <a:rPr lang="en-US" sz="1100" baseline="0"/>
            <a:t> button will load the 7 parameters from sheet 'COMPUTE PARAMETERS'</a:t>
          </a:r>
          <a:endParaRPr lang="en-US" sz="1100"/>
        </a:p>
      </xdr:txBody>
    </xdr:sp>
    <xdr:clientData/>
  </xdr:twoCellAnchor>
  <xdr:twoCellAnchor>
    <xdr:from>
      <xdr:col>11</xdr:col>
      <xdr:colOff>156882</xdr:colOff>
      <xdr:row>3</xdr:row>
      <xdr:rowOff>201706</xdr:rowOff>
    </xdr:from>
    <xdr:to>
      <xdr:col>12</xdr:col>
      <xdr:colOff>1355912</xdr:colOff>
      <xdr:row>9</xdr:row>
      <xdr:rowOff>22412</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4847794" y="750794"/>
          <a:ext cx="2330824" cy="1053353"/>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SHEET APPLIES</a:t>
          </a:r>
          <a:r>
            <a:rPr lang="en-US" sz="1100" baseline="0"/>
            <a:t> A 7 PARAMETER HELMERT TRANSFORMATION.  INPUT OF THE ROTATION SHOULD BE DD.MMSSSSSSSS.  SCALE FACTOR INPUT IS IN PARTS PER MILLION</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430531</xdr:colOff>
      <xdr:row>7</xdr:row>
      <xdr:rowOff>7620</xdr:rowOff>
    </xdr:from>
    <xdr:to>
      <xdr:col>8</xdr:col>
      <xdr:colOff>1684020</xdr:colOff>
      <xdr:row>25</xdr:row>
      <xdr:rowOff>129540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6396991" y="1386840"/>
          <a:ext cx="2503169" cy="341376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SHEET COMPUTES</a:t>
          </a:r>
          <a:r>
            <a:rPr lang="en-US" sz="1100" baseline="0"/>
            <a:t> RESIDUALS BASED ON THE DIFFERENCE BETWEEN THE 'OBSERVED' COORDINATES ON SHEET 1 AND THE 'ADJUSTED' COORDINATES COMPUTED ON SHEET 2.</a:t>
          </a:r>
        </a:p>
        <a:p>
          <a:endParaRPr lang="en-US" sz="1100" baseline="0"/>
        </a:p>
        <a:p>
          <a:r>
            <a:rPr lang="en-US" sz="1100" baseline="0"/>
            <a:t>SHEET IS INTENDED </a:t>
          </a:r>
          <a:r>
            <a:rPr lang="en-US" sz="1100" b="1" u="sng" baseline="0">
              <a:solidFill>
                <a:schemeClr val="dk1"/>
              </a:solidFill>
              <a:effectLst/>
              <a:latin typeface="+mn-lt"/>
              <a:ea typeface="+mn-ea"/>
              <a:cs typeface="+mn-cs"/>
            </a:rPr>
            <a:t>ONLY</a:t>
          </a:r>
          <a:r>
            <a:rPr lang="en-US" sz="1100" b="1" baseline="0">
              <a:solidFill>
                <a:schemeClr val="dk1"/>
              </a:solidFill>
              <a:effectLst/>
              <a:latin typeface="+mn-lt"/>
              <a:ea typeface="+mn-ea"/>
              <a:cs typeface="+mn-cs"/>
            </a:rPr>
            <a:t> </a:t>
          </a:r>
          <a:r>
            <a:rPr lang="en-US" sz="1100" baseline="0"/>
            <a:t>FOR USE WHEN THE 'COMPUTE RESIDUALS' BUTTON IS PRESSED ON THE 'COMPUTE PARAMETERS' SHEET.  IF THE 'APPLY TRANSFORMATION' SHEET IS UTILIZED FOR COMPUTATION OF A DIFFERENT DATASET, THEN THE NUMBERS SHOWN HERE ARE INCORRECT</a:t>
          </a:r>
        </a:p>
        <a:p>
          <a:endParaRPr lang="en-US" sz="1100" baseline="0"/>
        </a:p>
        <a:p>
          <a:r>
            <a:rPr lang="en-US" sz="1100" baseline="0"/>
            <a:t>OUTLIER DETECTION WILL SHOW IF RESIDUALS EXCEED ROOT MEAN SQUARE x VALUE SPECIFIED IN CELL I6</a:t>
          </a:r>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9525</xdr:colOff>
      <xdr:row>4</xdr:row>
      <xdr:rowOff>190499</xdr:rowOff>
    </xdr:from>
    <xdr:to>
      <xdr:col>14</xdr:col>
      <xdr:colOff>9525</xdr:colOff>
      <xdr:row>19</xdr:row>
      <xdr:rowOff>95250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9191625" y="1019174"/>
          <a:ext cx="1981200" cy="276225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SPREADSHEET IS INTEDED FOR USE IN WESTERN HEMISPHERE AND AS SUCH, ASSUMES THAT LONGITUDES ARE WEST</a:t>
          </a:r>
        </a:p>
        <a:p>
          <a:endParaRPr lang="en-US" sz="1100"/>
        </a:p>
        <a:p>
          <a:r>
            <a:rPr lang="en-US" sz="1100"/>
            <a:t>UNITS USED FOR THE SEMIMAJOR AXIS ARE</a:t>
          </a:r>
          <a:r>
            <a:rPr lang="en-US" sz="1100" baseline="0"/>
            <a:t> THE UNITS USED FOR X, Y, AND Z COORDINATES, AND THE UNITS THAT SHOULD BE USED FOR ELLIPSOID HEIGHT</a:t>
          </a:r>
        </a:p>
        <a:p>
          <a:endParaRPr lang="en-US" sz="1100" baseline="0"/>
        </a:p>
        <a:p>
          <a:r>
            <a:rPr lang="en-US" sz="1100" baseline="0"/>
            <a:t>INPUT FOR GEODETIC COORDINATES ARE IN FORMAT DD.MMSSSSSSS.</a:t>
          </a:r>
          <a:endParaRPr lang="en-US" sz="1100"/>
        </a:p>
      </xdr:txBody>
    </xdr:sp>
    <xdr:clientData/>
  </xdr:twoCellAnchor>
  <xdr:twoCellAnchor>
    <xdr:from>
      <xdr:col>15</xdr:col>
      <xdr:colOff>1</xdr:colOff>
      <xdr:row>1</xdr:row>
      <xdr:rowOff>38100</xdr:rowOff>
    </xdr:from>
    <xdr:to>
      <xdr:col>18</xdr:col>
      <xdr:colOff>190501</xdr:colOff>
      <xdr:row>10</xdr:row>
      <xdr:rowOff>28575</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11772901" y="276225"/>
          <a:ext cx="2019300" cy="1724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u="sng"/>
            <a:t>GRS-80</a:t>
          </a:r>
          <a:r>
            <a:rPr lang="en-US" sz="1100" u="sng" baseline="0"/>
            <a:t> ELLIPSOID</a:t>
          </a:r>
        </a:p>
        <a:p>
          <a:r>
            <a:rPr lang="en-US" sz="1100" baseline="0"/>
            <a:t>a = 6,378,137 m</a:t>
          </a:r>
        </a:p>
        <a:p>
          <a:r>
            <a:rPr lang="en-US" sz="1100" baseline="0"/>
            <a:t>     (20,925,646.33 int. ft.)</a:t>
          </a:r>
        </a:p>
        <a:p>
          <a:endParaRPr lang="en-US" sz="1100" baseline="0"/>
        </a:p>
        <a:p>
          <a:r>
            <a:rPr lang="en-US" sz="1100" baseline="0"/>
            <a:t>1/f = 298.257222100882711243</a:t>
          </a:r>
        </a:p>
        <a:p>
          <a:endParaRPr lang="en-US" sz="1100" baseline="0"/>
        </a:p>
        <a:p>
          <a:r>
            <a:rPr lang="en-US" sz="1100" u="sng" baseline="0"/>
            <a:t>CLARKE SPHEROID</a:t>
          </a:r>
        </a:p>
        <a:p>
          <a:r>
            <a:rPr lang="en-US" sz="1100" baseline="0"/>
            <a:t>a = 6,378,206.4 m</a:t>
          </a:r>
        </a:p>
        <a:p>
          <a:r>
            <a:rPr lang="en-US" sz="1100" baseline="0"/>
            <a:t>1/f = 294.9786982</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12</xdr:col>
      <xdr:colOff>0</xdr:colOff>
      <xdr:row>5</xdr:row>
      <xdr:rowOff>19050</xdr:rowOff>
    </xdr:from>
    <xdr:to>
      <xdr:col>15</xdr:col>
      <xdr:colOff>38100</xdr:colOff>
      <xdr:row>12</xdr:row>
      <xdr:rowOff>161925</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9715500" y="1038225"/>
          <a:ext cx="1981200" cy="1476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SPREADSHEET IS INTEDED FOR USE IN WESTERN HEMISPHERE AND AS SUCH, ASSUMES THAT LONGITUDES ARE WEST</a:t>
          </a:r>
        </a:p>
        <a:p>
          <a:endParaRPr lang="en-US" sz="1100"/>
        </a:p>
        <a:p>
          <a:r>
            <a:rPr lang="en-US" sz="1100"/>
            <a:t>UNITS</a:t>
          </a:r>
          <a:r>
            <a:rPr lang="en-US" sz="1100" baseline="0"/>
            <a:t> USED FOR SEMIMAJOR AXIS WILL BE THE UNITS USED FOR THE ELLIPSOID HEIGHT</a:t>
          </a:r>
          <a:endParaRPr lang="en-US" sz="1100"/>
        </a:p>
      </xdr:txBody>
    </xdr:sp>
    <xdr:clientData/>
  </xdr:twoCellAnchor>
  <xdr:twoCellAnchor>
    <xdr:from>
      <xdr:col>15</xdr:col>
      <xdr:colOff>352425</xdr:colOff>
      <xdr:row>0</xdr:row>
      <xdr:rowOff>66675</xdr:rowOff>
    </xdr:from>
    <xdr:to>
      <xdr:col>18</xdr:col>
      <xdr:colOff>542925</xdr:colOff>
      <xdr:row>9</xdr:row>
      <xdr:rowOff>9525</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12392025" y="66675"/>
          <a:ext cx="2019300" cy="1724025"/>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sng" strike="noStrike" kern="0" cap="none" spc="0" normalizeH="0" baseline="0" noProof="0">
              <a:ln>
                <a:noFill/>
              </a:ln>
              <a:solidFill>
                <a:sysClr val="windowText" lastClr="000000"/>
              </a:solidFill>
              <a:effectLst/>
              <a:uLnTx/>
              <a:uFillTx/>
              <a:latin typeface="Calibri" panose="020F0502020204030204"/>
              <a:ea typeface="+mn-ea"/>
              <a:cs typeface="+mn-cs"/>
            </a:rPr>
            <a:t>GRS-80 ELLIPSOID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a = 6,378,137 m</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     (20,925,646.33 int. ft.)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1/f = 298.257222100882711243</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sng" strike="noStrike" kern="0" cap="none" spc="0" normalizeH="0" baseline="0" noProof="0">
              <a:ln>
                <a:noFill/>
              </a:ln>
              <a:solidFill>
                <a:sysClr val="windowText" lastClr="000000"/>
              </a:solidFill>
              <a:effectLst/>
              <a:uLnTx/>
              <a:uFillTx/>
              <a:latin typeface="Calibri" panose="020F0502020204030204"/>
              <a:ea typeface="+mn-ea"/>
              <a:cs typeface="+mn-cs"/>
            </a:rPr>
            <a:t>CLARKE SPHEROID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a = 6,378,206.4 m</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1/f = 294.9786982</a:t>
          </a:r>
        </a:p>
      </xdr:txBody>
    </xdr:sp>
    <xdr:clientData/>
  </xdr:twoCellAnchor>
  <mc:AlternateContent xmlns:mc="http://schemas.openxmlformats.org/markup-compatibility/2006">
    <mc:Choice xmlns:a14="http://schemas.microsoft.com/office/drawing/2010/main" Requires="a14">
      <xdr:twoCellAnchor editAs="oneCell">
        <xdr:from>
          <xdr:col>12</xdr:col>
          <xdr:colOff>38100</xdr:colOff>
          <xdr:row>14</xdr:row>
          <xdr:rowOff>38100</xdr:rowOff>
        </xdr:from>
        <xdr:to>
          <xdr:col>15</xdr:col>
          <xdr:colOff>142875</xdr:colOff>
          <xdr:row>16</xdr:row>
          <xdr:rowOff>123825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3.vml"/><Relationship Id="rId1" Type="http://schemas.openxmlformats.org/officeDocument/2006/relationships/drawing" Target="../drawings/drawing5.xml"/><Relationship Id="rId4"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2BA2B3-42BD-4A77-9D2E-1EB59BD5AFE0}">
  <sheetPr codeName="Sheet1"/>
  <dimension ref="A1:N500"/>
  <sheetViews>
    <sheetView workbookViewId="0">
      <selection activeCell="E3" sqref="E3:G10"/>
    </sheetView>
  </sheetViews>
  <sheetFormatPr defaultRowHeight="15" x14ac:dyDescent="0.25"/>
  <cols>
    <col min="1" max="1" width="14.140625" customWidth="1"/>
    <col min="2" max="2" width="15.5703125" customWidth="1"/>
    <col min="3" max="3" width="14.28515625" customWidth="1"/>
    <col min="4" max="4" width="17.7109375" customWidth="1"/>
    <col min="5" max="5" width="16" customWidth="1"/>
    <col min="6" max="6" width="17.7109375" customWidth="1"/>
    <col min="7" max="7" width="17.28515625" customWidth="1"/>
    <col min="11" max="11" width="24.28515625" customWidth="1"/>
    <col min="12" max="12" width="2.28515625" customWidth="1"/>
    <col min="13" max="13" width="9.5703125" style="6" customWidth="1"/>
    <col min="14" max="14" width="4.7109375" customWidth="1"/>
    <col min="15" max="15" width="19.85546875" customWidth="1"/>
    <col min="16" max="17" width="12" bestFit="1" customWidth="1"/>
    <col min="18" max="18" width="11" bestFit="1" customWidth="1"/>
    <col min="19" max="19" width="21.5703125" customWidth="1"/>
    <col min="20" max="20" width="28.140625" customWidth="1"/>
    <col min="21" max="21" width="31.42578125" customWidth="1"/>
  </cols>
  <sheetData>
    <row r="1" spans="1:14" ht="15.75" x14ac:dyDescent="0.25">
      <c r="A1" s="3"/>
      <c r="B1" s="90" t="s">
        <v>1</v>
      </c>
      <c r="C1" s="90"/>
      <c r="D1" s="90"/>
      <c r="E1" s="90" t="s">
        <v>2</v>
      </c>
      <c r="F1" s="90"/>
      <c r="G1" s="90"/>
      <c r="J1" s="4"/>
      <c r="K1" s="7" t="s">
        <v>18</v>
      </c>
      <c r="L1" s="10"/>
      <c r="M1" s="11"/>
      <c r="N1" s="12"/>
    </row>
    <row r="2" spans="1:14" ht="15.75" x14ac:dyDescent="0.25">
      <c r="A2" s="42" t="s">
        <v>0</v>
      </c>
      <c r="B2" s="42" t="s">
        <v>12</v>
      </c>
      <c r="C2" s="42" t="s">
        <v>13</v>
      </c>
      <c r="D2" s="42" t="s">
        <v>14</v>
      </c>
      <c r="E2" s="42" t="s">
        <v>15</v>
      </c>
      <c r="F2" s="42" t="s">
        <v>16</v>
      </c>
      <c r="G2" s="42" t="s">
        <v>17</v>
      </c>
      <c r="J2" s="43" t="s">
        <v>3</v>
      </c>
      <c r="K2" s="64">
        <v>0.99999956748171603</v>
      </c>
      <c r="L2" s="2"/>
      <c r="M2" s="62">
        <f>-(1-K2)*1000000</f>
        <v>-0.43251828396595471</v>
      </c>
      <c r="N2" s="5" t="s">
        <v>21</v>
      </c>
    </row>
    <row r="3" spans="1:14" x14ac:dyDescent="0.25">
      <c r="A3" s="61" t="s">
        <v>10</v>
      </c>
      <c r="B3" s="61">
        <v>-6940118.6320000002</v>
      </c>
      <c r="C3" s="61">
        <v>-13092144.52</v>
      </c>
      <c r="D3" s="61">
        <v>14730431.859999999</v>
      </c>
      <c r="E3" s="61">
        <v>-6940119.6628</v>
      </c>
      <c r="F3" s="61">
        <v>-13092146.272299999</v>
      </c>
      <c r="G3" s="61">
        <v>14730434.3323</v>
      </c>
      <c r="J3" s="43" t="s">
        <v>4</v>
      </c>
      <c r="K3" s="64">
        <v>8.967396761757656E-3</v>
      </c>
      <c r="L3" s="2" t="s">
        <v>19</v>
      </c>
      <c r="M3" s="9"/>
      <c r="N3" s="13"/>
    </row>
    <row r="4" spans="1:14" x14ac:dyDescent="0.25">
      <c r="A4" s="61">
        <v>9213</v>
      </c>
      <c r="B4" s="61">
        <v>-6882238.3899999997</v>
      </c>
      <c r="C4" s="61">
        <v>-13042272.539999999</v>
      </c>
      <c r="D4" s="61">
        <v>14800556.41</v>
      </c>
      <c r="E4" s="61">
        <v>-6882239.5049999999</v>
      </c>
      <c r="F4" s="61">
        <v>-13042274.59</v>
      </c>
      <c r="G4" s="61">
        <v>14800559.029999999</v>
      </c>
      <c r="J4" s="43" t="s">
        <v>5</v>
      </c>
      <c r="K4" s="64">
        <v>0.30644203701835088</v>
      </c>
      <c r="L4" s="2" t="s">
        <v>19</v>
      </c>
      <c r="M4" s="9"/>
      <c r="N4" s="13"/>
    </row>
    <row r="5" spans="1:14" x14ac:dyDescent="0.25">
      <c r="A5" s="61">
        <v>9220</v>
      </c>
      <c r="B5" s="61">
        <v>-6936069.074</v>
      </c>
      <c r="C5" s="61">
        <v>-13009487.720000001</v>
      </c>
      <c r="D5" s="61">
        <v>14804130.43</v>
      </c>
      <c r="E5" s="61">
        <v>-6936070.0789999999</v>
      </c>
      <c r="F5" s="61">
        <v>-13009489.6</v>
      </c>
      <c r="G5" s="61">
        <v>14804132.92</v>
      </c>
      <c r="J5" s="43" t="s">
        <v>6</v>
      </c>
      <c r="K5" s="64">
        <v>0.27742534977893801</v>
      </c>
      <c r="L5" s="2" t="s">
        <v>19</v>
      </c>
      <c r="M5" s="9"/>
      <c r="N5" s="13"/>
    </row>
    <row r="6" spans="1:14" x14ac:dyDescent="0.25">
      <c r="A6" s="61">
        <v>200704</v>
      </c>
      <c r="B6" s="61">
        <v>-6900979.5860000001</v>
      </c>
      <c r="C6" s="61">
        <v>-12976671.550000001</v>
      </c>
      <c r="D6" s="61">
        <v>14848900.82</v>
      </c>
      <c r="E6" s="61">
        <v>-6900980.6030000001</v>
      </c>
      <c r="F6" s="61">
        <v>-12976673.536599999</v>
      </c>
      <c r="G6" s="61">
        <v>14848903.284</v>
      </c>
      <c r="J6" s="43" t="s">
        <v>7</v>
      </c>
      <c r="K6" s="64">
        <v>35.470522354549637</v>
      </c>
      <c r="L6" s="8" t="s">
        <v>20</v>
      </c>
      <c r="M6" s="9"/>
      <c r="N6" s="13"/>
    </row>
    <row r="7" spans="1:14" x14ac:dyDescent="0.25">
      <c r="A7" s="61" t="s">
        <v>11</v>
      </c>
      <c r="B7" s="61">
        <v>-6875370.1619999995</v>
      </c>
      <c r="C7" s="61">
        <v>-12964803.91</v>
      </c>
      <c r="D7" s="61">
        <v>14871067.789999999</v>
      </c>
      <c r="E7" s="61">
        <v>-6875371.2493000003</v>
      </c>
      <c r="F7" s="61">
        <v>-12964805.820499999</v>
      </c>
      <c r="G7" s="61">
        <v>14871070.3079</v>
      </c>
      <c r="J7" s="43" t="s">
        <v>8</v>
      </c>
      <c r="K7" s="64">
        <v>-17.492958504614847</v>
      </c>
      <c r="L7" s="8" t="s">
        <v>20</v>
      </c>
      <c r="M7" s="9"/>
      <c r="N7" s="13"/>
    </row>
    <row r="8" spans="1:14" ht="15.75" thickBot="1" x14ac:dyDescent="0.3">
      <c r="A8" s="61">
        <v>201502</v>
      </c>
      <c r="B8" s="61">
        <v>-7015741.659</v>
      </c>
      <c r="C8" s="61">
        <v>-12984471.189999999</v>
      </c>
      <c r="D8" s="61">
        <v>14789513.74</v>
      </c>
      <c r="E8" s="61">
        <v>-7015742.6354</v>
      </c>
      <c r="F8" s="61">
        <v>-12984473.028100001</v>
      </c>
      <c r="G8" s="61">
        <v>14789516.0908</v>
      </c>
      <c r="J8" s="44" t="s">
        <v>9</v>
      </c>
      <c r="K8" s="65">
        <v>18.612976922171594</v>
      </c>
      <c r="L8" s="14" t="s">
        <v>20</v>
      </c>
      <c r="M8" s="15"/>
      <c r="N8" s="16"/>
    </row>
    <row r="9" spans="1:14" x14ac:dyDescent="0.25">
      <c r="A9" s="61" t="s">
        <v>22</v>
      </c>
      <c r="B9" s="61">
        <v>-6941814.8480000002</v>
      </c>
      <c r="C9" s="61">
        <v>-13005530.939999999</v>
      </c>
      <c r="D9" s="61">
        <v>14805016.710000001</v>
      </c>
      <c r="E9" s="61">
        <v>-6941815.8569999998</v>
      </c>
      <c r="F9" s="61">
        <v>-13005532.836999999</v>
      </c>
      <c r="G9" s="61">
        <v>14805019.155999999</v>
      </c>
    </row>
    <row r="10" spans="1:14" x14ac:dyDescent="0.25">
      <c r="A10" s="61">
        <v>9935</v>
      </c>
      <c r="B10" s="61">
        <v>-6902816.9960000003</v>
      </c>
      <c r="C10" s="61">
        <v>-13059012.560000001</v>
      </c>
      <c r="D10" s="61">
        <v>14776305.890000001</v>
      </c>
      <c r="E10" s="61">
        <v>-6902818.0319999997</v>
      </c>
      <c r="F10" s="61">
        <v>-13059014.489700001</v>
      </c>
      <c r="G10" s="61">
        <v>14776308.4344</v>
      </c>
    </row>
    <row r="11" spans="1:14" x14ac:dyDescent="0.25">
      <c r="A11" s="61"/>
      <c r="B11" s="61"/>
      <c r="C11" s="61"/>
      <c r="D11" s="61"/>
      <c r="E11" s="61"/>
      <c r="F11" s="61"/>
      <c r="G11" s="61"/>
    </row>
    <row r="12" spans="1:14" x14ac:dyDescent="0.25">
      <c r="A12" s="61"/>
      <c r="B12" s="61"/>
      <c r="C12" s="61"/>
      <c r="D12" s="61"/>
      <c r="E12" s="61"/>
      <c r="F12" s="61"/>
      <c r="G12" s="61"/>
    </row>
    <row r="13" spans="1:14" x14ac:dyDescent="0.25">
      <c r="A13" s="61"/>
      <c r="B13" s="61"/>
      <c r="C13" s="61"/>
      <c r="D13" s="61"/>
      <c r="E13" s="61"/>
      <c r="F13" s="61"/>
      <c r="G13" s="61"/>
    </row>
    <row r="14" spans="1:14" x14ac:dyDescent="0.25">
      <c r="A14" s="62"/>
      <c r="B14" s="62"/>
      <c r="C14" s="62"/>
      <c r="D14" s="62"/>
      <c r="E14" s="62"/>
      <c r="F14" s="62"/>
      <c r="G14" s="62"/>
    </row>
    <row r="15" spans="1:14" x14ac:dyDescent="0.25">
      <c r="A15" s="62"/>
      <c r="B15" s="62"/>
      <c r="C15" s="62"/>
      <c r="D15" s="62"/>
      <c r="E15" s="62"/>
      <c r="F15" s="62"/>
      <c r="G15" s="62"/>
    </row>
    <row r="16" spans="1:14" x14ac:dyDescent="0.25">
      <c r="A16" s="62"/>
      <c r="B16" s="62"/>
      <c r="C16" s="62"/>
      <c r="D16" s="62"/>
      <c r="E16" s="62"/>
      <c r="F16" s="62"/>
      <c r="G16" s="62"/>
    </row>
    <row r="17" spans="1:7" x14ac:dyDescent="0.25">
      <c r="A17" s="62"/>
      <c r="B17" s="62"/>
      <c r="C17" s="62"/>
      <c r="D17" s="62"/>
      <c r="E17" s="62"/>
      <c r="F17" s="62"/>
      <c r="G17" s="62"/>
    </row>
    <row r="18" spans="1:7" x14ac:dyDescent="0.25">
      <c r="A18" s="62"/>
      <c r="B18" s="62"/>
      <c r="C18" s="62"/>
      <c r="D18" s="62"/>
      <c r="E18" s="62"/>
      <c r="F18" s="62"/>
      <c r="G18" s="62"/>
    </row>
    <row r="19" spans="1:7" x14ac:dyDescent="0.25">
      <c r="A19" s="62"/>
      <c r="B19" s="62"/>
      <c r="C19" s="62"/>
      <c r="D19" s="62"/>
      <c r="E19" s="62"/>
      <c r="F19" s="62"/>
      <c r="G19" s="62"/>
    </row>
    <row r="20" spans="1:7" x14ac:dyDescent="0.25">
      <c r="A20" s="62"/>
      <c r="B20" s="62"/>
      <c r="C20" s="62"/>
      <c r="D20" s="62"/>
      <c r="E20" s="62"/>
      <c r="F20" s="62"/>
      <c r="G20" s="62"/>
    </row>
    <row r="21" spans="1:7" x14ac:dyDescent="0.25">
      <c r="A21" s="62"/>
      <c r="B21" s="62"/>
      <c r="C21" s="62"/>
      <c r="D21" s="62"/>
      <c r="E21" s="62"/>
      <c r="F21" s="62"/>
      <c r="G21" s="62"/>
    </row>
    <row r="22" spans="1:7" x14ac:dyDescent="0.25">
      <c r="A22" s="62"/>
      <c r="B22" s="62"/>
      <c r="C22" s="62"/>
      <c r="D22" s="62"/>
      <c r="E22" s="62"/>
      <c r="F22" s="62"/>
      <c r="G22" s="62"/>
    </row>
    <row r="23" spans="1:7" x14ac:dyDescent="0.25">
      <c r="A23" s="62"/>
      <c r="B23" s="62"/>
      <c r="C23" s="62"/>
      <c r="D23" s="62"/>
      <c r="E23" s="62"/>
      <c r="F23" s="62"/>
      <c r="G23" s="62"/>
    </row>
    <row r="24" spans="1:7" x14ac:dyDescent="0.25">
      <c r="A24" s="62"/>
      <c r="B24" s="62"/>
      <c r="C24" s="62"/>
      <c r="D24" s="62"/>
      <c r="E24" s="62"/>
      <c r="F24" s="62"/>
      <c r="G24" s="62"/>
    </row>
    <row r="25" spans="1:7" x14ac:dyDescent="0.25">
      <c r="A25" s="62"/>
      <c r="B25" s="62"/>
      <c r="C25" s="62"/>
      <c r="D25" s="62"/>
      <c r="E25" s="62"/>
      <c r="F25" s="62"/>
      <c r="G25" s="62"/>
    </row>
    <row r="26" spans="1:7" x14ac:dyDescent="0.25">
      <c r="A26" s="62"/>
      <c r="B26" s="62"/>
      <c r="C26" s="62"/>
      <c r="D26" s="62"/>
      <c r="E26" s="62"/>
      <c r="F26" s="62"/>
      <c r="G26" s="62"/>
    </row>
    <row r="27" spans="1:7" x14ac:dyDescent="0.25">
      <c r="A27" s="62"/>
      <c r="B27" s="62"/>
      <c r="C27" s="62"/>
      <c r="D27" s="62"/>
      <c r="E27" s="62"/>
      <c r="F27" s="62"/>
      <c r="G27" s="62"/>
    </row>
    <row r="28" spans="1:7" x14ac:dyDescent="0.25">
      <c r="A28" s="62"/>
      <c r="B28" s="62"/>
      <c r="C28" s="62"/>
      <c r="D28" s="62"/>
      <c r="E28" s="62"/>
      <c r="F28" s="62"/>
      <c r="G28" s="62"/>
    </row>
    <row r="29" spans="1:7" x14ac:dyDescent="0.25">
      <c r="A29" s="62"/>
      <c r="B29" s="62"/>
      <c r="C29" s="62"/>
      <c r="D29" s="62"/>
      <c r="E29" s="62"/>
      <c r="F29" s="62"/>
      <c r="G29" s="62"/>
    </row>
    <row r="30" spans="1:7" x14ac:dyDescent="0.25">
      <c r="A30" s="62"/>
      <c r="B30" s="62"/>
      <c r="C30" s="62"/>
      <c r="D30" s="62"/>
      <c r="E30" s="62"/>
      <c r="F30" s="62"/>
      <c r="G30" s="62"/>
    </row>
    <row r="31" spans="1:7" x14ac:dyDescent="0.25">
      <c r="A31" s="62"/>
      <c r="B31" s="62"/>
      <c r="C31" s="62"/>
      <c r="D31" s="62"/>
      <c r="E31" s="62"/>
      <c r="F31" s="62"/>
      <c r="G31" s="62"/>
    </row>
    <row r="32" spans="1:7" x14ac:dyDescent="0.25">
      <c r="A32" s="62"/>
      <c r="B32" s="62"/>
      <c r="C32" s="62"/>
      <c r="D32" s="62"/>
      <c r="E32" s="62"/>
      <c r="F32" s="62"/>
      <c r="G32" s="62"/>
    </row>
    <row r="33" spans="1:7" x14ac:dyDescent="0.25">
      <c r="A33" s="62"/>
      <c r="B33" s="62"/>
      <c r="C33" s="62"/>
      <c r="D33" s="62"/>
      <c r="E33" s="62"/>
      <c r="F33" s="62"/>
      <c r="G33" s="62"/>
    </row>
    <row r="34" spans="1:7" x14ac:dyDescent="0.25">
      <c r="A34" s="62"/>
      <c r="B34" s="62"/>
      <c r="C34" s="62"/>
      <c r="D34" s="62"/>
      <c r="E34" s="62"/>
      <c r="F34" s="62"/>
      <c r="G34" s="62"/>
    </row>
    <row r="35" spans="1:7" x14ac:dyDescent="0.25">
      <c r="A35" s="62"/>
      <c r="B35" s="62"/>
      <c r="C35" s="62"/>
      <c r="D35" s="62"/>
      <c r="E35" s="62"/>
      <c r="F35" s="62"/>
      <c r="G35" s="62"/>
    </row>
    <row r="36" spans="1:7" x14ac:dyDescent="0.25">
      <c r="A36" s="62"/>
      <c r="B36" s="62"/>
      <c r="C36" s="62"/>
      <c r="D36" s="62"/>
      <c r="E36" s="62"/>
      <c r="F36" s="62"/>
      <c r="G36" s="62"/>
    </row>
    <row r="37" spans="1:7" x14ac:dyDescent="0.25">
      <c r="A37" s="62"/>
      <c r="B37" s="62"/>
      <c r="C37" s="62"/>
      <c r="D37" s="62"/>
      <c r="E37" s="62"/>
      <c r="F37" s="62"/>
      <c r="G37" s="62"/>
    </row>
    <row r="38" spans="1:7" x14ac:dyDescent="0.25">
      <c r="A38" s="62"/>
      <c r="B38" s="62"/>
      <c r="C38" s="62"/>
      <c r="D38" s="62"/>
      <c r="E38" s="62"/>
      <c r="F38" s="62"/>
      <c r="G38" s="62"/>
    </row>
    <row r="39" spans="1:7" x14ac:dyDescent="0.25">
      <c r="A39" s="62"/>
      <c r="B39" s="62"/>
      <c r="C39" s="62"/>
      <c r="D39" s="62"/>
      <c r="E39" s="62"/>
      <c r="F39" s="62"/>
      <c r="G39" s="62"/>
    </row>
    <row r="40" spans="1:7" x14ac:dyDescent="0.25">
      <c r="A40" s="62"/>
      <c r="B40" s="62"/>
      <c r="C40" s="62"/>
      <c r="D40" s="62"/>
      <c r="E40" s="62"/>
      <c r="F40" s="62"/>
      <c r="G40" s="62"/>
    </row>
    <row r="41" spans="1:7" x14ac:dyDescent="0.25">
      <c r="A41" s="62"/>
      <c r="B41" s="62"/>
      <c r="C41" s="62"/>
      <c r="D41" s="62"/>
      <c r="E41" s="62"/>
      <c r="F41" s="62"/>
      <c r="G41" s="62"/>
    </row>
    <row r="42" spans="1:7" x14ac:dyDescent="0.25">
      <c r="A42" s="62"/>
      <c r="B42" s="62"/>
      <c r="C42" s="62"/>
      <c r="D42" s="62"/>
      <c r="E42" s="62"/>
      <c r="F42" s="62"/>
      <c r="G42" s="62"/>
    </row>
    <row r="43" spans="1:7" x14ac:dyDescent="0.25">
      <c r="A43" s="62"/>
      <c r="B43" s="62"/>
      <c r="C43" s="62"/>
      <c r="D43" s="62"/>
      <c r="E43" s="62"/>
      <c r="F43" s="62"/>
      <c r="G43" s="62"/>
    </row>
    <row r="44" spans="1:7" x14ac:dyDescent="0.25">
      <c r="A44" s="62"/>
      <c r="B44" s="62"/>
      <c r="C44" s="62"/>
      <c r="D44" s="62"/>
      <c r="E44" s="62"/>
      <c r="F44" s="62"/>
      <c r="G44" s="62"/>
    </row>
    <row r="45" spans="1:7" x14ac:dyDescent="0.25">
      <c r="A45" s="62"/>
      <c r="B45" s="62"/>
      <c r="C45" s="62"/>
      <c r="D45" s="62"/>
      <c r="E45" s="62"/>
      <c r="F45" s="62"/>
      <c r="G45" s="62"/>
    </row>
    <row r="46" spans="1:7" x14ac:dyDescent="0.25">
      <c r="A46" s="62"/>
      <c r="B46" s="62"/>
      <c r="C46" s="62"/>
      <c r="D46" s="62"/>
      <c r="E46" s="62"/>
      <c r="F46" s="62"/>
      <c r="G46" s="62"/>
    </row>
    <row r="47" spans="1:7" x14ac:dyDescent="0.25">
      <c r="A47" s="62"/>
      <c r="B47" s="62"/>
      <c r="C47" s="62"/>
      <c r="D47" s="62"/>
      <c r="E47" s="62"/>
      <c r="F47" s="62"/>
      <c r="G47" s="62"/>
    </row>
    <row r="48" spans="1:7" x14ac:dyDescent="0.25">
      <c r="A48" s="62"/>
      <c r="B48" s="62"/>
      <c r="C48" s="62"/>
      <c r="D48" s="62"/>
      <c r="E48" s="62"/>
      <c r="F48" s="62"/>
      <c r="G48" s="62"/>
    </row>
    <row r="49" spans="1:7" x14ac:dyDescent="0.25">
      <c r="A49" s="62"/>
      <c r="B49" s="62"/>
      <c r="C49" s="62"/>
      <c r="D49" s="62"/>
      <c r="E49" s="62"/>
      <c r="F49" s="62"/>
      <c r="G49" s="62"/>
    </row>
    <row r="50" spans="1:7" x14ac:dyDescent="0.25">
      <c r="A50" s="62"/>
      <c r="B50" s="62"/>
      <c r="C50" s="62"/>
      <c r="D50" s="62"/>
      <c r="E50" s="62"/>
      <c r="F50" s="62"/>
      <c r="G50" s="62"/>
    </row>
    <row r="51" spans="1:7" x14ac:dyDescent="0.25">
      <c r="A51" s="62"/>
      <c r="B51" s="62"/>
      <c r="C51" s="62"/>
      <c r="D51" s="62"/>
      <c r="E51" s="62"/>
      <c r="F51" s="62"/>
      <c r="G51" s="62"/>
    </row>
    <row r="52" spans="1:7" x14ac:dyDescent="0.25">
      <c r="A52" s="62"/>
      <c r="B52" s="62"/>
      <c r="C52" s="62"/>
      <c r="D52" s="62"/>
      <c r="E52" s="62"/>
      <c r="F52" s="62"/>
      <c r="G52" s="62"/>
    </row>
    <row r="53" spans="1:7" x14ac:dyDescent="0.25">
      <c r="A53" s="62"/>
      <c r="B53" s="62"/>
      <c r="C53" s="62"/>
      <c r="D53" s="62"/>
      <c r="E53" s="62"/>
      <c r="F53" s="62"/>
      <c r="G53" s="62"/>
    </row>
    <row r="54" spans="1:7" x14ac:dyDescent="0.25">
      <c r="A54" s="62"/>
      <c r="B54" s="62"/>
      <c r="C54" s="62"/>
      <c r="D54" s="62"/>
      <c r="E54" s="62"/>
      <c r="F54" s="62"/>
      <c r="G54" s="62"/>
    </row>
    <row r="55" spans="1:7" x14ac:dyDescent="0.25">
      <c r="A55" s="62"/>
      <c r="B55" s="62"/>
      <c r="C55" s="62"/>
      <c r="D55" s="62"/>
      <c r="E55" s="62"/>
      <c r="F55" s="62"/>
      <c r="G55" s="62"/>
    </row>
    <row r="56" spans="1:7" x14ac:dyDescent="0.25">
      <c r="A56" s="62"/>
      <c r="B56" s="62"/>
      <c r="C56" s="62"/>
      <c r="D56" s="62"/>
      <c r="E56" s="62"/>
      <c r="F56" s="62"/>
      <c r="G56" s="62"/>
    </row>
    <row r="57" spans="1:7" x14ac:dyDescent="0.25">
      <c r="A57" s="62"/>
      <c r="B57" s="62"/>
      <c r="C57" s="62"/>
      <c r="D57" s="62"/>
      <c r="E57" s="62"/>
      <c r="F57" s="62"/>
      <c r="G57" s="62"/>
    </row>
    <row r="58" spans="1:7" x14ac:dyDescent="0.25">
      <c r="A58" s="62"/>
      <c r="B58" s="62"/>
      <c r="C58" s="62"/>
      <c r="D58" s="62"/>
      <c r="E58" s="62"/>
      <c r="F58" s="62"/>
      <c r="G58" s="62"/>
    </row>
    <row r="59" spans="1:7" x14ac:dyDescent="0.25">
      <c r="A59" s="62"/>
      <c r="B59" s="62"/>
      <c r="C59" s="62"/>
      <c r="D59" s="62"/>
      <c r="E59" s="62"/>
      <c r="F59" s="62"/>
      <c r="G59" s="62"/>
    </row>
    <row r="60" spans="1:7" x14ac:dyDescent="0.25">
      <c r="A60" s="62"/>
      <c r="B60" s="62"/>
      <c r="C60" s="62"/>
      <c r="D60" s="62"/>
      <c r="E60" s="62"/>
      <c r="F60" s="62"/>
      <c r="G60" s="62"/>
    </row>
    <row r="61" spans="1:7" x14ac:dyDescent="0.25">
      <c r="A61" s="62"/>
      <c r="B61" s="62"/>
      <c r="C61" s="62"/>
      <c r="D61" s="62"/>
      <c r="E61" s="62"/>
      <c r="F61" s="62"/>
      <c r="G61" s="62"/>
    </row>
    <row r="62" spans="1:7" x14ac:dyDescent="0.25">
      <c r="A62" s="62"/>
      <c r="B62" s="62"/>
      <c r="C62" s="62"/>
      <c r="D62" s="62"/>
      <c r="E62" s="62"/>
      <c r="F62" s="62"/>
      <c r="G62" s="62"/>
    </row>
    <row r="63" spans="1:7" x14ac:dyDescent="0.25">
      <c r="A63" s="62"/>
      <c r="B63" s="62"/>
      <c r="C63" s="62"/>
      <c r="D63" s="62"/>
      <c r="E63" s="62"/>
      <c r="F63" s="62"/>
      <c r="G63" s="62"/>
    </row>
    <row r="64" spans="1:7" x14ac:dyDescent="0.25">
      <c r="A64" s="62"/>
      <c r="B64" s="62"/>
      <c r="C64" s="62"/>
      <c r="D64" s="62"/>
      <c r="E64" s="62"/>
      <c r="F64" s="62"/>
      <c r="G64" s="62"/>
    </row>
    <row r="65" spans="1:7" x14ac:dyDescent="0.25">
      <c r="A65" s="62"/>
      <c r="B65" s="62"/>
      <c r="C65" s="62"/>
      <c r="D65" s="62"/>
      <c r="E65" s="62"/>
      <c r="F65" s="62"/>
      <c r="G65" s="62"/>
    </row>
    <row r="66" spans="1:7" x14ac:dyDescent="0.25">
      <c r="A66" s="62"/>
      <c r="B66" s="62"/>
      <c r="C66" s="62"/>
      <c r="D66" s="62"/>
      <c r="E66" s="62"/>
      <c r="F66" s="62"/>
      <c r="G66" s="62"/>
    </row>
    <row r="67" spans="1:7" x14ac:dyDescent="0.25">
      <c r="A67" s="62"/>
      <c r="B67" s="62"/>
      <c r="C67" s="62"/>
      <c r="D67" s="62"/>
      <c r="E67" s="62"/>
      <c r="F67" s="62"/>
      <c r="G67" s="62"/>
    </row>
    <row r="68" spans="1:7" x14ac:dyDescent="0.25">
      <c r="A68" s="62"/>
      <c r="B68" s="62"/>
      <c r="C68" s="62"/>
      <c r="D68" s="62"/>
      <c r="E68" s="62"/>
      <c r="F68" s="62"/>
      <c r="G68" s="62"/>
    </row>
    <row r="69" spans="1:7" x14ac:dyDescent="0.25">
      <c r="A69" s="62"/>
      <c r="B69" s="62"/>
      <c r="C69" s="62"/>
      <c r="D69" s="62"/>
      <c r="E69" s="62"/>
      <c r="F69" s="62"/>
      <c r="G69" s="62"/>
    </row>
    <row r="70" spans="1:7" x14ac:dyDescent="0.25">
      <c r="A70" s="62"/>
      <c r="B70" s="62"/>
      <c r="C70" s="62"/>
      <c r="D70" s="62"/>
      <c r="E70" s="62"/>
      <c r="F70" s="62"/>
      <c r="G70" s="62"/>
    </row>
    <row r="71" spans="1:7" x14ac:dyDescent="0.25">
      <c r="A71" s="62"/>
      <c r="B71" s="62"/>
      <c r="C71" s="62"/>
      <c r="D71" s="62"/>
      <c r="E71" s="62"/>
      <c r="F71" s="62"/>
      <c r="G71" s="62"/>
    </row>
    <row r="72" spans="1:7" x14ac:dyDescent="0.25">
      <c r="A72" s="62"/>
      <c r="B72" s="62"/>
      <c r="C72" s="62"/>
      <c r="D72" s="62"/>
      <c r="E72" s="62"/>
      <c r="F72" s="62"/>
      <c r="G72" s="62"/>
    </row>
    <row r="73" spans="1:7" x14ac:dyDescent="0.25">
      <c r="A73" s="62"/>
      <c r="B73" s="62"/>
      <c r="C73" s="62"/>
      <c r="D73" s="62"/>
      <c r="E73" s="62"/>
      <c r="F73" s="62"/>
      <c r="G73" s="62"/>
    </row>
    <row r="74" spans="1:7" x14ac:dyDescent="0.25">
      <c r="A74" s="62"/>
      <c r="B74" s="62"/>
      <c r="C74" s="62"/>
      <c r="D74" s="62"/>
      <c r="E74" s="62"/>
      <c r="F74" s="62"/>
      <c r="G74" s="62"/>
    </row>
    <row r="75" spans="1:7" x14ac:dyDescent="0.25">
      <c r="A75" s="62"/>
      <c r="B75" s="62"/>
      <c r="C75" s="62"/>
      <c r="D75" s="62"/>
      <c r="E75" s="62"/>
      <c r="F75" s="62"/>
      <c r="G75" s="62"/>
    </row>
    <row r="76" spans="1:7" x14ac:dyDescent="0.25">
      <c r="A76" s="62"/>
      <c r="B76" s="62"/>
      <c r="C76" s="62"/>
      <c r="D76" s="62"/>
      <c r="E76" s="62"/>
      <c r="F76" s="62"/>
      <c r="G76" s="62"/>
    </row>
    <row r="77" spans="1:7" x14ac:dyDescent="0.25">
      <c r="A77" s="62"/>
      <c r="B77" s="62"/>
      <c r="C77" s="62"/>
      <c r="D77" s="62"/>
      <c r="E77" s="62"/>
      <c r="F77" s="62"/>
      <c r="G77" s="62"/>
    </row>
    <row r="78" spans="1:7" x14ac:dyDescent="0.25">
      <c r="A78" s="62"/>
      <c r="B78" s="62"/>
      <c r="C78" s="62"/>
      <c r="D78" s="62"/>
      <c r="E78" s="62"/>
      <c r="F78" s="62"/>
      <c r="G78" s="62"/>
    </row>
    <row r="79" spans="1:7" x14ac:dyDescent="0.25">
      <c r="A79" s="62"/>
      <c r="B79" s="62"/>
      <c r="C79" s="62"/>
      <c r="D79" s="62"/>
      <c r="E79" s="62"/>
      <c r="F79" s="62"/>
      <c r="G79" s="62"/>
    </row>
    <row r="80" spans="1:7" x14ac:dyDescent="0.25">
      <c r="A80" s="62"/>
      <c r="B80" s="62"/>
      <c r="C80" s="62"/>
      <c r="D80" s="62"/>
      <c r="E80" s="62"/>
      <c r="F80" s="62"/>
      <c r="G80" s="62"/>
    </row>
    <row r="81" spans="1:7" x14ac:dyDescent="0.25">
      <c r="A81" s="62"/>
      <c r="B81" s="62"/>
      <c r="C81" s="62"/>
      <c r="D81" s="62"/>
      <c r="E81" s="62"/>
      <c r="F81" s="62"/>
      <c r="G81" s="62"/>
    </row>
    <row r="82" spans="1:7" x14ac:dyDescent="0.25">
      <c r="A82" s="62"/>
      <c r="B82" s="62"/>
      <c r="C82" s="62"/>
      <c r="D82" s="62"/>
      <c r="E82" s="62"/>
      <c r="F82" s="62"/>
      <c r="G82" s="62"/>
    </row>
    <row r="83" spans="1:7" x14ac:dyDescent="0.25">
      <c r="A83" s="62"/>
      <c r="B83" s="62"/>
      <c r="C83" s="62"/>
      <c r="D83" s="62"/>
      <c r="E83" s="62"/>
      <c r="F83" s="62"/>
      <c r="G83" s="62"/>
    </row>
    <row r="84" spans="1:7" x14ac:dyDescent="0.25">
      <c r="A84" s="62"/>
      <c r="B84" s="62"/>
      <c r="C84" s="62"/>
      <c r="D84" s="62"/>
      <c r="E84" s="62"/>
      <c r="F84" s="62"/>
      <c r="G84" s="62"/>
    </row>
    <row r="85" spans="1:7" x14ac:dyDescent="0.25">
      <c r="A85" s="62"/>
      <c r="B85" s="62"/>
      <c r="C85" s="62"/>
      <c r="D85" s="62"/>
      <c r="E85" s="62"/>
      <c r="F85" s="62"/>
      <c r="G85" s="62"/>
    </row>
    <row r="86" spans="1:7" x14ac:dyDescent="0.25">
      <c r="A86" s="62"/>
      <c r="B86" s="62"/>
      <c r="C86" s="62"/>
      <c r="D86" s="62"/>
      <c r="E86" s="62"/>
      <c r="F86" s="62"/>
      <c r="G86" s="62"/>
    </row>
    <row r="87" spans="1:7" x14ac:dyDescent="0.25">
      <c r="A87" s="62"/>
      <c r="B87" s="62"/>
      <c r="C87" s="62"/>
      <c r="D87" s="62"/>
      <c r="E87" s="62"/>
      <c r="F87" s="62"/>
      <c r="G87" s="62"/>
    </row>
    <row r="88" spans="1:7" x14ac:dyDescent="0.25">
      <c r="A88" s="62"/>
      <c r="B88" s="62"/>
      <c r="C88" s="62"/>
      <c r="D88" s="62"/>
      <c r="E88" s="62"/>
      <c r="F88" s="62"/>
      <c r="G88" s="62"/>
    </row>
    <row r="89" spans="1:7" x14ac:dyDescent="0.25">
      <c r="A89" s="62"/>
      <c r="B89" s="62"/>
      <c r="C89" s="62"/>
      <c r="D89" s="62"/>
      <c r="E89" s="62"/>
      <c r="F89" s="62"/>
      <c r="G89" s="62"/>
    </row>
    <row r="90" spans="1:7" x14ac:dyDescent="0.25">
      <c r="A90" s="62"/>
      <c r="B90" s="62"/>
      <c r="C90" s="62"/>
      <c r="D90" s="62"/>
      <c r="E90" s="62"/>
      <c r="F90" s="62"/>
      <c r="G90" s="62"/>
    </row>
    <row r="91" spans="1:7" x14ac:dyDescent="0.25">
      <c r="A91" s="62"/>
      <c r="B91" s="62"/>
      <c r="C91" s="62"/>
      <c r="D91" s="62"/>
      <c r="E91" s="62"/>
      <c r="F91" s="62"/>
      <c r="G91" s="62"/>
    </row>
    <row r="92" spans="1:7" x14ac:dyDescent="0.25">
      <c r="A92" s="62"/>
      <c r="B92" s="62"/>
      <c r="C92" s="62"/>
      <c r="D92" s="62"/>
      <c r="E92" s="62"/>
      <c r="F92" s="62"/>
      <c r="G92" s="62"/>
    </row>
    <row r="93" spans="1:7" x14ac:dyDescent="0.25">
      <c r="A93" s="62"/>
      <c r="B93" s="62"/>
      <c r="C93" s="62"/>
      <c r="D93" s="62"/>
      <c r="E93" s="62"/>
      <c r="F93" s="62"/>
      <c r="G93" s="62"/>
    </row>
    <row r="94" spans="1:7" x14ac:dyDescent="0.25">
      <c r="A94" s="62"/>
      <c r="B94" s="62"/>
      <c r="C94" s="62"/>
      <c r="D94" s="62"/>
      <c r="E94" s="62"/>
      <c r="F94" s="62"/>
      <c r="G94" s="62"/>
    </row>
    <row r="95" spans="1:7" x14ac:dyDescent="0.25">
      <c r="A95" s="62"/>
      <c r="B95" s="62"/>
      <c r="C95" s="62"/>
      <c r="D95" s="62"/>
      <c r="E95" s="62"/>
      <c r="F95" s="62"/>
      <c r="G95" s="62"/>
    </row>
    <row r="96" spans="1:7" x14ac:dyDescent="0.25">
      <c r="A96" s="62"/>
      <c r="B96" s="62"/>
      <c r="C96" s="62"/>
      <c r="D96" s="62"/>
      <c r="E96" s="62"/>
      <c r="F96" s="62"/>
      <c r="G96" s="62"/>
    </row>
    <row r="97" spans="1:7" x14ac:dyDescent="0.25">
      <c r="A97" s="62"/>
      <c r="B97" s="62"/>
      <c r="C97" s="62"/>
      <c r="D97" s="62"/>
      <c r="E97" s="62"/>
      <c r="F97" s="62"/>
      <c r="G97" s="62"/>
    </row>
    <row r="98" spans="1:7" x14ac:dyDescent="0.25">
      <c r="A98" s="62"/>
      <c r="B98" s="62"/>
      <c r="C98" s="62"/>
      <c r="D98" s="62"/>
      <c r="E98" s="62"/>
      <c r="F98" s="62"/>
      <c r="G98" s="62"/>
    </row>
    <row r="99" spans="1:7" x14ac:dyDescent="0.25">
      <c r="A99" s="62"/>
      <c r="B99" s="62"/>
      <c r="C99" s="62"/>
      <c r="D99" s="62"/>
      <c r="E99" s="62"/>
      <c r="F99" s="62"/>
      <c r="G99" s="62"/>
    </row>
    <row r="100" spans="1:7" x14ac:dyDescent="0.25">
      <c r="A100" s="62"/>
      <c r="B100" s="62"/>
      <c r="C100" s="62"/>
      <c r="D100" s="62"/>
      <c r="E100" s="62"/>
      <c r="F100" s="62"/>
      <c r="G100" s="62"/>
    </row>
    <row r="101" spans="1:7" x14ac:dyDescent="0.25">
      <c r="A101" s="62"/>
      <c r="B101" s="62"/>
      <c r="C101" s="62"/>
      <c r="D101" s="62"/>
      <c r="E101" s="62"/>
      <c r="F101" s="62"/>
      <c r="G101" s="62"/>
    </row>
    <row r="102" spans="1:7" x14ac:dyDescent="0.25">
      <c r="A102" s="62"/>
      <c r="B102" s="62"/>
      <c r="C102" s="62"/>
      <c r="D102" s="62"/>
      <c r="E102" s="62"/>
      <c r="F102" s="62"/>
      <c r="G102" s="62"/>
    </row>
    <row r="103" spans="1:7" x14ac:dyDescent="0.25">
      <c r="A103" s="62"/>
      <c r="B103" s="62"/>
      <c r="C103" s="62"/>
      <c r="D103" s="62"/>
      <c r="E103" s="62"/>
      <c r="F103" s="62"/>
      <c r="G103" s="62"/>
    </row>
    <row r="104" spans="1:7" x14ac:dyDescent="0.25">
      <c r="A104" s="63"/>
      <c r="B104" s="63"/>
      <c r="C104" s="63"/>
      <c r="D104" s="63"/>
      <c r="E104" s="63"/>
      <c r="F104" s="63"/>
      <c r="G104" s="63"/>
    </row>
    <row r="105" spans="1:7" x14ac:dyDescent="0.25">
      <c r="A105" s="63"/>
      <c r="B105" s="63"/>
      <c r="C105" s="63"/>
      <c r="D105" s="63"/>
      <c r="E105" s="63"/>
      <c r="F105" s="63"/>
      <c r="G105" s="63"/>
    </row>
    <row r="106" spans="1:7" x14ac:dyDescent="0.25">
      <c r="A106" s="63"/>
      <c r="B106" s="63"/>
      <c r="C106" s="63"/>
      <c r="D106" s="63"/>
      <c r="E106" s="63"/>
      <c r="F106" s="63"/>
      <c r="G106" s="63"/>
    </row>
    <row r="107" spans="1:7" x14ac:dyDescent="0.25">
      <c r="A107" s="63"/>
      <c r="B107" s="63"/>
      <c r="C107" s="63"/>
      <c r="D107" s="63"/>
      <c r="E107" s="63"/>
      <c r="F107" s="63"/>
      <c r="G107" s="63"/>
    </row>
    <row r="108" spans="1:7" x14ac:dyDescent="0.25">
      <c r="A108" s="63"/>
      <c r="B108" s="63"/>
      <c r="C108" s="63"/>
      <c r="D108" s="63"/>
      <c r="E108" s="63"/>
      <c r="F108" s="63"/>
      <c r="G108" s="63"/>
    </row>
    <row r="109" spans="1:7" x14ac:dyDescent="0.25">
      <c r="A109" s="63"/>
      <c r="B109" s="63"/>
      <c r="C109" s="63"/>
      <c r="D109" s="63"/>
      <c r="E109" s="63"/>
      <c r="F109" s="63"/>
      <c r="G109" s="63"/>
    </row>
    <row r="110" spans="1:7" x14ac:dyDescent="0.25">
      <c r="A110" s="63"/>
      <c r="B110" s="63"/>
      <c r="C110" s="63"/>
      <c r="D110" s="63"/>
      <c r="E110" s="63"/>
      <c r="F110" s="63"/>
      <c r="G110" s="63"/>
    </row>
    <row r="111" spans="1:7" x14ac:dyDescent="0.25">
      <c r="A111" s="63"/>
      <c r="B111" s="63"/>
      <c r="C111" s="63"/>
      <c r="D111" s="63"/>
      <c r="E111" s="63"/>
      <c r="F111" s="63"/>
      <c r="G111" s="63"/>
    </row>
    <row r="112" spans="1:7" x14ac:dyDescent="0.25">
      <c r="A112" s="63"/>
      <c r="B112" s="63"/>
      <c r="C112" s="63"/>
      <c r="D112" s="63"/>
      <c r="E112" s="63"/>
      <c r="F112" s="63"/>
      <c r="G112" s="63"/>
    </row>
    <row r="113" spans="1:7" x14ac:dyDescent="0.25">
      <c r="A113" s="63"/>
      <c r="B113" s="63"/>
      <c r="C113" s="63"/>
      <c r="D113" s="63"/>
      <c r="E113" s="63"/>
      <c r="F113" s="63"/>
      <c r="G113" s="63"/>
    </row>
    <row r="114" spans="1:7" x14ac:dyDescent="0.25">
      <c r="A114" s="63"/>
      <c r="B114" s="63"/>
      <c r="C114" s="63"/>
      <c r="D114" s="63"/>
      <c r="E114" s="63"/>
      <c r="F114" s="63"/>
      <c r="G114" s="63"/>
    </row>
    <row r="115" spans="1:7" x14ac:dyDescent="0.25">
      <c r="A115" s="63"/>
      <c r="B115" s="63"/>
      <c r="C115" s="63"/>
      <c r="D115" s="63"/>
      <c r="E115" s="63"/>
      <c r="F115" s="63"/>
      <c r="G115" s="63"/>
    </row>
    <row r="116" spans="1:7" x14ac:dyDescent="0.25">
      <c r="A116" s="63"/>
      <c r="B116" s="63"/>
      <c r="C116" s="63"/>
      <c r="D116" s="63"/>
      <c r="E116" s="63"/>
      <c r="F116" s="63"/>
      <c r="G116" s="63"/>
    </row>
    <row r="117" spans="1:7" x14ac:dyDescent="0.25">
      <c r="A117" s="63"/>
      <c r="B117" s="63"/>
      <c r="C117" s="63"/>
      <c r="D117" s="63"/>
      <c r="E117" s="63"/>
      <c r="F117" s="63"/>
      <c r="G117" s="63"/>
    </row>
    <row r="118" spans="1:7" x14ac:dyDescent="0.25">
      <c r="A118" s="63"/>
      <c r="B118" s="63"/>
      <c r="C118" s="63"/>
      <c r="D118" s="63"/>
      <c r="E118" s="63"/>
      <c r="F118" s="63"/>
      <c r="G118" s="63"/>
    </row>
    <row r="119" spans="1:7" x14ac:dyDescent="0.25">
      <c r="A119" s="63"/>
      <c r="B119" s="63"/>
      <c r="C119" s="63"/>
      <c r="D119" s="63"/>
      <c r="E119" s="63"/>
      <c r="F119" s="63"/>
      <c r="G119" s="63"/>
    </row>
    <row r="120" spans="1:7" x14ac:dyDescent="0.25">
      <c r="A120" s="63"/>
      <c r="B120" s="63"/>
      <c r="C120" s="63"/>
      <c r="D120" s="63"/>
      <c r="E120" s="63"/>
      <c r="F120" s="63"/>
      <c r="G120" s="63"/>
    </row>
    <row r="121" spans="1:7" x14ac:dyDescent="0.25">
      <c r="A121" s="63"/>
      <c r="B121" s="63"/>
      <c r="C121" s="63"/>
      <c r="D121" s="63"/>
      <c r="E121" s="63"/>
      <c r="F121" s="63"/>
      <c r="G121" s="63"/>
    </row>
    <row r="122" spans="1:7" x14ac:dyDescent="0.25">
      <c r="A122" s="63"/>
      <c r="B122" s="63"/>
      <c r="C122" s="63"/>
      <c r="D122" s="63"/>
      <c r="E122" s="63"/>
      <c r="F122" s="63"/>
      <c r="G122" s="63"/>
    </row>
    <row r="123" spans="1:7" x14ac:dyDescent="0.25">
      <c r="A123" s="63"/>
      <c r="B123" s="63"/>
      <c r="C123" s="63"/>
      <c r="D123" s="63"/>
      <c r="E123" s="63"/>
      <c r="F123" s="63"/>
      <c r="G123" s="63"/>
    </row>
    <row r="124" spans="1:7" x14ac:dyDescent="0.25">
      <c r="A124" s="63"/>
      <c r="B124" s="63"/>
      <c r="C124" s="63"/>
      <c r="D124" s="63"/>
      <c r="E124" s="63"/>
      <c r="F124" s="63"/>
      <c r="G124" s="63"/>
    </row>
    <row r="125" spans="1:7" x14ac:dyDescent="0.25">
      <c r="A125" s="63"/>
      <c r="B125" s="63"/>
      <c r="C125" s="63"/>
      <c r="D125" s="63"/>
      <c r="E125" s="63"/>
      <c r="F125" s="63"/>
      <c r="G125" s="63"/>
    </row>
    <row r="126" spans="1:7" x14ac:dyDescent="0.25">
      <c r="A126" s="63"/>
      <c r="B126" s="63"/>
      <c r="C126" s="63"/>
      <c r="D126" s="63"/>
      <c r="E126" s="63"/>
      <c r="F126" s="63"/>
      <c r="G126" s="63"/>
    </row>
    <row r="127" spans="1:7" x14ac:dyDescent="0.25">
      <c r="A127" s="63"/>
      <c r="B127" s="63"/>
      <c r="C127" s="63"/>
      <c r="D127" s="63"/>
      <c r="E127" s="63"/>
      <c r="F127" s="63"/>
      <c r="G127" s="63"/>
    </row>
    <row r="128" spans="1:7" x14ac:dyDescent="0.25">
      <c r="A128" s="63"/>
      <c r="B128" s="63"/>
      <c r="C128" s="63"/>
      <c r="D128" s="63"/>
      <c r="E128" s="63"/>
      <c r="F128" s="63"/>
      <c r="G128" s="63"/>
    </row>
    <row r="129" spans="1:7" x14ac:dyDescent="0.25">
      <c r="A129" s="63"/>
      <c r="B129" s="63"/>
      <c r="C129" s="63"/>
      <c r="D129" s="63"/>
      <c r="E129" s="63"/>
      <c r="F129" s="63"/>
      <c r="G129" s="63"/>
    </row>
    <row r="130" spans="1:7" x14ac:dyDescent="0.25">
      <c r="A130" s="63"/>
      <c r="B130" s="63"/>
      <c r="C130" s="63"/>
      <c r="D130" s="63"/>
      <c r="E130" s="63"/>
      <c r="F130" s="63"/>
      <c r="G130" s="63"/>
    </row>
    <row r="131" spans="1:7" x14ac:dyDescent="0.25">
      <c r="A131" s="63"/>
      <c r="B131" s="63"/>
      <c r="C131" s="63"/>
      <c r="D131" s="63"/>
      <c r="E131" s="63"/>
      <c r="F131" s="63"/>
      <c r="G131" s="63"/>
    </row>
    <row r="132" spans="1:7" x14ac:dyDescent="0.25">
      <c r="A132" s="63"/>
      <c r="B132" s="63"/>
      <c r="C132" s="63"/>
      <c r="D132" s="63"/>
      <c r="E132" s="63"/>
      <c r="F132" s="63"/>
      <c r="G132" s="63"/>
    </row>
    <row r="133" spans="1:7" x14ac:dyDescent="0.25">
      <c r="A133" s="63"/>
      <c r="B133" s="63"/>
      <c r="C133" s="63"/>
      <c r="D133" s="63"/>
      <c r="E133" s="63"/>
      <c r="F133" s="63"/>
      <c r="G133" s="63"/>
    </row>
    <row r="134" spans="1:7" x14ac:dyDescent="0.25">
      <c r="A134" s="63"/>
      <c r="B134" s="63"/>
      <c r="C134" s="63"/>
      <c r="D134" s="63"/>
      <c r="E134" s="63"/>
      <c r="F134" s="63"/>
      <c r="G134" s="63"/>
    </row>
    <row r="135" spans="1:7" x14ac:dyDescent="0.25">
      <c r="A135" s="63"/>
      <c r="B135" s="63"/>
      <c r="C135" s="63"/>
      <c r="D135" s="63"/>
      <c r="E135" s="63"/>
      <c r="F135" s="63"/>
      <c r="G135" s="63"/>
    </row>
    <row r="136" spans="1:7" x14ac:dyDescent="0.25">
      <c r="A136" s="63"/>
      <c r="B136" s="63"/>
      <c r="C136" s="63"/>
      <c r="D136" s="63"/>
      <c r="E136" s="63"/>
      <c r="F136" s="63"/>
      <c r="G136" s="63"/>
    </row>
    <row r="137" spans="1:7" x14ac:dyDescent="0.25">
      <c r="A137" s="63"/>
      <c r="B137" s="63"/>
      <c r="C137" s="63"/>
      <c r="D137" s="63"/>
      <c r="E137" s="63"/>
      <c r="F137" s="63"/>
      <c r="G137" s="63"/>
    </row>
    <row r="138" spans="1:7" x14ac:dyDescent="0.25">
      <c r="A138" s="63"/>
      <c r="B138" s="63"/>
      <c r="C138" s="63"/>
      <c r="D138" s="63"/>
      <c r="E138" s="63"/>
      <c r="F138" s="63"/>
      <c r="G138" s="63"/>
    </row>
    <row r="139" spans="1:7" x14ac:dyDescent="0.25">
      <c r="A139" s="63"/>
      <c r="B139" s="63"/>
      <c r="C139" s="63"/>
      <c r="D139" s="63"/>
      <c r="E139" s="63"/>
      <c r="F139" s="63"/>
      <c r="G139" s="63"/>
    </row>
    <row r="140" spans="1:7" x14ac:dyDescent="0.25">
      <c r="A140" s="63"/>
      <c r="B140" s="63"/>
      <c r="C140" s="63"/>
      <c r="D140" s="63"/>
      <c r="E140" s="63"/>
      <c r="F140" s="63"/>
      <c r="G140" s="63"/>
    </row>
    <row r="141" spans="1:7" x14ac:dyDescent="0.25">
      <c r="A141" s="63"/>
      <c r="B141" s="63"/>
      <c r="C141" s="63"/>
      <c r="D141" s="63"/>
      <c r="E141" s="63"/>
      <c r="F141" s="63"/>
      <c r="G141" s="63"/>
    </row>
    <row r="142" spans="1:7" x14ac:dyDescent="0.25">
      <c r="A142" s="63"/>
      <c r="B142" s="63"/>
      <c r="C142" s="63"/>
      <c r="D142" s="63"/>
      <c r="E142" s="63"/>
      <c r="F142" s="63"/>
      <c r="G142" s="63"/>
    </row>
    <row r="143" spans="1:7" x14ac:dyDescent="0.25">
      <c r="A143" s="63"/>
      <c r="B143" s="63"/>
      <c r="C143" s="63"/>
      <c r="D143" s="63"/>
      <c r="E143" s="63"/>
      <c r="F143" s="63"/>
      <c r="G143" s="63"/>
    </row>
    <row r="144" spans="1:7" x14ac:dyDescent="0.25">
      <c r="A144" s="63"/>
      <c r="B144" s="63"/>
      <c r="C144" s="63"/>
      <c r="D144" s="63"/>
      <c r="E144" s="63"/>
      <c r="F144" s="63"/>
      <c r="G144" s="63"/>
    </row>
    <row r="145" spans="1:7" x14ac:dyDescent="0.25">
      <c r="A145" s="63"/>
      <c r="B145" s="63"/>
      <c r="C145" s="63"/>
      <c r="D145" s="63"/>
      <c r="E145" s="63"/>
      <c r="F145" s="63"/>
      <c r="G145" s="63"/>
    </row>
    <row r="146" spans="1:7" x14ac:dyDescent="0.25">
      <c r="A146" s="63"/>
      <c r="B146" s="63"/>
      <c r="C146" s="63"/>
      <c r="D146" s="63"/>
      <c r="E146" s="63"/>
      <c r="F146" s="63"/>
      <c r="G146" s="63"/>
    </row>
    <row r="147" spans="1:7" x14ac:dyDescent="0.25">
      <c r="A147" s="63"/>
      <c r="B147" s="63"/>
      <c r="C147" s="63"/>
      <c r="D147" s="63"/>
      <c r="E147" s="63"/>
      <c r="F147" s="63"/>
      <c r="G147" s="63"/>
    </row>
    <row r="148" spans="1:7" x14ac:dyDescent="0.25">
      <c r="A148" s="63"/>
      <c r="B148" s="63"/>
      <c r="C148" s="63"/>
      <c r="D148" s="63"/>
      <c r="E148" s="63"/>
      <c r="F148" s="63"/>
      <c r="G148" s="63"/>
    </row>
    <row r="149" spans="1:7" x14ac:dyDescent="0.25">
      <c r="A149" s="63"/>
      <c r="B149" s="63"/>
      <c r="C149" s="63"/>
      <c r="D149" s="63"/>
      <c r="E149" s="63"/>
      <c r="F149" s="63"/>
      <c r="G149" s="63"/>
    </row>
    <row r="150" spans="1:7" x14ac:dyDescent="0.25">
      <c r="A150" s="63"/>
      <c r="B150" s="63"/>
      <c r="C150" s="63"/>
      <c r="D150" s="63"/>
      <c r="E150" s="63"/>
      <c r="F150" s="63"/>
      <c r="G150" s="63"/>
    </row>
    <row r="151" spans="1:7" x14ac:dyDescent="0.25">
      <c r="A151" s="63"/>
      <c r="B151" s="63"/>
      <c r="C151" s="63"/>
      <c r="D151" s="63"/>
      <c r="E151" s="63"/>
      <c r="F151" s="63"/>
      <c r="G151" s="63"/>
    </row>
    <row r="152" spans="1:7" x14ac:dyDescent="0.25">
      <c r="A152" s="63"/>
      <c r="B152" s="63"/>
      <c r="C152" s="63"/>
      <c r="D152" s="63"/>
      <c r="E152" s="63"/>
      <c r="F152" s="63"/>
      <c r="G152" s="63"/>
    </row>
    <row r="153" spans="1:7" x14ac:dyDescent="0.25">
      <c r="A153" s="63"/>
      <c r="B153" s="63"/>
      <c r="C153" s="63"/>
      <c r="D153" s="63"/>
      <c r="E153" s="63"/>
      <c r="F153" s="63"/>
      <c r="G153" s="63"/>
    </row>
    <row r="154" spans="1:7" x14ac:dyDescent="0.25">
      <c r="A154" s="63"/>
      <c r="B154" s="63"/>
      <c r="C154" s="63"/>
      <c r="D154" s="63"/>
      <c r="E154" s="63"/>
      <c r="F154" s="63"/>
      <c r="G154" s="63"/>
    </row>
    <row r="155" spans="1:7" x14ac:dyDescent="0.25">
      <c r="A155" s="63"/>
      <c r="B155" s="63"/>
      <c r="C155" s="63"/>
      <c r="D155" s="63"/>
      <c r="E155" s="63"/>
      <c r="F155" s="63"/>
      <c r="G155" s="63"/>
    </row>
    <row r="156" spans="1:7" x14ac:dyDescent="0.25">
      <c r="A156" s="63"/>
      <c r="B156" s="63"/>
      <c r="C156" s="63"/>
      <c r="D156" s="63"/>
      <c r="E156" s="63"/>
      <c r="F156" s="63"/>
      <c r="G156" s="63"/>
    </row>
    <row r="157" spans="1:7" x14ac:dyDescent="0.25">
      <c r="A157" s="63"/>
      <c r="B157" s="63"/>
      <c r="C157" s="63"/>
      <c r="D157" s="63"/>
      <c r="E157" s="63"/>
      <c r="F157" s="63"/>
      <c r="G157" s="63"/>
    </row>
    <row r="158" spans="1:7" x14ac:dyDescent="0.25">
      <c r="A158" s="63"/>
      <c r="B158" s="63"/>
      <c r="C158" s="63"/>
      <c r="D158" s="63"/>
      <c r="E158" s="63"/>
      <c r="F158" s="63"/>
      <c r="G158" s="63"/>
    </row>
    <row r="159" spans="1:7" x14ac:dyDescent="0.25">
      <c r="A159" s="63"/>
      <c r="B159" s="63"/>
      <c r="C159" s="63"/>
      <c r="D159" s="63"/>
      <c r="E159" s="63"/>
      <c r="F159" s="63"/>
      <c r="G159" s="63"/>
    </row>
    <row r="160" spans="1:7" x14ac:dyDescent="0.25">
      <c r="A160" s="63"/>
      <c r="B160" s="63"/>
      <c r="C160" s="63"/>
      <c r="D160" s="63"/>
      <c r="E160" s="63"/>
      <c r="F160" s="63"/>
      <c r="G160" s="63"/>
    </row>
    <row r="161" spans="1:7" x14ac:dyDescent="0.25">
      <c r="A161" s="63"/>
      <c r="B161" s="63"/>
      <c r="C161" s="63"/>
      <c r="D161" s="63"/>
      <c r="E161" s="63"/>
      <c r="F161" s="63"/>
      <c r="G161" s="63"/>
    </row>
    <row r="162" spans="1:7" x14ac:dyDescent="0.25">
      <c r="A162" s="63"/>
      <c r="B162" s="63"/>
      <c r="C162" s="63"/>
      <c r="D162" s="63"/>
      <c r="E162" s="63"/>
      <c r="F162" s="63"/>
      <c r="G162" s="63"/>
    </row>
    <row r="163" spans="1:7" x14ac:dyDescent="0.25">
      <c r="A163" s="63"/>
      <c r="B163" s="63"/>
      <c r="C163" s="63"/>
      <c r="D163" s="63"/>
      <c r="E163" s="63"/>
      <c r="F163" s="63"/>
      <c r="G163" s="63"/>
    </row>
    <row r="164" spans="1:7" x14ac:dyDescent="0.25">
      <c r="A164" s="63"/>
      <c r="B164" s="63"/>
      <c r="C164" s="63"/>
      <c r="D164" s="63"/>
      <c r="E164" s="63"/>
      <c r="F164" s="63"/>
      <c r="G164" s="63"/>
    </row>
    <row r="165" spans="1:7" x14ac:dyDescent="0.25">
      <c r="A165" s="63"/>
      <c r="B165" s="63"/>
      <c r="C165" s="63"/>
      <c r="D165" s="63"/>
      <c r="E165" s="63"/>
      <c r="F165" s="63"/>
      <c r="G165" s="63"/>
    </row>
    <row r="166" spans="1:7" x14ac:dyDescent="0.25">
      <c r="A166" s="63"/>
      <c r="B166" s="63"/>
      <c r="C166" s="63"/>
      <c r="D166" s="63"/>
      <c r="E166" s="63"/>
      <c r="F166" s="63"/>
      <c r="G166" s="63"/>
    </row>
    <row r="167" spans="1:7" x14ac:dyDescent="0.25">
      <c r="A167" s="63"/>
      <c r="B167" s="63"/>
      <c r="C167" s="63"/>
      <c r="D167" s="63"/>
      <c r="E167" s="63"/>
      <c r="F167" s="63"/>
      <c r="G167" s="63"/>
    </row>
    <row r="168" spans="1:7" x14ac:dyDescent="0.25">
      <c r="A168" s="63"/>
      <c r="B168" s="63"/>
      <c r="C168" s="63"/>
      <c r="D168" s="63"/>
      <c r="E168" s="63"/>
      <c r="F168" s="63"/>
      <c r="G168" s="63"/>
    </row>
    <row r="169" spans="1:7" x14ac:dyDescent="0.25">
      <c r="A169" s="63"/>
      <c r="B169" s="63"/>
      <c r="C169" s="63"/>
      <c r="D169" s="63"/>
      <c r="E169" s="63"/>
      <c r="F169" s="63"/>
      <c r="G169" s="63"/>
    </row>
    <row r="170" spans="1:7" x14ac:dyDescent="0.25">
      <c r="A170" s="63"/>
      <c r="B170" s="63"/>
      <c r="C170" s="63"/>
      <c r="D170" s="63"/>
      <c r="E170" s="63"/>
      <c r="F170" s="63"/>
      <c r="G170" s="63"/>
    </row>
    <row r="171" spans="1:7" x14ac:dyDescent="0.25">
      <c r="A171" s="63"/>
      <c r="B171" s="63"/>
      <c r="C171" s="63"/>
      <c r="D171" s="63"/>
      <c r="E171" s="63"/>
      <c r="F171" s="63"/>
      <c r="G171" s="63"/>
    </row>
    <row r="172" spans="1:7" x14ac:dyDescent="0.25">
      <c r="A172" s="63"/>
      <c r="B172" s="63"/>
      <c r="C172" s="63"/>
      <c r="D172" s="63"/>
      <c r="E172" s="63"/>
      <c r="F172" s="63"/>
      <c r="G172" s="63"/>
    </row>
    <row r="173" spans="1:7" x14ac:dyDescent="0.25">
      <c r="A173" s="63"/>
      <c r="B173" s="63"/>
      <c r="C173" s="63"/>
      <c r="D173" s="63"/>
      <c r="E173" s="63"/>
      <c r="F173" s="63"/>
      <c r="G173" s="63"/>
    </row>
    <row r="174" spans="1:7" x14ac:dyDescent="0.25">
      <c r="A174" s="63"/>
      <c r="B174" s="63"/>
      <c r="C174" s="63"/>
      <c r="D174" s="63"/>
      <c r="E174" s="63"/>
      <c r="F174" s="63"/>
      <c r="G174" s="63"/>
    </row>
    <row r="175" spans="1:7" x14ac:dyDescent="0.25">
      <c r="A175" s="63"/>
      <c r="B175" s="63"/>
      <c r="C175" s="63"/>
      <c r="D175" s="63"/>
      <c r="E175" s="63"/>
      <c r="F175" s="63"/>
      <c r="G175" s="63"/>
    </row>
    <row r="176" spans="1:7" x14ac:dyDescent="0.25">
      <c r="A176" s="63"/>
      <c r="B176" s="63"/>
      <c r="C176" s="63"/>
      <c r="D176" s="63"/>
      <c r="E176" s="63"/>
      <c r="F176" s="63"/>
      <c r="G176" s="63"/>
    </row>
    <row r="177" spans="1:7" x14ac:dyDescent="0.25">
      <c r="A177" s="63"/>
      <c r="B177" s="63"/>
      <c r="C177" s="63"/>
      <c r="D177" s="63"/>
      <c r="E177" s="63"/>
      <c r="F177" s="63"/>
      <c r="G177" s="63"/>
    </row>
    <row r="178" spans="1:7" x14ac:dyDescent="0.25">
      <c r="A178" s="63"/>
      <c r="B178" s="63"/>
      <c r="C178" s="63"/>
      <c r="D178" s="63"/>
      <c r="E178" s="63"/>
      <c r="F178" s="63"/>
      <c r="G178" s="63"/>
    </row>
    <row r="179" spans="1:7" x14ac:dyDescent="0.25">
      <c r="A179" s="63"/>
      <c r="B179" s="63"/>
      <c r="C179" s="63"/>
      <c r="D179" s="63"/>
      <c r="E179" s="63"/>
      <c r="F179" s="63"/>
      <c r="G179" s="63"/>
    </row>
    <row r="180" spans="1:7" x14ac:dyDescent="0.25">
      <c r="A180" s="63"/>
      <c r="B180" s="63"/>
      <c r="C180" s="63"/>
      <c r="D180" s="63"/>
      <c r="E180" s="63"/>
      <c r="F180" s="63"/>
      <c r="G180" s="63"/>
    </row>
    <row r="181" spans="1:7" x14ac:dyDescent="0.25">
      <c r="A181" s="63"/>
      <c r="B181" s="63"/>
      <c r="C181" s="63"/>
      <c r="D181" s="63"/>
      <c r="E181" s="63"/>
      <c r="F181" s="63"/>
      <c r="G181" s="63"/>
    </row>
    <row r="182" spans="1:7" x14ac:dyDescent="0.25">
      <c r="A182" s="63"/>
      <c r="B182" s="63"/>
      <c r="C182" s="63"/>
      <c r="D182" s="63"/>
      <c r="E182" s="63"/>
      <c r="F182" s="63"/>
      <c r="G182" s="63"/>
    </row>
    <row r="183" spans="1:7" x14ac:dyDescent="0.25">
      <c r="A183" s="63"/>
      <c r="B183" s="63"/>
      <c r="C183" s="63"/>
      <c r="D183" s="63"/>
      <c r="E183" s="63"/>
      <c r="F183" s="63"/>
      <c r="G183" s="63"/>
    </row>
    <row r="184" spans="1:7" x14ac:dyDescent="0.25">
      <c r="A184" s="63"/>
      <c r="B184" s="63"/>
      <c r="C184" s="63"/>
      <c r="D184" s="63"/>
      <c r="E184" s="63"/>
      <c r="F184" s="63"/>
      <c r="G184" s="63"/>
    </row>
    <row r="185" spans="1:7" x14ac:dyDescent="0.25">
      <c r="A185" s="63"/>
      <c r="B185" s="63"/>
      <c r="C185" s="63"/>
      <c r="D185" s="63"/>
      <c r="E185" s="63"/>
      <c r="F185" s="63"/>
      <c r="G185" s="63"/>
    </row>
    <row r="186" spans="1:7" x14ac:dyDescent="0.25">
      <c r="A186" s="63"/>
      <c r="B186" s="63"/>
      <c r="C186" s="63"/>
      <c r="D186" s="63"/>
      <c r="E186" s="63"/>
      <c r="F186" s="63"/>
      <c r="G186" s="63"/>
    </row>
    <row r="187" spans="1:7" x14ac:dyDescent="0.25">
      <c r="A187" s="63"/>
      <c r="B187" s="63"/>
      <c r="C187" s="63"/>
      <c r="D187" s="63"/>
      <c r="E187" s="63"/>
      <c r="F187" s="63"/>
      <c r="G187" s="63"/>
    </row>
    <row r="188" spans="1:7" x14ac:dyDescent="0.25">
      <c r="A188" s="63"/>
      <c r="B188" s="63"/>
      <c r="C188" s="63"/>
      <c r="D188" s="63"/>
      <c r="E188" s="63"/>
      <c r="F188" s="63"/>
      <c r="G188" s="63"/>
    </row>
    <row r="189" spans="1:7" x14ac:dyDescent="0.25">
      <c r="A189" s="63"/>
      <c r="B189" s="63"/>
      <c r="C189" s="63"/>
      <c r="D189" s="63"/>
      <c r="E189" s="63"/>
      <c r="F189" s="63"/>
      <c r="G189" s="63"/>
    </row>
    <row r="190" spans="1:7" x14ac:dyDescent="0.25">
      <c r="A190" s="63"/>
      <c r="B190" s="63"/>
      <c r="C190" s="63"/>
      <c r="D190" s="63"/>
      <c r="E190" s="63"/>
      <c r="F190" s="63"/>
      <c r="G190" s="63"/>
    </row>
    <row r="191" spans="1:7" x14ac:dyDescent="0.25">
      <c r="A191" s="63"/>
      <c r="B191" s="63"/>
      <c r="C191" s="63"/>
      <c r="D191" s="63"/>
      <c r="E191" s="63"/>
      <c r="F191" s="63"/>
      <c r="G191" s="63"/>
    </row>
    <row r="192" spans="1:7" x14ac:dyDescent="0.25">
      <c r="A192" s="63"/>
      <c r="B192" s="63"/>
      <c r="C192" s="63"/>
      <c r="D192" s="63"/>
      <c r="E192" s="63"/>
      <c r="F192" s="63"/>
      <c r="G192" s="63"/>
    </row>
    <row r="193" spans="1:7" x14ac:dyDescent="0.25">
      <c r="A193" s="63"/>
      <c r="B193" s="63"/>
      <c r="C193" s="63"/>
      <c r="D193" s="63"/>
      <c r="E193" s="63"/>
      <c r="F193" s="63"/>
      <c r="G193" s="63"/>
    </row>
    <row r="194" spans="1:7" x14ac:dyDescent="0.25">
      <c r="A194" s="63"/>
      <c r="B194" s="63"/>
      <c r="C194" s="63"/>
      <c r="D194" s="63"/>
      <c r="E194" s="63"/>
      <c r="F194" s="63"/>
      <c r="G194" s="63"/>
    </row>
    <row r="195" spans="1:7" x14ac:dyDescent="0.25">
      <c r="A195" s="63"/>
      <c r="B195" s="63"/>
      <c r="C195" s="63"/>
      <c r="D195" s="63"/>
      <c r="E195" s="63"/>
      <c r="F195" s="63"/>
      <c r="G195" s="63"/>
    </row>
    <row r="196" spans="1:7" x14ac:dyDescent="0.25">
      <c r="A196" s="63"/>
      <c r="B196" s="63"/>
      <c r="C196" s="63"/>
      <c r="D196" s="63"/>
      <c r="E196" s="63"/>
      <c r="F196" s="63"/>
      <c r="G196" s="63"/>
    </row>
    <row r="197" spans="1:7" x14ac:dyDescent="0.25">
      <c r="A197" s="63"/>
      <c r="B197" s="63"/>
      <c r="C197" s="63"/>
      <c r="D197" s="63"/>
      <c r="E197" s="63"/>
      <c r="F197" s="63"/>
      <c r="G197" s="63"/>
    </row>
    <row r="198" spans="1:7" x14ac:dyDescent="0.25">
      <c r="A198" s="63"/>
      <c r="B198" s="63"/>
      <c r="C198" s="63"/>
      <c r="D198" s="63"/>
      <c r="E198" s="63"/>
      <c r="F198" s="63"/>
      <c r="G198" s="63"/>
    </row>
    <row r="199" spans="1:7" x14ac:dyDescent="0.25">
      <c r="A199" s="63"/>
      <c r="B199" s="63"/>
      <c r="C199" s="63"/>
      <c r="D199" s="63"/>
      <c r="E199" s="63"/>
      <c r="F199" s="63"/>
      <c r="G199" s="63"/>
    </row>
    <row r="200" spans="1:7" x14ac:dyDescent="0.25">
      <c r="A200" s="63"/>
      <c r="B200" s="63"/>
      <c r="C200" s="63"/>
      <c r="D200" s="63"/>
      <c r="E200" s="63"/>
      <c r="F200" s="63"/>
      <c r="G200" s="63"/>
    </row>
    <row r="201" spans="1:7" x14ac:dyDescent="0.25">
      <c r="A201" s="63"/>
      <c r="B201" s="63"/>
      <c r="C201" s="63"/>
      <c r="D201" s="63"/>
      <c r="E201" s="63"/>
      <c r="F201" s="63"/>
      <c r="G201" s="63"/>
    </row>
    <row r="202" spans="1:7" x14ac:dyDescent="0.25">
      <c r="A202" s="63"/>
      <c r="B202" s="63"/>
      <c r="C202" s="63"/>
      <c r="D202" s="63"/>
      <c r="E202" s="63"/>
      <c r="F202" s="63"/>
      <c r="G202" s="63"/>
    </row>
    <row r="203" spans="1:7" x14ac:dyDescent="0.25">
      <c r="A203" s="63"/>
      <c r="B203" s="63"/>
      <c r="C203" s="63"/>
      <c r="D203" s="63"/>
      <c r="E203" s="63"/>
      <c r="F203" s="63"/>
      <c r="G203" s="63"/>
    </row>
    <row r="204" spans="1:7" x14ac:dyDescent="0.25">
      <c r="A204" s="63"/>
      <c r="B204" s="63"/>
      <c r="C204" s="63"/>
      <c r="D204" s="63"/>
      <c r="E204" s="63"/>
      <c r="F204" s="63"/>
      <c r="G204" s="63"/>
    </row>
    <row r="205" spans="1:7" x14ac:dyDescent="0.25">
      <c r="A205" s="63"/>
      <c r="B205" s="63"/>
      <c r="C205" s="63"/>
      <c r="D205" s="63"/>
      <c r="E205" s="63"/>
      <c r="F205" s="63"/>
      <c r="G205" s="63"/>
    </row>
    <row r="206" spans="1:7" x14ac:dyDescent="0.25">
      <c r="A206" s="63"/>
      <c r="B206" s="63"/>
      <c r="C206" s="63"/>
      <c r="D206" s="63"/>
      <c r="E206" s="63"/>
      <c r="F206" s="63"/>
      <c r="G206" s="63"/>
    </row>
    <row r="207" spans="1:7" x14ac:dyDescent="0.25">
      <c r="A207" s="63"/>
      <c r="B207" s="63"/>
      <c r="C207" s="63"/>
      <c r="D207" s="63"/>
      <c r="E207" s="63"/>
      <c r="F207" s="63"/>
      <c r="G207" s="63"/>
    </row>
    <row r="208" spans="1:7" x14ac:dyDescent="0.25">
      <c r="A208" s="63"/>
      <c r="B208" s="63"/>
      <c r="C208" s="63"/>
      <c r="D208" s="63"/>
      <c r="E208" s="63"/>
      <c r="F208" s="63"/>
      <c r="G208" s="63"/>
    </row>
    <row r="209" spans="1:7" x14ac:dyDescent="0.25">
      <c r="A209" s="63"/>
      <c r="B209" s="63"/>
      <c r="C209" s="63"/>
      <c r="D209" s="63"/>
      <c r="E209" s="63"/>
      <c r="F209" s="63"/>
      <c r="G209" s="63"/>
    </row>
    <row r="210" spans="1:7" x14ac:dyDescent="0.25">
      <c r="A210" s="63"/>
      <c r="B210" s="63"/>
      <c r="C210" s="63"/>
      <c r="D210" s="63"/>
      <c r="E210" s="63"/>
      <c r="F210" s="63"/>
      <c r="G210" s="63"/>
    </row>
    <row r="211" spans="1:7" x14ac:dyDescent="0.25">
      <c r="A211" s="63"/>
      <c r="B211" s="63"/>
      <c r="C211" s="63"/>
      <c r="D211" s="63"/>
      <c r="E211" s="63"/>
      <c r="F211" s="63"/>
      <c r="G211" s="63"/>
    </row>
    <row r="212" spans="1:7" x14ac:dyDescent="0.25">
      <c r="A212" s="63"/>
      <c r="B212" s="63"/>
      <c r="C212" s="63"/>
      <c r="D212" s="63"/>
      <c r="E212" s="63"/>
      <c r="F212" s="63"/>
      <c r="G212" s="63"/>
    </row>
    <row r="213" spans="1:7" x14ac:dyDescent="0.25">
      <c r="A213" s="63"/>
      <c r="B213" s="63"/>
      <c r="C213" s="63"/>
      <c r="D213" s="63"/>
      <c r="E213" s="63"/>
      <c r="F213" s="63"/>
      <c r="G213" s="63"/>
    </row>
    <row r="214" spans="1:7" x14ac:dyDescent="0.25">
      <c r="A214" s="63"/>
      <c r="B214" s="63"/>
      <c r="C214" s="63"/>
      <c r="D214" s="63"/>
      <c r="E214" s="63"/>
      <c r="F214" s="63"/>
      <c r="G214" s="63"/>
    </row>
    <row r="215" spans="1:7" x14ac:dyDescent="0.25">
      <c r="A215" s="63"/>
      <c r="B215" s="63"/>
      <c r="C215" s="63"/>
      <c r="D215" s="63"/>
      <c r="E215" s="63"/>
      <c r="F215" s="63"/>
      <c r="G215" s="63"/>
    </row>
    <row r="216" spans="1:7" x14ac:dyDescent="0.25">
      <c r="A216" s="63"/>
      <c r="B216" s="63"/>
      <c r="C216" s="63"/>
      <c r="D216" s="63"/>
      <c r="E216" s="63"/>
      <c r="F216" s="63"/>
      <c r="G216" s="63"/>
    </row>
    <row r="217" spans="1:7" x14ac:dyDescent="0.25">
      <c r="A217" s="63"/>
      <c r="B217" s="63"/>
      <c r="C217" s="63"/>
      <c r="D217" s="63"/>
      <c r="E217" s="63"/>
      <c r="F217" s="63"/>
      <c r="G217" s="63"/>
    </row>
    <row r="218" spans="1:7" x14ac:dyDescent="0.25">
      <c r="A218" s="63"/>
      <c r="B218" s="63"/>
      <c r="C218" s="63"/>
      <c r="D218" s="63"/>
      <c r="E218" s="63"/>
      <c r="F218" s="63"/>
      <c r="G218" s="63"/>
    </row>
    <row r="219" spans="1:7" x14ac:dyDescent="0.25">
      <c r="A219" s="63"/>
      <c r="B219" s="63"/>
      <c r="C219" s="63"/>
      <c r="D219" s="63"/>
      <c r="E219" s="63"/>
      <c r="F219" s="63"/>
      <c r="G219" s="63"/>
    </row>
    <row r="220" spans="1:7" x14ac:dyDescent="0.25">
      <c r="A220" s="63"/>
      <c r="B220" s="63"/>
      <c r="C220" s="63"/>
      <c r="D220" s="63"/>
      <c r="E220" s="63"/>
      <c r="F220" s="63"/>
      <c r="G220" s="63"/>
    </row>
    <row r="221" spans="1:7" x14ac:dyDescent="0.25">
      <c r="A221" s="63"/>
      <c r="B221" s="63"/>
      <c r="C221" s="63"/>
      <c r="D221" s="63"/>
      <c r="E221" s="63"/>
      <c r="F221" s="63"/>
      <c r="G221" s="63"/>
    </row>
    <row r="222" spans="1:7" x14ac:dyDescent="0.25">
      <c r="A222" s="63"/>
      <c r="B222" s="63"/>
      <c r="C222" s="63"/>
      <c r="D222" s="63"/>
      <c r="E222" s="63"/>
      <c r="F222" s="63"/>
      <c r="G222" s="63"/>
    </row>
    <row r="223" spans="1:7" x14ac:dyDescent="0.25">
      <c r="A223" s="63"/>
      <c r="B223" s="63"/>
      <c r="C223" s="63"/>
      <c r="D223" s="63"/>
      <c r="E223" s="63"/>
      <c r="F223" s="63"/>
      <c r="G223" s="63"/>
    </row>
    <row r="224" spans="1:7" x14ac:dyDescent="0.25">
      <c r="A224" s="63"/>
      <c r="B224" s="63"/>
      <c r="C224" s="63"/>
      <c r="D224" s="63"/>
      <c r="E224" s="63"/>
      <c r="F224" s="63"/>
      <c r="G224" s="63"/>
    </row>
    <row r="225" spans="1:7" x14ac:dyDescent="0.25">
      <c r="A225" s="63"/>
      <c r="B225" s="63"/>
      <c r="C225" s="63"/>
      <c r="D225" s="63"/>
      <c r="E225" s="63"/>
      <c r="F225" s="63"/>
      <c r="G225" s="63"/>
    </row>
    <row r="226" spans="1:7" x14ac:dyDescent="0.25">
      <c r="A226" s="63"/>
      <c r="B226" s="63"/>
      <c r="C226" s="63"/>
      <c r="D226" s="63"/>
      <c r="E226" s="63"/>
      <c r="F226" s="63"/>
      <c r="G226" s="63"/>
    </row>
    <row r="227" spans="1:7" x14ac:dyDescent="0.25">
      <c r="A227" s="63"/>
      <c r="B227" s="63"/>
      <c r="C227" s="63"/>
      <c r="D227" s="63"/>
      <c r="E227" s="63"/>
      <c r="F227" s="63"/>
      <c r="G227" s="63"/>
    </row>
    <row r="228" spans="1:7" x14ac:dyDescent="0.25">
      <c r="A228" s="63"/>
      <c r="B228" s="63"/>
      <c r="C228" s="63"/>
      <c r="D228" s="63"/>
      <c r="E228" s="63"/>
      <c r="F228" s="63"/>
      <c r="G228" s="63"/>
    </row>
    <row r="229" spans="1:7" x14ac:dyDescent="0.25">
      <c r="A229" s="63"/>
      <c r="B229" s="63"/>
      <c r="C229" s="63"/>
      <c r="D229" s="63"/>
      <c r="E229" s="63"/>
      <c r="F229" s="63"/>
      <c r="G229" s="63"/>
    </row>
    <row r="230" spans="1:7" x14ac:dyDescent="0.25">
      <c r="A230" s="63"/>
      <c r="B230" s="63"/>
      <c r="C230" s="63"/>
      <c r="D230" s="63"/>
      <c r="E230" s="63"/>
      <c r="F230" s="63"/>
      <c r="G230" s="63"/>
    </row>
    <row r="231" spans="1:7" x14ac:dyDescent="0.25">
      <c r="A231" s="63"/>
      <c r="B231" s="63"/>
      <c r="C231" s="63"/>
      <c r="D231" s="63"/>
      <c r="E231" s="63"/>
      <c r="F231" s="63"/>
      <c r="G231" s="63"/>
    </row>
    <row r="232" spans="1:7" x14ac:dyDescent="0.25">
      <c r="A232" s="63"/>
      <c r="B232" s="63"/>
      <c r="C232" s="63"/>
      <c r="D232" s="63"/>
      <c r="E232" s="63"/>
      <c r="F232" s="63"/>
      <c r="G232" s="63"/>
    </row>
    <row r="233" spans="1:7" x14ac:dyDescent="0.25">
      <c r="A233" s="63"/>
      <c r="B233" s="63"/>
      <c r="C233" s="63"/>
      <c r="D233" s="63"/>
      <c r="E233" s="63"/>
      <c r="F233" s="63"/>
      <c r="G233" s="63"/>
    </row>
    <row r="234" spans="1:7" x14ac:dyDescent="0.25">
      <c r="A234" s="63"/>
      <c r="B234" s="63"/>
      <c r="C234" s="63"/>
      <c r="D234" s="63"/>
      <c r="E234" s="63"/>
      <c r="F234" s="63"/>
      <c r="G234" s="63"/>
    </row>
    <row r="235" spans="1:7" x14ac:dyDescent="0.25">
      <c r="A235" s="63"/>
      <c r="B235" s="63"/>
      <c r="C235" s="63"/>
      <c r="D235" s="63"/>
      <c r="E235" s="63"/>
      <c r="F235" s="63"/>
      <c r="G235" s="63"/>
    </row>
    <row r="236" spans="1:7" x14ac:dyDescent="0.25">
      <c r="A236" s="63"/>
      <c r="B236" s="63"/>
      <c r="C236" s="63"/>
      <c r="D236" s="63"/>
      <c r="E236" s="63"/>
      <c r="F236" s="63"/>
      <c r="G236" s="63"/>
    </row>
    <row r="237" spans="1:7" x14ac:dyDescent="0.25">
      <c r="A237" s="63"/>
      <c r="B237" s="63"/>
      <c r="C237" s="63"/>
      <c r="D237" s="63"/>
      <c r="E237" s="63"/>
      <c r="F237" s="63"/>
      <c r="G237" s="63"/>
    </row>
    <row r="238" spans="1:7" x14ac:dyDescent="0.25">
      <c r="A238" s="63"/>
      <c r="B238" s="63"/>
      <c r="C238" s="63"/>
      <c r="D238" s="63"/>
      <c r="E238" s="63"/>
      <c r="F238" s="63"/>
      <c r="G238" s="63"/>
    </row>
    <row r="239" spans="1:7" x14ac:dyDescent="0.25">
      <c r="A239" s="63"/>
      <c r="B239" s="63"/>
      <c r="C239" s="63"/>
      <c r="D239" s="63"/>
      <c r="E239" s="63"/>
      <c r="F239" s="63"/>
      <c r="G239" s="63"/>
    </row>
    <row r="240" spans="1:7" x14ac:dyDescent="0.25">
      <c r="A240" s="63"/>
      <c r="B240" s="63"/>
      <c r="C240" s="63"/>
      <c r="D240" s="63"/>
      <c r="E240" s="63"/>
      <c r="F240" s="63"/>
      <c r="G240" s="63"/>
    </row>
    <row r="241" spans="1:7" x14ac:dyDescent="0.25">
      <c r="A241" s="63"/>
      <c r="B241" s="63"/>
      <c r="C241" s="63"/>
      <c r="D241" s="63"/>
      <c r="E241" s="63"/>
      <c r="F241" s="63"/>
      <c r="G241" s="63"/>
    </row>
    <row r="242" spans="1:7" x14ac:dyDescent="0.25">
      <c r="A242" s="63"/>
      <c r="B242" s="63"/>
      <c r="C242" s="63"/>
      <c r="D242" s="63"/>
      <c r="E242" s="63"/>
      <c r="F242" s="63"/>
      <c r="G242" s="63"/>
    </row>
    <row r="243" spans="1:7" x14ac:dyDescent="0.25">
      <c r="A243" s="63"/>
      <c r="B243" s="63"/>
      <c r="C243" s="63"/>
      <c r="D243" s="63"/>
      <c r="E243" s="63"/>
      <c r="F243" s="63"/>
      <c r="G243" s="63"/>
    </row>
    <row r="244" spans="1:7" x14ac:dyDescent="0.25">
      <c r="A244" s="63"/>
      <c r="B244" s="63"/>
      <c r="C244" s="63"/>
      <c r="D244" s="63"/>
      <c r="E244" s="63"/>
      <c r="F244" s="63"/>
      <c r="G244" s="63"/>
    </row>
    <row r="245" spans="1:7" x14ac:dyDescent="0.25">
      <c r="A245" s="63"/>
      <c r="B245" s="63"/>
      <c r="C245" s="63"/>
      <c r="D245" s="63"/>
      <c r="E245" s="63"/>
      <c r="F245" s="63"/>
      <c r="G245" s="63"/>
    </row>
    <row r="246" spans="1:7" x14ac:dyDescent="0.25">
      <c r="A246" s="63"/>
      <c r="B246" s="63"/>
      <c r="C246" s="63"/>
      <c r="D246" s="63"/>
      <c r="E246" s="63"/>
      <c r="F246" s="63"/>
      <c r="G246" s="63"/>
    </row>
    <row r="247" spans="1:7" x14ac:dyDescent="0.25">
      <c r="A247" s="63"/>
      <c r="B247" s="63"/>
      <c r="C247" s="63"/>
      <c r="D247" s="63"/>
      <c r="E247" s="63"/>
      <c r="F247" s="63"/>
      <c r="G247" s="63"/>
    </row>
    <row r="248" spans="1:7" x14ac:dyDescent="0.25">
      <c r="A248" s="63"/>
      <c r="B248" s="63"/>
      <c r="C248" s="63"/>
      <c r="D248" s="63"/>
      <c r="E248" s="63"/>
      <c r="F248" s="63"/>
      <c r="G248" s="63"/>
    </row>
    <row r="249" spans="1:7" x14ac:dyDescent="0.25">
      <c r="A249" s="63"/>
      <c r="B249" s="63"/>
      <c r="C249" s="63"/>
      <c r="D249" s="63"/>
      <c r="E249" s="63"/>
      <c r="F249" s="63"/>
      <c r="G249" s="63"/>
    </row>
    <row r="250" spans="1:7" x14ac:dyDescent="0.25">
      <c r="A250" s="63"/>
      <c r="B250" s="63"/>
      <c r="C250" s="63"/>
      <c r="D250" s="63"/>
      <c r="E250" s="63"/>
      <c r="F250" s="63"/>
      <c r="G250" s="63"/>
    </row>
    <row r="251" spans="1:7" x14ac:dyDescent="0.25">
      <c r="A251" s="63"/>
      <c r="B251" s="63"/>
      <c r="C251" s="63"/>
      <c r="D251" s="63"/>
      <c r="E251" s="63"/>
      <c r="F251" s="63"/>
      <c r="G251" s="63"/>
    </row>
    <row r="252" spans="1:7" x14ac:dyDescent="0.25">
      <c r="A252" s="63"/>
      <c r="B252" s="63"/>
      <c r="C252" s="63"/>
      <c r="D252" s="63"/>
      <c r="E252" s="63"/>
      <c r="F252" s="63"/>
      <c r="G252" s="63"/>
    </row>
    <row r="253" spans="1:7" x14ac:dyDescent="0.25">
      <c r="A253" s="63"/>
      <c r="B253" s="63"/>
      <c r="C253" s="63"/>
      <c r="D253" s="63"/>
      <c r="E253" s="63"/>
      <c r="F253" s="63"/>
      <c r="G253" s="63"/>
    </row>
    <row r="254" spans="1:7" x14ac:dyDescent="0.25">
      <c r="A254" s="63"/>
      <c r="B254" s="63"/>
      <c r="C254" s="63"/>
      <c r="D254" s="63"/>
      <c r="E254" s="63"/>
      <c r="F254" s="63"/>
      <c r="G254" s="63"/>
    </row>
    <row r="255" spans="1:7" x14ac:dyDescent="0.25">
      <c r="A255" s="63"/>
      <c r="B255" s="63"/>
      <c r="C255" s="63"/>
      <c r="D255" s="63"/>
      <c r="E255" s="63"/>
      <c r="F255" s="63"/>
      <c r="G255" s="63"/>
    </row>
    <row r="256" spans="1:7" x14ac:dyDescent="0.25">
      <c r="A256" s="63"/>
      <c r="B256" s="63"/>
      <c r="C256" s="63"/>
      <c r="D256" s="63"/>
      <c r="E256" s="63"/>
      <c r="F256" s="63"/>
      <c r="G256" s="63"/>
    </row>
    <row r="257" spans="1:7" x14ac:dyDescent="0.25">
      <c r="A257" s="63"/>
      <c r="B257" s="63"/>
      <c r="C257" s="63"/>
      <c r="D257" s="63"/>
      <c r="E257" s="63"/>
      <c r="F257" s="63"/>
      <c r="G257" s="63"/>
    </row>
    <row r="258" spans="1:7" x14ac:dyDescent="0.25">
      <c r="A258" s="63"/>
      <c r="B258" s="63"/>
      <c r="C258" s="63"/>
      <c r="D258" s="63"/>
      <c r="E258" s="63"/>
      <c r="F258" s="63"/>
      <c r="G258" s="63"/>
    </row>
    <row r="259" spans="1:7" x14ac:dyDescent="0.25">
      <c r="A259" s="63"/>
      <c r="B259" s="63"/>
      <c r="C259" s="63"/>
      <c r="D259" s="63"/>
      <c r="E259" s="63"/>
      <c r="F259" s="63"/>
      <c r="G259" s="63"/>
    </row>
    <row r="260" spans="1:7" x14ac:dyDescent="0.25">
      <c r="A260" s="63"/>
      <c r="B260" s="63"/>
      <c r="C260" s="63"/>
      <c r="D260" s="63"/>
      <c r="E260" s="63"/>
      <c r="F260" s="63"/>
      <c r="G260" s="63"/>
    </row>
    <row r="261" spans="1:7" x14ac:dyDescent="0.25">
      <c r="A261" s="63"/>
      <c r="B261" s="63"/>
      <c r="C261" s="63"/>
      <c r="D261" s="63"/>
      <c r="E261" s="63"/>
      <c r="F261" s="63"/>
      <c r="G261" s="63"/>
    </row>
    <row r="262" spans="1:7" x14ac:dyDescent="0.25">
      <c r="A262" s="63"/>
      <c r="B262" s="63"/>
      <c r="C262" s="63"/>
      <c r="D262" s="63"/>
      <c r="E262" s="63"/>
      <c r="F262" s="63"/>
      <c r="G262" s="63"/>
    </row>
    <row r="263" spans="1:7" x14ac:dyDescent="0.25">
      <c r="A263" s="63"/>
      <c r="B263" s="63"/>
      <c r="C263" s="63"/>
      <c r="D263" s="63"/>
      <c r="E263" s="63"/>
      <c r="F263" s="63"/>
      <c r="G263" s="63"/>
    </row>
    <row r="264" spans="1:7" x14ac:dyDescent="0.25">
      <c r="A264" s="63"/>
      <c r="B264" s="63"/>
      <c r="C264" s="63"/>
      <c r="D264" s="63"/>
      <c r="E264" s="63"/>
      <c r="F264" s="63"/>
      <c r="G264" s="63"/>
    </row>
    <row r="265" spans="1:7" x14ac:dyDescent="0.25">
      <c r="A265" s="63"/>
      <c r="B265" s="63"/>
      <c r="C265" s="63"/>
      <c r="D265" s="63"/>
      <c r="E265" s="63"/>
      <c r="F265" s="63"/>
      <c r="G265" s="63"/>
    </row>
    <row r="266" spans="1:7" x14ac:dyDescent="0.25">
      <c r="A266" s="63"/>
      <c r="B266" s="63"/>
      <c r="C266" s="63"/>
      <c r="D266" s="63"/>
      <c r="E266" s="63"/>
      <c r="F266" s="63"/>
      <c r="G266" s="63"/>
    </row>
    <row r="267" spans="1:7" x14ac:dyDescent="0.25">
      <c r="A267" s="63"/>
      <c r="B267" s="63"/>
      <c r="C267" s="63"/>
      <c r="D267" s="63"/>
      <c r="E267" s="63"/>
      <c r="F267" s="63"/>
      <c r="G267" s="63"/>
    </row>
    <row r="268" spans="1:7" x14ac:dyDescent="0.25">
      <c r="A268" s="63"/>
      <c r="B268" s="63"/>
      <c r="C268" s="63"/>
      <c r="D268" s="63"/>
      <c r="E268" s="63"/>
      <c r="F268" s="63"/>
      <c r="G268" s="63"/>
    </row>
    <row r="269" spans="1:7" x14ac:dyDescent="0.25">
      <c r="A269" s="63"/>
      <c r="B269" s="63"/>
      <c r="C269" s="63"/>
      <c r="D269" s="63"/>
      <c r="E269" s="63"/>
      <c r="F269" s="63"/>
      <c r="G269" s="63"/>
    </row>
    <row r="270" spans="1:7" x14ac:dyDescent="0.25">
      <c r="A270" s="63"/>
      <c r="B270" s="63"/>
      <c r="C270" s="63"/>
      <c r="D270" s="63"/>
      <c r="E270" s="63"/>
      <c r="F270" s="63"/>
      <c r="G270" s="63"/>
    </row>
    <row r="271" spans="1:7" x14ac:dyDescent="0.25">
      <c r="A271" s="63"/>
      <c r="B271" s="63"/>
      <c r="C271" s="63"/>
      <c r="D271" s="63"/>
      <c r="E271" s="63"/>
      <c r="F271" s="63"/>
      <c r="G271" s="63"/>
    </row>
    <row r="272" spans="1:7" x14ac:dyDescent="0.25">
      <c r="A272" s="63"/>
      <c r="B272" s="63"/>
      <c r="C272" s="63"/>
      <c r="D272" s="63"/>
      <c r="E272" s="63"/>
      <c r="F272" s="63"/>
      <c r="G272" s="63"/>
    </row>
    <row r="273" spans="1:7" x14ac:dyDescent="0.25">
      <c r="A273" s="63"/>
      <c r="B273" s="63"/>
      <c r="C273" s="63"/>
      <c r="D273" s="63"/>
      <c r="E273" s="63"/>
      <c r="F273" s="63"/>
      <c r="G273" s="63"/>
    </row>
    <row r="274" spans="1:7" x14ac:dyDescent="0.25">
      <c r="A274" s="63"/>
      <c r="B274" s="63"/>
      <c r="C274" s="63"/>
      <c r="D274" s="63"/>
      <c r="E274" s="63"/>
      <c r="F274" s="63"/>
      <c r="G274" s="63"/>
    </row>
    <row r="275" spans="1:7" x14ac:dyDescent="0.25">
      <c r="A275" s="63"/>
      <c r="B275" s="63"/>
      <c r="C275" s="63"/>
      <c r="D275" s="63"/>
      <c r="E275" s="63"/>
      <c r="F275" s="63"/>
      <c r="G275" s="63"/>
    </row>
    <row r="276" spans="1:7" x14ac:dyDescent="0.25">
      <c r="A276" s="63"/>
      <c r="B276" s="63"/>
      <c r="C276" s="63"/>
      <c r="D276" s="63"/>
      <c r="E276" s="63"/>
      <c r="F276" s="63"/>
      <c r="G276" s="63"/>
    </row>
    <row r="277" spans="1:7" x14ac:dyDescent="0.25">
      <c r="A277" s="63"/>
      <c r="B277" s="63"/>
      <c r="C277" s="63"/>
      <c r="D277" s="63"/>
      <c r="E277" s="63"/>
      <c r="F277" s="63"/>
      <c r="G277" s="63"/>
    </row>
    <row r="278" spans="1:7" x14ac:dyDescent="0.25">
      <c r="A278" s="63"/>
      <c r="B278" s="63"/>
      <c r="C278" s="63"/>
      <c r="D278" s="63"/>
      <c r="E278" s="63"/>
      <c r="F278" s="63"/>
      <c r="G278" s="63"/>
    </row>
    <row r="279" spans="1:7" x14ac:dyDescent="0.25">
      <c r="A279" s="63"/>
      <c r="B279" s="63"/>
      <c r="C279" s="63"/>
      <c r="D279" s="63"/>
      <c r="E279" s="63"/>
      <c r="F279" s="63"/>
      <c r="G279" s="63"/>
    </row>
    <row r="280" spans="1:7" x14ac:dyDescent="0.25">
      <c r="A280" s="63"/>
      <c r="B280" s="63"/>
      <c r="C280" s="63"/>
      <c r="D280" s="63"/>
      <c r="E280" s="63"/>
      <c r="F280" s="63"/>
      <c r="G280" s="63"/>
    </row>
    <row r="281" spans="1:7" x14ac:dyDescent="0.25">
      <c r="A281" s="63"/>
      <c r="B281" s="63"/>
      <c r="C281" s="63"/>
      <c r="D281" s="63"/>
      <c r="E281" s="63"/>
      <c r="F281" s="63"/>
      <c r="G281" s="63"/>
    </row>
    <row r="282" spans="1:7" x14ac:dyDescent="0.25">
      <c r="A282" s="63"/>
      <c r="B282" s="63"/>
      <c r="C282" s="63"/>
      <c r="D282" s="63"/>
      <c r="E282" s="63"/>
      <c r="F282" s="63"/>
      <c r="G282" s="63"/>
    </row>
    <row r="283" spans="1:7" x14ac:dyDescent="0.25">
      <c r="A283" s="63"/>
      <c r="B283" s="63"/>
      <c r="C283" s="63"/>
      <c r="D283" s="63"/>
      <c r="E283" s="63"/>
      <c r="F283" s="63"/>
      <c r="G283" s="63"/>
    </row>
    <row r="284" spans="1:7" x14ac:dyDescent="0.25">
      <c r="A284" s="63"/>
      <c r="B284" s="63"/>
      <c r="C284" s="63"/>
      <c r="D284" s="63"/>
      <c r="E284" s="63"/>
      <c r="F284" s="63"/>
      <c r="G284" s="63"/>
    </row>
    <row r="285" spans="1:7" x14ac:dyDescent="0.25">
      <c r="A285" s="63"/>
      <c r="B285" s="63"/>
      <c r="C285" s="63"/>
      <c r="D285" s="63"/>
      <c r="E285" s="63"/>
      <c r="F285" s="63"/>
      <c r="G285" s="63"/>
    </row>
    <row r="286" spans="1:7" x14ac:dyDescent="0.25">
      <c r="A286" s="63"/>
      <c r="B286" s="63"/>
      <c r="C286" s="63"/>
      <c r="D286" s="63"/>
      <c r="E286" s="63"/>
      <c r="F286" s="63"/>
      <c r="G286" s="63"/>
    </row>
    <row r="287" spans="1:7" x14ac:dyDescent="0.25">
      <c r="A287" s="63"/>
      <c r="B287" s="63"/>
      <c r="C287" s="63"/>
      <c r="D287" s="63"/>
      <c r="E287" s="63"/>
      <c r="F287" s="63"/>
      <c r="G287" s="63"/>
    </row>
    <row r="288" spans="1:7" x14ac:dyDescent="0.25">
      <c r="A288" s="63"/>
      <c r="B288" s="63"/>
      <c r="C288" s="63"/>
      <c r="D288" s="63"/>
      <c r="E288" s="63"/>
      <c r="F288" s="63"/>
      <c r="G288" s="63"/>
    </row>
    <row r="289" spans="1:7" x14ac:dyDescent="0.25">
      <c r="A289" s="63"/>
      <c r="B289" s="63"/>
      <c r="C289" s="63"/>
      <c r="D289" s="63"/>
      <c r="E289" s="63"/>
      <c r="F289" s="63"/>
      <c r="G289" s="63"/>
    </row>
    <row r="290" spans="1:7" x14ac:dyDescent="0.25">
      <c r="A290" s="63"/>
      <c r="B290" s="63"/>
      <c r="C290" s="63"/>
      <c r="D290" s="63"/>
      <c r="E290" s="63"/>
      <c r="F290" s="63"/>
      <c r="G290" s="63"/>
    </row>
    <row r="291" spans="1:7" x14ac:dyDescent="0.25">
      <c r="A291" s="63"/>
      <c r="B291" s="63"/>
      <c r="C291" s="63"/>
      <c r="D291" s="63"/>
      <c r="E291" s="63"/>
      <c r="F291" s="63"/>
      <c r="G291" s="63"/>
    </row>
    <row r="292" spans="1:7" x14ac:dyDescent="0.25">
      <c r="A292" s="63"/>
      <c r="B292" s="63"/>
      <c r="C292" s="63"/>
      <c r="D292" s="63"/>
      <c r="E292" s="63"/>
      <c r="F292" s="63"/>
      <c r="G292" s="63"/>
    </row>
    <row r="293" spans="1:7" x14ac:dyDescent="0.25">
      <c r="A293" s="63"/>
      <c r="B293" s="63"/>
      <c r="C293" s="63"/>
      <c r="D293" s="63"/>
      <c r="E293" s="63"/>
      <c r="F293" s="63"/>
      <c r="G293" s="63"/>
    </row>
    <row r="294" spans="1:7" x14ac:dyDescent="0.25">
      <c r="A294" s="63"/>
      <c r="B294" s="63"/>
      <c r="C294" s="63"/>
      <c r="D294" s="63"/>
      <c r="E294" s="63"/>
      <c r="F294" s="63"/>
      <c r="G294" s="63"/>
    </row>
    <row r="295" spans="1:7" x14ac:dyDescent="0.25">
      <c r="A295" s="63"/>
      <c r="B295" s="63"/>
      <c r="C295" s="63"/>
      <c r="D295" s="63"/>
      <c r="E295" s="63"/>
      <c r="F295" s="63"/>
      <c r="G295" s="63"/>
    </row>
    <row r="296" spans="1:7" x14ac:dyDescent="0.25">
      <c r="A296" s="63"/>
      <c r="B296" s="63"/>
      <c r="C296" s="63"/>
      <c r="D296" s="63"/>
      <c r="E296" s="63"/>
      <c r="F296" s="63"/>
      <c r="G296" s="63"/>
    </row>
    <row r="297" spans="1:7" x14ac:dyDescent="0.25">
      <c r="A297" s="63"/>
      <c r="B297" s="63"/>
      <c r="C297" s="63"/>
      <c r="D297" s="63"/>
      <c r="E297" s="63"/>
      <c r="F297" s="63"/>
      <c r="G297" s="63"/>
    </row>
    <row r="298" spans="1:7" x14ac:dyDescent="0.25">
      <c r="A298" s="63"/>
      <c r="B298" s="63"/>
      <c r="C298" s="63"/>
      <c r="D298" s="63"/>
      <c r="E298" s="63"/>
      <c r="F298" s="63"/>
      <c r="G298" s="63"/>
    </row>
    <row r="299" spans="1:7" x14ac:dyDescent="0.25">
      <c r="A299" s="63"/>
      <c r="B299" s="63"/>
      <c r="C299" s="63"/>
      <c r="D299" s="63"/>
      <c r="E299" s="63"/>
      <c r="F299" s="63"/>
      <c r="G299" s="63"/>
    </row>
    <row r="300" spans="1:7" x14ac:dyDescent="0.25">
      <c r="A300" s="63"/>
      <c r="B300" s="63"/>
      <c r="C300" s="63"/>
      <c r="D300" s="63"/>
      <c r="E300" s="63"/>
      <c r="F300" s="63"/>
      <c r="G300" s="63"/>
    </row>
    <row r="301" spans="1:7" x14ac:dyDescent="0.25">
      <c r="A301" s="63"/>
      <c r="B301" s="63"/>
      <c r="C301" s="63"/>
      <c r="D301" s="63"/>
      <c r="E301" s="63"/>
      <c r="F301" s="63"/>
      <c r="G301" s="63"/>
    </row>
    <row r="302" spans="1:7" x14ac:dyDescent="0.25">
      <c r="A302" s="63"/>
      <c r="B302" s="63"/>
      <c r="C302" s="63"/>
      <c r="D302" s="63"/>
      <c r="E302" s="63"/>
      <c r="F302" s="63"/>
      <c r="G302" s="63"/>
    </row>
    <row r="303" spans="1:7" x14ac:dyDescent="0.25">
      <c r="A303" s="63"/>
      <c r="B303" s="63"/>
      <c r="C303" s="63"/>
      <c r="D303" s="63"/>
      <c r="E303" s="63"/>
      <c r="F303" s="63"/>
      <c r="G303" s="63"/>
    </row>
    <row r="304" spans="1:7" x14ac:dyDescent="0.25">
      <c r="A304" s="63"/>
      <c r="B304" s="63"/>
      <c r="C304" s="63"/>
      <c r="D304" s="63"/>
      <c r="E304" s="63"/>
      <c r="F304" s="63"/>
      <c r="G304" s="63"/>
    </row>
    <row r="305" spans="1:7" x14ac:dyDescent="0.25">
      <c r="A305" s="63"/>
      <c r="B305" s="63"/>
      <c r="C305" s="63"/>
      <c r="D305" s="63"/>
      <c r="E305" s="63"/>
      <c r="F305" s="63"/>
      <c r="G305" s="63"/>
    </row>
    <row r="306" spans="1:7" x14ac:dyDescent="0.25">
      <c r="A306" s="63"/>
      <c r="B306" s="63"/>
      <c r="C306" s="63"/>
      <c r="D306" s="63"/>
      <c r="E306" s="63"/>
      <c r="F306" s="63"/>
      <c r="G306" s="63"/>
    </row>
    <row r="307" spans="1:7" x14ac:dyDescent="0.25">
      <c r="A307" s="63"/>
      <c r="B307" s="63"/>
      <c r="C307" s="63"/>
      <c r="D307" s="63"/>
      <c r="E307" s="63"/>
      <c r="F307" s="63"/>
      <c r="G307" s="63"/>
    </row>
    <row r="308" spans="1:7" x14ac:dyDescent="0.25">
      <c r="A308" s="63"/>
      <c r="B308" s="63"/>
      <c r="C308" s="63"/>
      <c r="D308" s="63"/>
      <c r="E308" s="63"/>
      <c r="F308" s="63"/>
      <c r="G308" s="63"/>
    </row>
    <row r="309" spans="1:7" x14ac:dyDescent="0.25">
      <c r="A309" s="63"/>
      <c r="B309" s="63"/>
      <c r="C309" s="63"/>
      <c r="D309" s="63"/>
      <c r="E309" s="63"/>
      <c r="F309" s="63"/>
      <c r="G309" s="63"/>
    </row>
    <row r="310" spans="1:7" x14ac:dyDescent="0.25">
      <c r="A310" s="63"/>
      <c r="B310" s="63"/>
      <c r="C310" s="63"/>
      <c r="D310" s="63"/>
      <c r="E310" s="63"/>
      <c r="F310" s="63"/>
      <c r="G310" s="63"/>
    </row>
    <row r="311" spans="1:7" x14ac:dyDescent="0.25">
      <c r="A311" s="63"/>
      <c r="B311" s="63"/>
      <c r="C311" s="63"/>
      <c r="D311" s="63"/>
      <c r="E311" s="63"/>
      <c r="F311" s="63"/>
      <c r="G311" s="63"/>
    </row>
    <row r="312" spans="1:7" x14ac:dyDescent="0.25">
      <c r="A312" s="63"/>
      <c r="B312" s="63"/>
      <c r="C312" s="63"/>
      <c r="D312" s="63"/>
      <c r="E312" s="63"/>
      <c r="F312" s="63"/>
      <c r="G312" s="63"/>
    </row>
    <row r="313" spans="1:7" x14ac:dyDescent="0.25">
      <c r="A313" s="63"/>
      <c r="B313" s="63"/>
      <c r="C313" s="63"/>
      <c r="D313" s="63"/>
      <c r="E313" s="63"/>
      <c r="F313" s="63"/>
      <c r="G313" s="63"/>
    </row>
    <row r="314" spans="1:7" x14ac:dyDescent="0.25">
      <c r="A314" s="63"/>
      <c r="B314" s="63"/>
      <c r="C314" s="63"/>
      <c r="D314" s="63"/>
      <c r="E314" s="63"/>
      <c r="F314" s="63"/>
      <c r="G314" s="63"/>
    </row>
    <row r="315" spans="1:7" x14ac:dyDescent="0.25">
      <c r="A315" s="63"/>
      <c r="B315" s="63"/>
      <c r="C315" s="63"/>
      <c r="D315" s="63"/>
      <c r="E315" s="63"/>
      <c r="F315" s="63"/>
      <c r="G315" s="63"/>
    </row>
    <row r="316" spans="1:7" x14ac:dyDescent="0.25">
      <c r="A316" s="63"/>
      <c r="B316" s="63"/>
      <c r="C316" s="63"/>
      <c r="D316" s="63"/>
      <c r="E316" s="63"/>
      <c r="F316" s="63"/>
      <c r="G316" s="63"/>
    </row>
    <row r="317" spans="1:7" x14ac:dyDescent="0.25">
      <c r="A317" s="63"/>
      <c r="B317" s="63"/>
      <c r="C317" s="63"/>
      <c r="D317" s="63"/>
      <c r="E317" s="63"/>
      <c r="F317" s="63"/>
      <c r="G317" s="63"/>
    </row>
    <row r="318" spans="1:7" x14ac:dyDescent="0.25">
      <c r="A318" s="63"/>
      <c r="B318" s="63"/>
      <c r="C318" s="63"/>
      <c r="D318" s="63"/>
      <c r="E318" s="63"/>
      <c r="F318" s="63"/>
      <c r="G318" s="63"/>
    </row>
    <row r="319" spans="1:7" x14ac:dyDescent="0.25">
      <c r="A319" s="63"/>
      <c r="B319" s="63"/>
      <c r="C319" s="63"/>
      <c r="D319" s="63"/>
      <c r="E319" s="63"/>
      <c r="F319" s="63"/>
      <c r="G319" s="63"/>
    </row>
    <row r="320" spans="1:7" x14ac:dyDescent="0.25">
      <c r="A320" s="63"/>
      <c r="B320" s="63"/>
      <c r="C320" s="63"/>
      <c r="D320" s="63"/>
      <c r="E320" s="63"/>
      <c r="F320" s="63"/>
      <c r="G320" s="63"/>
    </row>
    <row r="321" spans="1:7" x14ac:dyDescent="0.25">
      <c r="A321" s="63"/>
      <c r="B321" s="63"/>
      <c r="C321" s="63"/>
      <c r="D321" s="63"/>
      <c r="E321" s="63"/>
      <c r="F321" s="63"/>
      <c r="G321" s="63"/>
    </row>
    <row r="322" spans="1:7" x14ac:dyDescent="0.25">
      <c r="A322" s="63"/>
      <c r="B322" s="63"/>
      <c r="C322" s="63"/>
      <c r="D322" s="63"/>
      <c r="E322" s="63"/>
      <c r="F322" s="63"/>
      <c r="G322" s="63"/>
    </row>
    <row r="323" spans="1:7" x14ac:dyDescent="0.25">
      <c r="A323" s="63"/>
      <c r="B323" s="63"/>
      <c r="C323" s="63"/>
      <c r="D323" s="63"/>
      <c r="E323" s="63"/>
      <c r="F323" s="63"/>
      <c r="G323" s="63"/>
    </row>
    <row r="324" spans="1:7" x14ac:dyDescent="0.25">
      <c r="A324" s="63"/>
      <c r="B324" s="63"/>
      <c r="C324" s="63"/>
      <c r="D324" s="63"/>
      <c r="E324" s="63"/>
      <c r="F324" s="63"/>
      <c r="G324" s="63"/>
    </row>
    <row r="325" spans="1:7" x14ac:dyDescent="0.25">
      <c r="A325" s="63"/>
      <c r="B325" s="63"/>
      <c r="C325" s="63"/>
      <c r="D325" s="63"/>
      <c r="E325" s="63"/>
      <c r="F325" s="63"/>
      <c r="G325" s="63"/>
    </row>
    <row r="326" spans="1:7" x14ac:dyDescent="0.25">
      <c r="A326" s="63"/>
      <c r="B326" s="63"/>
      <c r="C326" s="63"/>
      <c r="D326" s="63"/>
      <c r="E326" s="63"/>
      <c r="F326" s="63"/>
      <c r="G326" s="63"/>
    </row>
    <row r="327" spans="1:7" x14ac:dyDescent="0.25">
      <c r="A327" s="63"/>
      <c r="B327" s="63"/>
      <c r="C327" s="63"/>
      <c r="D327" s="63"/>
      <c r="E327" s="63"/>
      <c r="F327" s="63"/>
      <c r="G327" s="63"/>
    </row>
    <row r="328" spans="1:7" x14ac:dyDescent="0.25">
      <c r="A328" s="63"/>
      <c r="B328" s="63"/>
      <c r="C328" s="63"/>
      <c r="D328" s="63"/>
      <c r="E328" s="63"/>
      <c r="F328" s="63"/>
      <c r="G328" s="63"/>
    </row>
    <row r="329" spans="1:7" x14ac:dyDescent="0.25">
      <c r="A329" s="63"/>
      <c r="B329" s="63"/>
      <c r="C329" s="63"/>
      <c r="D329" s="63"/>
      <c r="E329" s="63"/>
      <c r="F329" s="63"/>
      <c r="G329" s="63"/>
    </row>
    <row r="330" spans="1:7" x14ac:dyDescent="0.25">
      <c r="A330" s="63"/>
      <c r="B330" s="63"/>
      <c r="C330" s="63"/>
      <c r="D330" s="63"/>
      <c r="E330" s="63"/>
      <c r="F330" s="63"/>
      <c r="G330" s="63"/>
    </row>
    <row r="331" spans="1:7" x14ac:dyDescent="0.25">
      <c r="A331" s="63"/>
      <c r="B331" s="63"/>
      <c r="C331" s="63"/>
      <c r="D331" s="63"/>
      <c r="E331" s="63"/>
      <c r="F331" s="63"/>
      <c r="G331" s="63"/>
    </row>
    <row r="332" spans="1:7" x14ac:dyDescent="0.25">
      <c r="A332" s="63"/>
      <c r="B332" s="63"/>
      <c r="C332" s="63"/>
      <c r="D332" s="63"/>
      <c r="E332" s="63"/>
      <c r="F332" s="63"/>
      <c r="G332" s="63"/>
    </row>
    <row r="333" spans="1:7" x14ac:dyDescent="0.25">
      <c r="A333" s="63"/>
      <c r="B333" s="63"/>
      <c r="C333" s="63"/>
      <c r="D333" s="63"/>
      <c r="E333" s="63"/>
      <c r="F333" s="63"/>
      <c r="G333" s="63"/>
    </row>
    <row r="334" spans="1:7" x14ac:dyDescent="0.25">
      <c r="A334" s="63"/>
      <c r="B334" s="63"/>
      <c r="C334" s="63"/>
      <c r="D334" s="63"/>
      <c r="E334" s="63"/>
      <c r="F334" s="63"/>
      <c r="G334" s="63"/>
    </row>
    <row r="335" spans="1:7" x14ac:dyDescent="0.25">
      <c r="A335" s="63"/>
      <c r="B335" s="63"/>
      <c r="C335" s="63"/>
      <c r="D335" s="63"/>
      <c r="E335" s="63"/>
      <c r="F335" s="63"/>
      <c r="G335" s="63"/>
    </row>
    <row r="336" spans="1:7" x14ac:dyDescent="0.25">
      <c r="A336" s="63"/>
      <c r="B336" s="63"/>
      <c r="C336" s="63"/>
      <c r="D336" s="63"/>
      <c r="E336" s="63"/>
      <c r="F336" s="63"/>
      <c r="G336" s="63"/>
    </row>
    <row r="337" spans="1:7" x14ac:dyDescent="0.25">
      <c r="A337" s="63"/>
      <c r="B337" s="63"/>
      <c r="C337" s="63"/>
      <c r="D337" s="63"/>
      <c r="E337" s="63"/>
      <c r="F337" s="63"/>
      <c r="G337" s="63"/>
    </row>
    <row r="338" spans="1:7" x14ac:dyDescent="0.25">
      <c r="A338" s="63"/>
      <c r="B338" s="63"/>
      <c r="C338" s="63"/>
      <c r="D338" s="63"/>
      <c r="E338" s="63"/>
      <c r="F338" s="63"/>
      <c r="G338" s="63"/>
    </row>
    <row r="339" spans="1:7" x14ac:dyDescent="0.25">
      <c r="A339" s="63"/>
      <c r="B339" s="63"/>
      <c r="C339" s="63"/>
      <c r="D339" s="63"/>
      <c r="E339" s="63"/>
      <c r="F339" s="63"/>
      <c r="G339" s="63"/>
    </row>
    <row r="340" spans="1:7" x14ac:dyDescent="0.25">
      <c r="A340" s="63"/>
      <c r="B340" s="63"/>
      <c r="C340" s="63"/>
      <c r="D340" s="63"/>
      <c r="E340" s="63"/>
      <c r="F340" s="63"/>
      <c r="G340" s="63"/>
    </row>
    <row r="341" spans="1:7" x14ac:dyDescent="0.25">
      <c r="A341" s="63"/>
      <c r="B341" s="63"/>
      <c r="C341" s="63"/>
      <c r="D341" s="63"/>
      <c r="E341" s="63"/>
      <c r="F341" s="63"/>
      <c r="G341" s="63"/>
    </row>
    <row r="342" spans="1:7" x14ac:dyDescent="0.25">
      <c r="A342" s="63"/>
      <c r="B342" s="63"/>
      <c r="C342" s="63"/>
      <c r="D342" s="63"/>
      <c r="E342" s="63"/>
      <c r="F342" s="63"/>
      <c r="G342" s="63"/>
    </row>
    <row r="343" spans="1:7" x14ac:dyDescent="0.25">
      <c r="A343" s="63"/>
      <c r="B343" s="63"/>
      <c r="C343" s="63"/>
      <c r="D343" s="63"/>
      <c r="E343" s="63"/>
      <c r="F343" s="63"/>
      <c r="G343" s="63"/>
    </row>
    <row r="344" spans="1:7" x14ac:dyDescent="0.25">
      <c r="A344" s="63"/>
      <c r="B344" s="63"/>
      <c r="C344" s="63"/>
      <c r="D344" s="63"/>
      <c r="E344" s="63"/>
      <c r="F344" s="63"/>
      <c r="G344" s="63"/>
    </row>
    <row r="345" spans="1:7" x14ac:dyDescent="0.25">
      <c r="A345" s="63"/>
      <c r="B345" s="63"/>
      <c r="C345" s="63"/>
      <c r="D345" s="63"/>
      <c r="E345" s="63"/>
      <c r="F345" s="63"/>
      <c r="G345" s="63"/>
    </row>
    <row r="346" spans="1:7" x14ac:dyDescent="0.25">
      <c r="A346" s="63"/>
      <c r="B346" s="63"/>
      <c r="C346" s="63"/>
      <c r="D346" s="63"/>
      <c r="E346" s="63"/>
      <c r="F346" s="63"/>
      <c r="G346" s="63"/>
    </row>
    <row r="347" spans="1:7" x14ac:dyDescent="0.25">
      <c r="A347" s="63"/>
      <c r="B347" s="63"/>
      <c r="C347" s="63"/>
      <c r="D347" s="63"/>
      <c r="E347" s="63"/>
      <c r="F347" s="63"/>
      <c r="G347" s="63"/>
    </row>
    <row r="348" spans="1:7" x14ac:dyDescent="0.25">
      <c r="A348" s="63"/>
      <c r="B348" s="63"/>
      <c r="C348" s="63"/>
      <c r="D348" s="63"/>
      <c r="E348" s="63"/>
      <c r="F348" s="63"/>
      <c r="G348" s="63"/>
    </row>
    <row r="349" spans="1:7" x14ac:dyDescent="0.25">
      <c r="A349" s="63"/>
      <c r="B349" s="63"/>
      <c r="C349" s="63"/>
      <c r="D349" s="63"/>
      <c r="E349" s="63"/>
      <c r="F349" s="63"/>
      <c r="G349" s="63"/>
    </row>
    <row r="350" spans="1:7" x14ac:dyDescent="0.25">
      <c r="A350" s="63"/>
      <c r="B350" s="63"/>
      <c r="C350" s="63"/>
      <c r="D350" s="63"/>
      <c r="E350" s="63"/>
      <c r="F350" s="63"/>
      <c r="G350" s="63"/>
    </row>
    <row r="351" spans="1:7" x14ac:dyDescent="0.25">
      <c r="A351" s="63"/>
      <c r="B351" s="63"/>
      <c r="C351" s="63"/>
      <c r="D351" s="63"/>
      <c r="E351" s="63"/>
      <c r="F351" s="63"/>
      <c r="G351" s="63"/>
    </row>
    <row r="352" spans="1:7" x14ac:dyDescent="0.25">
      <c r="A352" s="63"/>
      <c r="B352" s="63"/>
      <c r="C352" s="63"/>
      <c r="D352" s="63"/>
      <c r="E352" s="63"/>
      <c r="F352" s="63"/>
      <c r="G352" s="63"/>
    </row>
    <row r="353" spans="1:7" x14ac:dyDescent="0.25">
      <c r="A353" s="63"/>
      <c r="B353" s="63"/>
      <c r="C353" s="63"/>
      <c r="D353" s="63"/>
      <c r="E353" s="63"/>
      <c r="F353" s="63"/>
      <c r="G353" s="63"/>
    </row>
    <row r="354" spans="1:7" x14ac:dyDescent="0.25">
      <c r="A354" s="63"/>
      <c r="B354" s="63"/>
      <c r="C354" s="63"/>
      <c r="D354" s="63"/>
      <c r="E354" s="63"/>
      <c r="F354" s="63"/>
      <c r="G354" s="63"/>
    </row>
    <row r="355" spans="1:7" x14ac:dyDescent="0.25">
      <c r="A355" s="63"/>
      <c r="B355" s="63"/>
      <c r="C355" s="63"/>
      <c r="D355" s="63"/>
      <c r="E355" s="63"/>
      <c r="F355" s="63"/>
      <c r="G355" s="63"/>
    </row>
    <row r="356" spans="1:7" x14ac:dyDescent="0.25">
      <c r="A356" s="63"/>
      <c r="B356" s="63"/>
      <c r="C356" s="63"/>
      <c r="D356" s="63"/>
      <c r="E356" s="63"/>
      <c r="F356" s="63"/>
      <c r="G356" s="63"/>
    </row>
    <row r="357" spans="1:7" x14ac:dyDescent="0.25">
      <c r="A357" s="63"/>
      <c r="B357" s="63"/>
      <c r="C357" s="63"/>
      <c r="D357" s="63"/>
      <c r="E357" s="63"/>
      <c r="F357" s="63"/>
      <c r="G357" s="63"/>
    </row>
    <row r="358" spans="1:7" x14ac:dyDescent="0.25">
      <c r="A358" s="63"/>
      <c r="B358" s="63"/>
      <c r="C358" s="63"/>
      <c r="D358" s="63"/>
      <c r="E358" s="63"/>
      <c r="F358" s="63"/>
      <c r="G358" s="63"/>
    </row>
    <row r="359" spans="1:7" x14ac:dyDescent="0.25">
      <c r="A359" s="63"/>
      <c r="B359" s="63"/>
      <c r="C359" s="63"/>
      <c r="D359" s="63"/>
      <c r="E359" s="63"/>
      <c r="F359" s="63"/>
      <c r="G359" s="63"/>
    </row>
    <row r="360" spans="1:7" x14ac:dyDescent="0.25">
      <c r="A360" s="63"/>
      <c r="B360" s="63"/>
      <c r="C360" s="63"/>
      <c r="D360" s="63"/>
      <c r="E360" s="63"/>
      <c r="F360" s="63"/>
      <c r="G360" s="63"/>
    </row>
    <row r="361" spans="1:7" x14ac:dyDescent="0.25">
      <c r="A361" s="63"/>
      <c r="B361" s="63"/>
      <c r="C361" s="63"/>
      <c r="D361" s="63"/>
      <c r="E361" s="63"/>
      <c r="F361" s="63"/>
      <c r="G361" s="63"/>
    </row>
    <row r="362" spans="1:7" x14ac:dyDescent="0.25">
      <c r="A362" s="63"/>
      <c r="B362" s="63"/>
      <c r="C362" s="63"/>
      <c r="D362" s="63"/>
      <c r="E362" s="63"/>
      <c r="F362" s="63"/>
      <c r="G362" s="63"/>
    </row>
    <row r="363" spans="1:7" x14ac:dyDescent="0.25">
      <c r="A363" s="63"/>
      <c r="B363" s="63"/>
      <c r="C363" s="63"/>
      <c r="D363" s="63"/>
      <c r="E363" s="63"/>
      <c r="F363" s="63"/>
      <c r="G363" s="63"/>
    </row>
    <row r="364" spans="1:7" x14ac:dyDescent="0.25">
      <c r="A364" s="63"/>
      <c r="B364" s="63"/>
      <c r="C364" s="63"/>
      <c r="D364" s="63"/>
      <c r="E364" s="63"/>
      <c r="F364" s="63"/>
      <c r="G364" s="63"/>
    </row>
    <row r="365" spans="1:7" x14ac:dyDescent="0.25">
      <c r="A365" s="63"/>
      <c r="B365" s="63"/>
      <c r="C365" s="63"/>
      <c r="D365" s="63"/>
      <c r="E365" s="63"/>
      <c r="F365" s="63"/>
      <c r="G365" s="63"/>
    </row>
    <row r="366" spans="1:7" x14ac:dyDescent="0.25">
      <c r="A366" s="63"/>
      <c r="B366" s="63"/>
      <c r="C366" s="63"/>
      <c r="D366" s="63"/>
      <c r="E366" s="63"/>
      <c r="F366" s="63"/>
      <c r="G366" s="63"/>
    </row>
    <row r="367" spans="1:7" x14ac:dyDescent="0.25">
      <c r="A367" s="63"/>
      <c r="B367" s="63"/>
      <c r="C367" s="63"/>
      <c r="D367" s="63"/>
      <c r="E367" s="63"/>
      <c r="F367" s="63"/>
      <c r="G367" s="63"/>
    </row>
    <row r="368" spans="1:7" x14ac:dyDescent="0.25">
      <c r="A368" s="63"/>
      <c r="B368" s="63"/>
      <c r="C368" s="63"/>
      <c r="D368" s="63"/>
      <c r="E368" s="63"/>
      <c r="F368" s="63"/>
      <c r="G368" s="63"/>
    </row>
    <row r="369" spans="1:7" x14ac:dyDescent="0.25">
      <c r="A369" s="63"/>
      <c r="B369" s="63"/>
      <c r="C369" s="63"/>
      <c r="D369" s="63"/>
      <c r="E369" s="63"/>
      <c r="F369" s="63"/>
      <c r="G369" s="63"/>
    </row>
    <row r="370" spans="1:7" x14ac:dyDescent="0.25">
      <c r="A370" s="63"/>
      <c r="B370" s="63"/>
      <c r="C370" s="63"/>
      <c r="D370" s="63"/>
      <c r="E370" s="63"/>
      <c r="F370" s="63"/>
      <c r="G370" s="63"/>
    </row>
    <row r="371" spans="1:7" x14ac:dyDescent="0.25">
      <c r="A371" s="63"/>
      <c r="B371" s="63"/>
      <c r="C371" s="63"/>
      <c r="D371" s="63"/>
      <c r="E371" s="63"/>
      <c r="F371" s="63"/>
      <c r="G371" s="63"/>
    </row>
    <row r="372" spans="1:7" x14ac:dyDescent="0.25">
      <c r="A372" s="63"/>
      <c r="B372" s="63"/>
      <c r="C372" s="63"/>
      <c r="D372" s="63"/>
      <c r="E372" s="63"/>
      <c r="F372" s="63"/>
      <c r="G372" s="63"/>
    </row>
    <row r="373" spans="1:7" x14ac:dyDescent="0.25">
      <c r="A373" s="63"/>
      <c r="B373" s="63"/>
      <c r="C373" s="63"/>
      <c r="D373" s="63"/>
      <c r="E373" s="63"/>
      <c r="F373" s="63"/>
      <c r="G373" s="63"/>
    </row>
    <row r="374" spans="1:7" x14ac:dyDescent="0.25">
      <c r="A374" s="63"/>
      <c r="B374" s="63"/>
      <c r="C374" s="63"/>
      <c r="D374" s="63"/>
      <c r="E374" s="63"/>
      <c r="F374" s="63"/>
      <c r="G374" s="63"/>
    </row>
    <row r="375" spans="1:7" x14ac:dyDescent="0.25">
      <c r="A375" s="63"/>
      <c r="B375" s="63"/>
      <c r="C375" s="63"/>
      <c r="D375" s="63"/>
      <c r="E375" s="63"/>
      <c r="F375" s="63"/>
      <c r="G375" s="63"/>
    </row>
    <row r="376" spans="1:7" x14ac:dyDescent="0.25">
      <c r="A376" s="63"/>
      <c r="B376" s="63"/>
      <c r="C376" s="63"/>
      <c r="D376" s="63"/>
      <c r="E376" s="63"/>
      <c r="F376" s="63"/>
      <c r="G376" s="63"/>
    </row>
    <row r="377" spans="1:7" x14ac:dyDescent="0.25">
      <c r="A377" s="63"/>
      <c r="B377" s="63"/>
      <c r="C377" s="63"/>
      <c r="D377" s="63"/>
      <c r="E377" s="63"/>
      <c r="F377" s="63"/>
      <c r="G377" s="63"/>
    </row>
    <row r="378" spans="1:7" x14ac:dyDescent="0.25">
      <c r="A378" s="63"/>
      <c r="B378" s="63"/>
      <c r="C378" s="63"/>
      <c r="D378" s="63"/>
      <c r="E378" s="63"/>
      <c r="F378" s="63"/>
      <c r="G378" s="63"/>
    </row>
    <row r="379" spans="1:7" x14ac:dyDescent="0.25">
      <c r="A379" s="63"/>
      <c r="B379" s="63"/>
      <c r="C379" s="63"/>
      <c r="D379" s="63"/>
      <c r="E379" s="63"/>
      <c r="F379" s="63"/>
      <c r="G379" s="63"/>
    </row>
    <row r="380" spans="1:7" x14ac:dyDescent="0.25">
      <c r="A380" s="63"/>
      <c r="B380" s="63"/>
      <c r="C380" s="63"/>
      <c r="D380" s="63"/>
      <c r="E380" s="63"/>
      <c r="F380" s="63"/>
      <c r="G380" s="63"/>
    </row>
    <row r="381" spans="1:7" x14ac:dyDescent="0.25">
      <c r="A381" s="63"/>
      <c r="B381" s="63"/>
      <c r="C381" s="63"/>
      <c r="D381" s="63"/>
      <c r="E381" s="63"/>
      <c r="F381" s="63"/>
      <c r="G381" s="63"/>
    </row>
    <row r="382" spans="1:7" x14ac:dyDescent="0.25">
      <c r="A382" s="63"/>
      <c r="B382" s="63"/>
      <c r="C382" s="63"/>
      <c r="D382" s="63"/>
      <c r="E382" s="63"/>
      <c r="F382" s="63"/>
      <c r="G382" s="63"/>
    </row>
    <row r="383" spans="1:7" x14ac:dyDescent="0.25">
      <c r="A383" s="63"/>
      <c r="B383" s="63"/>
      <c r="C383" s="63"/>
      <c r="D383" s="63"/>
      <c r="E383" s="63"/>
      <c r="F383" s="63"/>
      <c r="G383" s="63"/>
    </row>
    <row r="384" spans="1:7" x14ac:dyDescent="0.25">
      <c r="A384" s="63"/>
      <c r="B384" s="63"/>
      <c r="C384" s="63"/>
      <c r="D384" s="63"/>
      <c r="E384" s="63"/>
      <c r="F384" s="63"/>
      <c r="G384" s="63"/>
    </row>
    <row r="385" spans="1:7" x14ac:dyDescent="0.25">
      <c r="A385" s="63"/>
      <c r="B385" s="63"/>
      <c r="C385" s="63"/>
      <c r="D385" s="63"/>
      <c r="E385" s="63"/>
      <c r="F385" s="63"/>
      <c r="G385" s="63"/>
    </row>
    <row r="386" spans="1:7" x14ac:dyDescent="0.25">
      <c r="A386" s="63"/>
      <c r="B386" s="63"/>
      <c r="C386" s="63"/>
      <c r="D386" s="63"/>
      <c r="E386" s="63"/>
      <c r="F386" s="63"/>
      <c r="G386" s="63"/>
    </row>
    <row r="387" spans="1:7" x14ac:dyDescent="0.25">
      <c r="A387" s="63"/>
      <c r="B387" s="63"/>
      <c r="C387" s="63"/>
      <c r="D387" s="63"/>
      <c r="E387" s="63"/>
      <c r="F387" s="63"/>
      <c r="G387" s="63"/>
    </row>
    <row r="388" spans="1:7" x14ac:dyDescent="0.25">
      <c r="A388" s="63"/>
      <c r="B388" s="63"/>
      <c r="C388" s="63"/>
      <c r="D388" s="63"/>
      <c r="E388" s="63"/>
      <c r="F388" s="63"/>
      <c r="G388" s="63"/>
    </row>
    <row r="389" spans="1:7" x14ac:dyDescent="0.25">
      <c r="A389" s="63"/>
      <c r="B389" s="63"/>
      <c r="C389" s="63"/>
      <c r="D389" s="63"/>
      <c r="E389" s="63"/>
      <c r="F389" s="63"/>
      <c r="G389" s="63"/>
    </row>
    <row r="390" spans="1:7" x14ac:dyDescent="0.25">
      <c r="A390" s="63"/>
      <c r="B390" s="63"/>
      <c r="C390" s="63"/>
      <c r="D390" s="63"/>
      <c r="E390" s="63"/>
      <c r="F390" s="63"/>
      <c r="G390" s="63"/>
    </row>
    <row r="391" spans="1:7" x14ac:dyDescent="0.25">
      <c r="A391" s="63"/>
      <c r="B391" s="63"/>
      <c r="C391" s="63"/>
      <c r="D391" s="63"/>
      <c r="E391" s="63"/>
      <c r="F391" s="63"/>
      <c r="G391" s="63"/>
    </row>
    <row r="392" spans="1:7" x14ac:dyDescent="0.25">
      <c r="A392" s="63"/>
      <c r="B392" s="63"/>
      <c r="C392" s="63"/>
      <c r="D392" s="63"/>
      <c r="E392" s="63"/>
      <c r="F392" s="63"/>
      <c r="G392" s="63"/>
    </row>
    <row r="393" spans="1:7" x14ac:dyDescent="0.25">
      <c r="A393" s="63"/>
      <c r="B393" s="63"/>
      <c r="C393" s="63"/>
      <c r="D393" s="63"/>
      <c r="E393" s="63"/>
      <c r="F393" s="63"/>
      <c r="G393" s="63"/>
    </row>
    <row r="394" spans="1:7" x14ac:dyDescent="0.25">
      <c r="A394" s="63"/>
      <c r="B394" s="63"/>
      <c r="C394" s="63"/>
      <c r="D394" s="63"/>
      <c r="E394" s="63"/>
      <c r="F394" s="63"/>
      <c r="G394" s="63"/>
    </row>
    <row r="395" spans="1:7" x14ac:dyDescent="0.25">
      <c r="A395" s="63"/>
      <c r="B395" s="63"/>
      <c r="C395" s="63"/>
      <c r="D395" s="63"/>
      <c r="E395" s="63"/>
      <c r="F395" s="63"/>
      <c r="G395" s="63"/>
    </row>
    <row r="396" spans="1:7" x14ac:dyDescent="0.25">
      <c r="A396" s="63"/>
      <c r="B396" s="63"/>
      <c r="C396" s="63"/>
      <c r="D396" s="63"/>
      <c r="E396" s="63"/>
      <c r="F396" s="63"/>
      <c r="G396" s="63"/>
    </row>
    <row r="397" spans="1:7" x14ac:dyDescent="0.25">
      <c r="A397" s="63"/>
      <c r="B397" s="63"/>
      <c r="C397" s="63"/>
      <c r="D397" s="63"/>
      <c r="E397" s="63"/>
      <c r="F397" s="63"/>
      <c r="G397" s="63"/>
    </row>
    <row r="398" spans="1:7" x14ac:dyDescent="0.25">
      <c r="A398" s="63"/>
      <c r="B398" s="63"/>
      <c r="C398" s="63"/>
      <c r="D398" s="63"/>
      <c r="E398" s="63"/>
      <c r="F398" s="63"/>
      <c r="G398" s="63"/>
    </row>
    <row r="399" spans="1:7" x14ac:dyDescent="0.25">
      <c r="A399" s="63"/>
      <c r="B399" s="63"/>
      <c r="C399" s="63"/>
      <c r="D399" s="63"/>
      <c r="E399" s="63"/>
      <c r="F399" s="63"/>
      <c r="G399" s="63"/>
    </row>
    <row r="400" spans="1:7" x14ac:dyDescent="0.25">
      <c r="A400" s="63"/>
      <c r="B400" s="63"/>
      <c r="C400" s="63"/>
      <c r="D400" s="63"/>
      <c r="E400" s="63"/>
      <c r="F400" s="63"/>
      <c r="G400" s="63"/>
    </row>
    <row r="401" spans="1:7" x14ac:dyDescent="0.25">
      <c r="A401" s="63"/>
      <c r="B401" s="63"/>
      <c r="C401" s="63"/>
      <c r="D401" s="63"/>
      <c r="E401" s="63"/>
      <c r="F401" s="63"/>
      <c r="G401" s="63"/>
    </row>
    <row r="402" spans="1:7" x14ac:dyDescent="0.25">
      <c r="A402" s="63"/>
      <c r="B402" s="63"/>
      <c r="C402" s="63"/>
      <c r="D402" s="63"/>
      <c r="E402" s="63"/>
      <c r="F402" s="63"/>
      <c r="G402" s="63"/>
    </row>
    <row r="403" spans="1:7" x14ac:dyDescent="0.25">
      <c r="A403" s="63"/>
      <c r="B403" s="63"/>
      <c r="C403" s="63"/>
      <c r="D403" s="63"/>
      <c r="E403" s="63"/>
      <c r="F403" s="63"/>
      <c r="G403" s="63"/>
    </row>
    <row r="404" spans="1:7" x14ac:dyDescent="0.25">
      <c r="A404" s="63"/>
      <c r="B404" s="63"/>
      <c r="C404" s="63"/>
      <c r="D404" s="63"/>
      <c r="E404" s="63"/>
      <c r="F404" s="63"/>
      <c r="G404" s="63"/>
    </row>
    <row r="405" spans="1:7" x14ac:dyDescent="0.25">
      <c r="A405" s="63"/>
      <c r="B405" s="63"/>
      <c r="C405" s="63"/>
      <c r="D405" s="63"/>
      <c r="E405" s="63"/>
      <c r="F405" s="63"/>
      <c r="G405" s="63"/>
    </row>
    <row r="406" spans="1:7" x14ac:dyDescent="0.25">
      <c r="A406" s="63"/>
      <c r="B406" s="63"/>
      <c r="C406" s="63"/>
      <c r="D406" s="63"/>
      <c r="E406" s="63"/>
      <c r="F406" s="63"/>
      <c r="G406" s="63"/>
    </row>
    <row r="407" spans="1:7" x14ac:dyDescent="0.25">
      <c r="A407" s="63"/>
      <c r="B407" s="63"/>
      <c r="C407" s="63"/>
      <c r="D407" s="63"/>
      <c r="E407" s="63"/>
      <c r="F407" s="63"/>
      <c r="G407" s="63"/>
    </row>
    <row r="408" spans="1:7" x14ac:dyDescent="0.25">
      <c r="A408" s="63"/>
      <c r="B408" s="63"/>
      <c r="C408" s="63"/>
      <c r="D408" s="63"/>
      <c r="E408" s="63"/>
      <c r="F408" s="63"/>
      <c r="G408" s="63"/>
    </row>
    <row r="409" spans="1:7" x14ac:dyDescent="0.25">
      <c r="A409" s="63"/>
      <c r="B409" s="63"/>
      <c r="C409" s="63"/>
      <c r="D409" s="63"/>
      <c r="E409" s="63"/>
      <c r="F409" s="63"/>
      <c r="G409" s="63"/>
    </row>
    <row r="410" spans="1:7" x14ac:dyDescent="0.25">
      <c r="A410" s="63"/>
      <c r="B410" s="63"/>
      <c r="C410" s="63"/>
      <c r="D410" s="63"/>
      <c r="E410" s="63"/>
      <c r="F410" s="63"/>
      <c r="G410" s="63"/>
    </row>
    <row r="411" spans="1:7" x14ac:dyDescent="0.25">
      <c r="A411" s="63"/>
      <c r="B411" s="63"/>
      <c r="C411" s="63"/>
      <c r="D411" s="63"/>
      <c r="E411" s="63"/>
      <c r="F411" s="63"/>
      <c r="G411" s="63"/>
    </row>
    <row r="412" spans="1:7" x14ac:dyDescent="0.25">
      <c r="A412" s="63"/>
      <c r="B412" s="63"/>
      <c r="C412" s="63"/>
      <c r="D412" s="63"/>
      <c r="E412" s="63"/>
      <c r="F412" s="63"/>
      <c r="G412" s="63"/>
    </row>
    <row r="413" spans="1:7" x14ac:dyDescent="0.25">
      <c r="A413" s="63"/>
      <c r="B413" s="63"/>
      <c r="C413" s="63"/>
      <c r="D413" s="63"/>
      <c r="E413" s="63"/>
      <c r="F413" s="63"/>
      <c r="G413" s="63"/>
    </row>
    <row r="414" spans="1:7" x14ac:dyDescent="0.25">
      <c r="A414" s="63"/>
      <c r="B414" s="63"/>
      <c r="C414" s="63"/>
      <c r="D414" s="63"/>
      <c r="E414" s="63"/>
      <c r="F414" s="63"/>
      <c r="G414" s="63"/>
    </row>
    <row r="415" spans="1:7" x14ac:dyDescent="0.25">
      <c r="A415" s="63"/>
      <c r="B415" s="63"/>
      <c r="C415" s="63"/>
      <c r="D415" s="63"/>
      <c r="E415" s="63"/>
      <c r="F415" s="63"/>
      <c r="G415" s="63"/>
    </row>
    <row r="416" spans="1:7" x14ac:dyDescent="0.25">
      <c r="A416" s="63"/>
      <c r="B416" s="63"/>
      <c r="C416" s="63"/>
      <c r="D416" s="63"/>
      <c r="E416" s="63"/>
      <c r="F416" s="63"/>
      <c r="G416" s="63"/>
    </row>
    <row r="417" spans="1:7" x14ac:dyDescent="0.25">
      <c r="A417" s="63"/>
      <c r="B417" s="63"/>
      <c r="C417" s="63"/>
      <c r="D417" s="63"/>
      <c r="E417" s="63"/>
      <c r="F417" s="63"/>
      <c r="G417" s="63"/>
    </row>
    <row r="418" spans="1:7" x14ac:dyDescent="0.25">
      <c r="A418" s="63"/>
      <c r="B418" s="63"/>
      <c r="C418" s="63"/>
      <c r="D418" s="63"/>
      <c r="E418" s="63"/>
      <c r="F418" s="63"/>
      <c r="G418" s="63"/>
    </row>
    <row r="419" spans="1:7" x14ac:dyDescent="0.25">
      <c r="A419" s="63"/>
      <c r="B419" s="63"/>
      <c r="C419" s="63"/>
      <c r="D419" s="63"/>
      <c r="E419" s="63"/>
      <c r="F419" s="63"/>
      <c r="G419" s="63"/>
    </row>
    <row r="420" spans="1:7" x14ac:dyDescent="0.25">
      <c r="A420" s="63"/>
      <c r="B420" s="63"/>
      <c r="C420" s="63"/>
      <c r="D420" s="63"/>
      <c r="E420" s="63"/>
      <c r="F420" s="63"/>
      <c r="G420" s="63"/>
    </row>
    <row r="421" spans="1:7" x14ac:dyDescent="0.25">
      <c r="A421" s="63"/>
      <c r="B421" s="63"/>
      <c r="C421" s="63"/>
      <c r="D421" s="63"/>
      <c r="E421" s="63"/>
      <c r="F421" s="63"/>
      <c r="G421" s="63"/>
    </row>
    <row r="422" spans="1:7" x14ac:dyDescent="0.25">
      <c r="A422" s="63"/>
      <c r="B422" s="63"/>
      <c r="C422" s="63"/>
      <c r="D422" s="63"/>
      <c r="E422" s="63"/>
      <c r="F422" s="63"/>
      <c r="G422" s="63"/>
    </row>
    <row r="423" spans="1:7" x14ac:dyDescent="0.25">
      <c r="A423" s="63"/>
      <c r="B423" s="63"/>
      <c r="C423" s="63"/>
      <c r="D423" s="63"/>
      <c r="E423" s="63"/>
      <c r="F423" s="63"/>
      <c r="G423" s="63"/>
    </row>
    <row r="424" spans="1:7" x14ac:dyDescent="0.25">
      <c r="A424" s="63"/>
      <c r="B424" s="63"/>
      <c r="C424" s="63"/>
      <c r="D424" s="63"/>
      <c r="E424" s="63"/>
      <c r="F424" s="63"/>
      <c r="G424" s="63"/>
    </row>
    <row r="425" spans="1:7" x14ac:dyDescent="0.25">
      <c r="A425" s="63"/>
      <c r="B425" s="63"/>
      <c r="C425" s="63"/>
      <c r="D425" s="63"/>
      <c r="E425" s="63"/>
      <c r="F425" s="63"/>
      <c r="G425" s="63"/>
    </row>
    <row r="426" spans="1:7" x14ac:dyDescent="0.25">
      <c r="A426" s="63"/>
      <c r="B426" s="63"/>
      <c r="C426" s="63"/>
      <c r="D426" s="63"/>
      <c r="E426" s="63"/>
      <c r="F426" s="63"/>
      <c r="G426" s="63"/>
    </row>
    <row r="427" spans="1:7" x14ac:dyDescent="0.25">
      <c r="A427" s="63"/>
      <c r="B427" s="63"/>
      <c r="C427" s="63"/>
      <c r="D427" s="63"/>
      <c r="E427" s="63"/>
      <c r="F427" s="63"/>
      <c r="G427" s="63"/>
    </row>
    <row r="428" spans="1:7" x14ac:dyDescent="0.25">
      <c r="A428" s="63"/>
      <c r="B428" s="63"/>
      <c r="C428" s="63"/>
      <c r="D428" s="63"/>
      <c r="E428" s="63"/>
      <c r="F428" s="63"/>
      <c r="G428" s="63"/>
    </row>
    <row r="429" spans="1:7" x14ac:dyDescent="0.25">
      <c r="A429" s="63"/>
      <c r="B429" s="63"/>
      <c r="C429" s="63"/>
      <c r="D429" s="63"/>
      <c r="E429" s="63"/>
      <c r="F429" s="63"/>
      <c r="G429" s="63"/>
    </row>
    <row r="430" spans="1:7" x14ac:dyDescent="0.25">
      <c r="A430" s="63"/>
      <c r="B430" s="63"/>
      <c r="C430" s="63"/>
      <c r="D430" s="63"/>
      <c r="E430" s="63"/>
      <c r="F430" s="63"/>
      <c r="G430" s="63"/>
    </row>
    <row r="431" spans="1:7" x14ac:dyDescent="0.25">
      <c r="A431" s="63"/>
      <c r="B431" s="63"/>
      <c r="C431" s="63"/>
      <c r="D431" s="63"/>
      <c r="E431" s="63"/>
      <c r="F431" s="63"/>
      <c r="G431" s="63"/>
    </row>
    <row r="432" spans="1:7" x14ac:dyDescent="0.25">
      <c r="A432" s="63"/>
      <c r="B432" s="63"/>
      <c r="C432" s="63"/>
      <c r="D432" s="63"/>
      <c r="E432" s="63"/>
      <c r="F432" s="63"/>
      <c r="G432" s="63"/>
    </row>
    <row r="433" spans="1:7" x14ac:dyDescent="0.25">
      <c r="A433" s="63"/>
      <c r="B433" s="63"/>
      <c r="C433" s="63"/>
      <c r="D433" s="63"/>
      <c r="E433" s="63"/>
      <c r="F433" s="63"/>
      <c r="G433" s="63"/>
    </row>
    <row r="434" spans="1:7" x14ac:dyDescent="0.25">
      <c r="A434" s="63"/>
      <c r="B434" s="63"/>
      <c r="C434" s="63"/>
      <c r="D434" s="63"/>
      <c r="E434" s="63"/>
      <c r="F434" s="63"/>
      <c r="G434" s="63"/>
    </row>
    <row r="435" spans="1:7" x14ac:dyDescent="0.25">
      <c r="A435" s="63"/>
      <c r="B435" s="63"/>
      <c r="C435" s="63"/>
      <c r="D435" s="63"/>
      <c r="E435" s="63"/>
      <c r="F435" s="63"/>
      <c r="G435" s="63"/>
    </row>
    <row r="436" spans="1:7" x14ac:dyDescent="0.25">
      <c r="A436" s="63"/>
      <c r="B436" s="63"/>
      <c r="C436" s="63"/>
      <c r="D436" s="63"/>
      <c r="E436" s="63"/>
      <c r="F436" s="63"/>
      <c r="G436" s="63"/>
    </row>
    <row r="437" spans="1:7" x14ac:dyDescent="0.25">
      <c r="A437" s="63"/>
      <c r="B437" s="63"/>
      <c r="C437" s="63"/>
      <c r="D437" s="63"/>
      <c r="E437" s="63"/>
      <c r="F437" s="63"/>
      <c r="G437" s="63"/>
    </row>
    <row r="438" spans="1:7" x14ac:dyDescent="0.25">
      <c r="A438" s="63"/>
      <c r="B438" s="63"/>
      <c r="C438" s="63"/>
      <c r="D438" s="63"/>
      <c r="E438" s="63"/>
      <c r="F438" s="63"/>
      <c r="G438" s="63"/>
    </row>
    <row r="439" spans="1:7" x14ac:dyDescent="0.25">
      <c r="A439" s="63"/>
      <c r="B439" s="63"/>
      <c r="C439" s="63"/>
      <c r="D439" s="63"/>
      <c r="E439" s="63"/>
      <c r="F439" s="63"/>
      <c r="G439" s="63"/>
    </row>
    <row r="440" spans="1:7" x14ac:dyDescent="0.25">
      <c r="A440" s="63"/>
      <c r="B440" s="63"/>
      <c r="C440" s="63"/>
      <c r="D440" s="63"/>
      <c r="E440" s="63"/>
      <c r="F440" s="63"/>
      <c r="G440" s="63"/>
    </row>
    <row r="441" spans="1:7" x14ac:dyDescent="0.25">
      <c r="A441" s="63"/>
      <c r="B441" s="63"/>
      <c r="C441" s="63"/>
      <c r="D441" s="63"/>
      <c r="E441" s="63"/>
      <c r="F441" s="63"/>
      <c r="G441" s="63"/>
    </row>
    <row r="442" spans="1:7" x14ac:dyDescent="0.25">
      <c r="A442" s="63"/>
      <c r="B442" s="63"/>
      <c r="C442" s="63"/>
      <c r="D442" s="63"/>
      <c r="E442" s="63"/>
      <c r="F442" s="63"/>
      <c r="G442" s="63"/>
    </row>
    <row r="443" spans="1:7" x14ac:dyDescent="0.25">
      <c r="A443" s="63"/>
      <c r="B443" s="63"/>
      <c r="C443" s="63"/>
      <c r="D443" s="63"/>
      <c r="E443" s="63"/>
      <c r="F443" s="63"/>
      <c r="G443" s="63"/>
    </row>
    <row r="444" spans="1:7" x14ac:dyDescent="0.25">
      <c r="A444" s="63"/>
      <c r="B444" s="63"/>
      <c r="C444" s="63"/>
      <c r="D444" s="63"/>
      <c r="E444" s="63"/>
      <c r="F444" s="63"/>
      <c r="G444" s="63"/>
    </row>
    <row r="445" spans="1:7" x14ac:dyDescent="0.25">
      <c r="A445" s="63"/>
      <c r="B445" s="63"/>
      <c r="C445" s="63"/>
      <c r="D445" s="63"/>
      <c r="E445" s="63"/>
      <c r="F445" s="63"/>
      <c r="G445" s="63"/>
    </row>
    <row r="446" spans="1:7" x14ac:dyDescent="0.25">
      <c r="A446" s="63"/>
      <c r="B446" s="63"/>
      <c r="C446" s="63"/>
      <c r="D446" s="63"/>
      <c r="E446" s="63"/>
      <c r="F446" s="63"/>
      <c r="G446" s="63"/>
    </row>
    <row r="447" spans="1:7" x14ac:dyDescent="0.25">
      <c r="A447" s="63"/>
      <c r="B447" s="63"/>
      <c r="C447" s="63"/>
      <c r="D447" s="63"/>
      <c r="E447" s="63"/>
      <c r="F447" s="63"/>
      <c r="G447" s="63"/>
    </row>
    <row r="448" spans="1:7" x14ac:dyDescent="0.25">
      <c r="A448" s="63"/>
      <c r="B448" s="63"/>
      <c r="C448" s="63"/>
      <c r="D448" s="63"/>
      <c r="E448" s="63"/>
      <c r="F448" s="63"/>
      <c r="G448" s="63"/>
    </row>
    <row r="449" spans="1:7" x14ac:dyDescent="0.25">
      <c r="A449" s="63"/>
      <c r="B449" s="63"/>
      <c r="C449" s="63"/>
      <c r="D449" s="63"/>
      <c r="E449" s="63"/>
      <c r="F449" s="63"/>
      <c r="G449" s="63"/>
    </row>
    <row r="450" spans="1:7" x14ac:dyDescent="0.25">
      <c r="A450" s="63"/>
      <c r="B450" s="63"/>
      <c r="C450" s="63"/>
      <c r="D450" s="63"/>
      <c r="E450" s="63"/>
      <c r="F450" s="63"/>
      <c r="G450" s="63"/>
    </row>
    <row r="451" spans="1:7" x14ac:dyDescent="0.25">
      <c r="A451" s="63"/>
      <c r="B451" s="63"/>
      <c r="C451" s="63"/>
      <c r="D451" s="63"/>
      <c r="E451" s="63"/>
      <c r="F451" s="63"/>
      <c r="G451" s="63"/>
    </row>
    <row r="452" spans="1:7" x14ac:dyDescent="0.25">
      <c r="A452" s="63"/>
      <c r="B452" s="63"/>
      <c r="C452" s="63"/>
      <c r="D452" s="63"/>
      <c r="E452" s="63"/>
      <c r="F452" s="63"/>
      <c r="G452" s="63"/>
    </row>
    <row r="453" spans="1:7" x14ac:dyDescent="0.25">
      <c r="A453" s="63"/>
      <c r="B453" s="63"/>
      <c r="C453" s="63"/>
      <c r="D453" s="63"/>
      <c r="E453" s="63"/>
      <c r="F453" s="63"/>
      <c r="G453" s="63"/>
    </row>
    <row r="454" spans="1:7" x14ac:dyDescent="0.25">
      <c r="A454" s="63"/>
      <c r="B454" s="63"/>
      <c r="C454" s="63"/>
      <c r="D454" s="63"/>
      <c r="E454" s="63"/>
      <c r="F454" s="63"/>
      <c r="G454" s="63"/>
    </row>
    <row r="455" spans="1:7" x14ac:dyDescent="0.25">
      <c r="A455" s="63"/>
      <c r="B455" s="63"/>
      <c r="C455" s="63"/>
      <c r="D455" s="63"/>
      <c r="E455" s="63"/>
      <c r="F455" s="63"/>
      <c r="G455" s="63"/>
    </row>
    <row r="456" spans="1:7" x14ac:dyDescent="0.25">
      <c r="A456" s="63"/>
      <c r="B456" s="63"/>
      <c r="C456" s="63"/>
      <c r="D456" s="63"/>
      <c r="E456" s="63"/>
      <c r="F456" s="63"/>
      <c r="G456" s="63"/>
    </row>
    <row r="457" spans="1:7" x14ac:dyDescent="0.25">
      <c r="A457" s="63"/>
      <c r="B457" s="63"/>
      <c r="C457" s="63"/>
      <c r="D457" s="63"/>
      <c r="E457" s="63"/>
      <c r="F457" s="63"/>
      <c r="G457" s="63"/>
    </row>
    <row r="458" spans="1:7" x14ac:dyDescent="0.25">
      <c r="A458" s="63"/>
      <c r="B458" s="63"/>
      <c r="C458" s="63"/>
      <c r="D458" s="63"/>
      <c r="E458" s="63"/>
      <c r="F458" s="63"/>
      <c r="G458" s="63"/>
    </row>
    <row r="459" spans="1:7" x14ac:dyDescent="0.25">
      <c r="A459" s="63"/>
      <c r="B459" s="63"/>
      <c r="C459" s="63"/>
      <c r="D459" s="63"/>
      <c r="E459" s="63"/>
      <c r="F459" s="63"/>
      <c r="G459" s="63"/>
    </row>
    <row r="460" spans="1:7" x14ac:dyDescent="0.25">
      <c r="A460" s="63"/>
      <c r="B460" s="63"/>
      <c r="C460" s="63"/>
      <c r="D460" s="63"/>
      <c r="E460" s="63"/>
      <c r="F460" s="63"/>
      <c r="G460" s="63"/>
    </row>
    <row r="461" spans="1:7" x14ac:dyDescent="0.25">
      <c r="A461" s="63"/>
      <c r="B461" s="63"/>
      <c r="C461" s="63"/>
      <c r="D461" s="63"/>
      <c r="E461" s="63"/>
      <c r="F461" s="63"/>
      <c r="G461" s="63"/>
    </row>
    <row r="462" spans="1:7" x14ac:dyDescent="0.25">
      <c r="A462" s="63"/>
      <c r="B462" s="63"/>
      <c r="C462" s="63"/>
      <c r="D462" s="63"/>
      <c r="E462" s="63"/>
      <c r="F462" s="63"/>
      <c r="G462" s="63"/>
    </row>
    <row r="463" spans="1:7" x14ac:dyDescent="0.25">
      <c r="A463" s="63"/>
      <c r="B463" s="63"/>
      <c r="C463" s="63"/>
      <c r="D463" s="63"/>
      <c r="E463" s="63"/>
      <c r="F463" s="63"/>
      <c r="G463" s="63"/>
    </row>
    <row r="464" spans="1:7" x14ac:dyDescent="0.25">
      <c r="A464" s="63"/>
      <c r="B464" s="63"/>
      <c r="C464" s="63"/>
      <c r="D464" s="63"/>
      <c r="E464" s="63"/>
      <c r="F464" s="63"/>
      <c r="G464" s="63"/>
    </row>
    <row r="465" spans="1:7" x14ac:dyDescent="0.25">
      <c r="A465" s="63"/>
      <c r="B465" s="63"/>
      <c r="C465" s="63"/>
      <c r="D465" s="63"/>
      <c r="E465" s="63"/>
      <c r="F465" s="63"/>
      <c r="G465" s="63"/>
    </row>
    <row r="466" spans="1:7" x14ac:dyDescent="0.25">
      <c r="A466" s="63"/>
      <c r="B466" s="63"/>
      <c r="C466" s="63"/>
      <c r="D466" s="63"/>
      <c r="E466" s="63"/>
      <c r="F466" s="63"/>
      <c r="G466" s="63"/>
    </row>
    <row r="467" spans="1:7" x14ac:dyDescent="0.25">
      <c r="A467" s="63"/>
      <c r="B467" s="63"/>
      <c r="C467" s="63"/>
      <c r="D467" s="63"/>
      <c r="E467" s="63"/>
      <c r="F467" s="63"/>
      <c r="G467" s="63"/>
    </row>
    <row r="468" spans="1:7" x14ac:dyDescent="0.25">
      <c r="A468" s="63"/>
      <c r="B468" s="63"/>
      <c r="C468" s="63"/>
      <c r="D468" s="63"/>
      <c r="E468" s="63"/>
      <c r="F468" s="63"/>
      <c r="G468" s="63"/>
    </row>
    <row r="469" spans="1:7" x14ac:dyDescent="0.25">
      <c r="A469" s="63"/>
      <c r="B469" s="63"/>
      <c r="C469" s="63"/>
      <c r="D469" s="63"/>
      <c r="E469" s="63"/>
      <c r="F469" s="63"/>
      <c r="G469" s="63"/>
    </row>
    <row r="470" spans="1:7" x14ac:dyDescent="0.25">
      <c r="A470" s="63"/>
      <c r="B470" s="63"/>
      <c r="C470" s="63"/>
      <c r="D470" s="63"/>
      <c r="E470" s="63"/>
      <c r="F470" s="63"/>
      <c r="G470" s="63"/>
    </row>
    <row r="471" spans="1:7" x14ac:dyDescent="0.25">
      <c r="A471" s="63"/>
      <c r="B471" s="63"/>
      <c r="C471" s="63"/>
      <c r="D471" s="63"/>
      <c r="E471" s="63"/>
      <c r="F471" s="63"/>
      <c r="G471" s="63"/>
    </row>
    <row r="472" spans="1:7" x14ac:dyDescent="0.25">
      <c r="A472" s="63"/>
      <c r="B472" s="63"/>
      <c r="C472" s="63"/>
      <c r="D472" s="63"/>
      <c r="E472" s="63"/>
      <c r="F472" s="63"/>
      <c r="G472" s="63"/>
    </row>
    <row r="473" spans="1:7" x14ac:dyDescent="0.25">
      <c r="A473" s="63"/>
      <c r="B473" s="63"/>
      <c r="C473" s="63"/>
      <c r="D473" s="63"/>
      <c r="E473" s="63"/>
      <c r="F473" s="63"/>
      <c r="G473" s="63"/>
    </row>
    <row r="474" spans="1:7" x14ac:dyDescent="0.25">
      <c r="A474" s="63"/>
      <c r="B474" s="63"/>
      <c r="C474" s="63"/>
      <c r="D474" s="63"/>
      <c r="E474" s="63"/>
      <c r="F474" s="63"/>
      <c r="G474" s="63"/>
    </row>
    <row r="475" spans="1:7" x14ac:dyDescent="0.25">
      <c r="A475" s="63"/>
      <c r="B475" s="63"/>
      <c r="C475" s="63"/>
      <c r="D475" s="63"/>
      <c r="E475" s="63"/>
      <c r="F475" s="63"/>
      <c r="G475" s="63"/>
    </row>
    <row r="476" spans="1:7" x14ac:dyDescent="0.25">
      <c r="A476" s="63"/>
      <c r="B476" s="63"/>
      <c r="C476" s="63"/>
      <c r="D476" s="63"/>
      <c r="E476" s="63"/>
      <c r="F476" s="63"/>
      <c r="G476" s="63"/>
    </row>
    <row r="477" spans="1:7" x14ac:dyDescent="0.25">
      <c r="A477" s="63"/>
      <c r="B477" s="63"/>
      <c r="C477" s="63"/>
      <c r="D477" s="63"/>
      <c r="E477" s="63"/>
      <c r="F477" s="63"/>
      <c r="G477" s="63"/>
    </row>
    <row r="478" spans="1:7" x14ac:dyDescent="0.25">
      <c r="A478" s="63"/>
      <c r="B478" s="63"/>
      <c r="C478" s="63"/>
      <c r="D478" s="63"/>
      <c r="E478" s="63"/>
      <c r="F478" s="63"/>
      <c r="G478" s="63"/>
    </row>
    <row r="479" spans="1:7" x14ac:dyDescent="0.25">
      <c r="A479" s="63"/>
      <c r="B479" s="63"/>
      <c r="C479" s="63"/>
      <c r="D479" s="63"/>
      <c r="E479" s="63"/>
      <c r="F479" s="63"/>
      <c r="G479" s="63"/>
    </row>
    <row r="480" spans="1:7" x14ac:dyDescent="0.25">
      <c r="A480" s="63"/>
      <c r="B480" s="63"/>
      <c r="C480" s="63"/>
      <c r="D480" s="63"/>
      <c r="E480" s="63"/>
      <c r="F480" s="63"/>
      <c r="G480" s="63"/>
    </row>
    <row r="481" spans="1:7" x14ac:dyDescent="0.25">
      <c r="A481" s="63"/>
      <c r="B481" s="63"/>
      <c r="C481" s="63"/>
      <c r="D481" s="63"/>
      <c r="E481" s="63"/>
      <c r="F481" s="63"/>
      <c r="G481" s="63"/>
    </row>
    <row r="482" spans="1:7" x14ac:dyDescent="0.25">
      <c r="A482" s="63"/>
      <c r="B482" s="63"/>
      <c r="C482" s="63"/>
      <c r="D482" s="63"/>
      <c r="E482" s="63"/>
      <c r="F482" s="63"/>
      <c r="G482" s="63"/>
    </row>
    <row r="483" spans="1:7" x14ac:dyDescent="0.25">
      <c r="A483" s="63"/>
      <c r="B483" s="63"/>
      <c r="C483" s="63"/>
      <c r="D483" s="63"/>
      <c r="E483" s="63"/>
      <c r="F483" s="63"/>
      <c r="G483" s="63"/>
    </row>
    <row r="484" spans="1:7" x14ac:dyDescent="0.25">
      <c r="A484" s="63"/>
      <c r="B484" s="63"/>
      <c r="C484" s="63"/>
      <c r="D484" s="63"/>
      <c r="E484" s="63"/>
      <c r="F484" s="63"/>
      <c r="G484" s="63"/>
    </row>
    <row r="485" spans="1:7" x14ac:dyDescent="0.25">
      <c r="A485" s="63"/>
      <c r="B485" s="63"/>
      <c r="C485" s="63"/>
      <c r="D485" s="63"/>
      <c r="E485" s="63"/>
      <c r="F485" s="63"/>
      <c r="G485" s="63"/>
    </row>
    <row r="486" spans="1:7" x14ac:dyDescent="0.25">
      <c r="A486" s="63"/>
      <c r="B486" s="63"/>
      <c r="C486" s="63"/>
      <c r="D486" s="63"/>
      <c r="E486" s="63"/>
      <c r="F486" s="63"/>
      <c r="G486" s="63"/>
    </row>
    <row r="487" spans="1:7" x14ac:dyDescent="0.25">
      <c r="A487" s="63"/>
      <c r="B487" s="63"/>
      <c r="C487" s="63"/>
      <c r="D487" s="63"/>
      <c r="E487" s="63"/>
      <c r="F487" s="63"/>
      <c r="G487" s="63"/>
    </row>
    <row r="488" spans="1:7" x14ac:dyDescent="0.25">
      <c r="A488" s="63"/>
      <c r="B488" s="63"/>
      <c r="C488" s="63"/>
      <c r="D488" s="63"/>
      <c r="E488" s="63"/>
      <c r="F488" s="63"/>
      <c r="G488" s="63"/>
    </row>
    <row r="489" spans="1:7" x14ac:dyDescent="0.25">
      <c r="A489" s="63"/>
      <c r="B489" s="63"/>
      <c r="C489" s="63"/>
      <c r="D489" s="63"/>
      <c r="E489" s="63"/>
      <c r="F489" s="63"/>
      <c r="G489" s="63"/>
    </row>
    <row r="490" spans="1:7" x14ac:dyDescent="0.25">
      <c r="A490" s="63"/>
      <c r="B490" s="63"/>
      <c r="C490" s="63"/>
      <c r="D490" s="63"/>
      <c r="E490" s="63"/>
      <c r="F490" s="63"/>
      <c r="G490" s="63"/>
    </row>
    <row r="491" spans="1:7" x14ac:dyDescent="0.25">
      <c r="A491" s="63"/>
      <c r="B491" s="63"/>
      <c r="C491" s="63"/>
      <c r="D491" s="63"/>
      <c r="E491" s="63"/>
      <c r="F491" s="63"/>
      <c r="G491" s="63"/>
    </row>
    <row r="492" spans="1:7" x14ac:dyDescent="0.25">
      <c r="A492" s="63"/>
      <c r="B492" s="63"/>
      <c r="C492" s="63"/>
      <c r="D492" s="63"/>
      <c r="E492" s="63"/>
      <c r="F492" s="63"/>
      <c r="G492" s="63"/>
    </row>
    <row r="493" spans="1:7" x14ac:dyDescent="0.25">
      <c r="A493" s="63"/>
      <c r="B493" s="63"/>
      <c r="C493" s="63"/>
      <c r="D493" s="63"/>
      <c r="E493" s="63"/>
      <c r="F493" s="63"/>
      <c r="G493" s="63"/>
    </row>
    <row r="494" spans="1:7" x14ac:dyDescent="0.25">
      <c r="A494" s="63"/>
      <c r="B494" s="63"/>
      <c r="C494" s="63"/>
      <c r="D494" s="63"/>
      <c r="E494" s="63"/>
      <c r="F494" s="63"/>
      <c r="G494" s="63"/>
    </row>
    <row r="495" spans="1:7" x14ac:dyDescent="0.25">
      <c r="A495" s="63"/>
      <c r="B495" s="63"/>
      <c r="C495" s="63"/>
      <c r="D495" s="63"/>
      <c r="E495" s="63"/>
      <c r="F495" s="63"/>
      <c r="G495" s="63"/>
    </row>
    <row r="496" spans="1:7" x14ac:dyDescent="0.25">
      <c r="A496" s="63"/>
      <c r="B496" s="63"/>
      <c r="C496" s="63"/>
      <c r="D496" s="63"/>
      <c r="E496" s="63"/>
      <c r="F496" s="63"/>
      <c r="G496" s="63"/>
    </row>
    <row r="497" spans="1:7" x14ac:dyDescent="0.25">
      <c r="A497" s="63"/>
      <c r="B497" s="63"/>
      <c r="C497" s="63"/>
      <c r="D497" s="63"/>
      <c r="E497" s="63"/>
      <c r="F497" s="63"/>
      <c r="G497" s="63"/>
    </row>
    <row r="498" spans="1:7" x14ac:dyDescent="0.25">
      <c r="A498" s="63"/>
      <c r="B498" s="63"/>
      <c r="C498" s="63"/>
      <c r="D498" s="63"/>
      <c r="E498" s="63"/>
      <c r="F498" s="63"/>
      <c r="G498" s="63"/>
    </row>
    <row r="499" spans="1:7" x14ac:dyDescent="0.25">
      <c r="A499" s="63"/>
      <c r="B499" s="63"/>
      <c r="C499" s="63"/>
      <c r="D499" s="63"/>
      <c r="E499" s="63"/>
      <c r="F499" s="63"/>
      <c r="G499" s="63"/>
    </row>
    <row r="500" spans="1:7" x14ac:dyDescent="0.25">
      <c r="A500" s="63"/>
      <c r="B500" s="63"/>
      <c r="C500" s="63"/>
      <c r="D500" s="63"/>
      <c r="E500" s="63"/>
      <c r="F500" s="63"/>
      <c r="G500" s="63"/>
    </row>
  </sheetData>
  <mergeCells count="2">
    <mergeCell ref="B1:D1"/>
    <mergeCell ref="E1:G1"/>
  </mergeCells>
  <pageMargins left="0.7" right="0.7" top="0.75" bottom="0.75" header="0.3" footer="0.3"/>
  <pageSetup orientation="landscape" horizontalDpi="4294967295" verticalDpi="4294967295" r:id="rId1"/>
  <drawing r:id="rId2"/>
  <legacyDrawing r:id="rId3"/>
  <controls>
    <mc:AlternateContent xmlns:mc="http://schemas.openxmlformats.org/markup-compatibility/2006">
      <mc:Choice Requires="x14">
        <control shapeId="1026" r:id="rId4" name="CommandButton2">
          <controlPr defaultSize="0" autoLine="0" r:id="rId5">
            <anchor moveWithCells="1">
              <from>
                <xdr:col>9</xdr:col>
                <xdr:colOff>0</xdr:colOff>
                <xdr:row>13</xdr:row>
                <xdr:rowOff>133350</xdr:rowOff>
              </from>
              <to>
                <xdr:col>11</xdr:col>
                <xdr:colOff>76200</xdr:colOff>
                <xdr:row>15</xdr:row>
                <xdr:rowOff>114300</xdr:rowOff>
              </to>
            </anchor>
          </controlPr>
        </control>
      </mc:Choice>
      <mc:Fallback>
        <control shapeId="1026" r:id="rId4" name="CommandButton2"/>
      </mc:Fallback>
    </mc:AlternateContent>
    <mc:AlternateContent xmlns:mc="http://schemas.openxmlformats.org/markup-compatibility/2006">
      <mc:Choice Requires="x14">
        <control shapeId="1025" r:id="rId6" name="CommandButton1">
          <controlPr defaultSize="0" autoLine="0" r:id="rId7">
            <anchor moveWithCells="1">
              <from>
                <xdr:col>9</xdr:col>
                <xdr:colOff>19050</xdr:colOff>
                <xdr:row>11</xdr:row>
                <xdr:rowOff>19050</xdr:rowOff>
              </from>
              <to>
                <xdr:col>11</xdr:col>
                <xdr:colOff>76200</xdr:colOff>
                <xdr:row>13</xdr:row>
                <xdr:rowOff>0</xdr:rowOff>
              </to>
            </anchor>
          </controlPr>
        </control>
      </mc:Choice>
      <mc:Fallback>
        <control shapeId="1025" r:id="rId6"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EFECD-E6A6-4E8A-B2BF-0699D2DEA9E2}">
  <sheetPr codeName="Sheet2"/>
  <dimension ref="A1:M1000"/>
  <sheetViews>
    <sheetView tabSelected="1" topLeftCell="B7" zoomScale="85" workbookViewId="0">
      <selection activeCell="F26" sqref="F26:H31"/>
    </sheetView>
  </sheetViews>
  <sheetFormatPr defaultColWidth="9.140625" defaultRowHeight="15" x14ac:dyDescent="0.2"/>
  <cols>
    <col min="1" max="1" width="21" style="19" hidden="1" customWidth="1"/>
    <col min="2" max="2" width="23.140625" style="19" customWidth="1"/>
    <col min="3" max="3" width="19.85546875" style="21" customWidth="1"/>
    <col min="4" max="4" width="22.7109375" style="21" customWidth="1"/>
    <col min="5" max="5" width="21.7109375" style="21" customWidth="1"/>
    <col min="6" max="7" width="26.42578125" style="21" customWidth="1"/>
    <col min="8" max="8" width="25.85546875" style="21" customWidth="1"/>
    <col min="9" max="9" width="5" style="20" customWidth="1"/>
    <col min="10" max="10" width="22.85546875" style="18" customWidth="1"/>
    <col min="11" max="11" width="30" style="19" customWidth="1"/>
    <col min="12" max="12" width="17" style="18" bestFit="1" customWidth="1"/>
    <col min="13" max="13" width="22" style="18" customWidth="1"/>
    <col min="14" max="16384" width="9.140625" style="18"/>
  </cols>
  <sheetData>
    <row r="1" spans="1:13" ht="28.5" customHeight="1" x14ac:dyDescent="0.25">
      <c r="A1" s="92" t="s">
        <v>47</v>
      </c>
      <c r="B1" s="92"/>
      <c r="C1" s="92"/>
      <c r="D1" s="92"/>
      <c r="E1" s="92"/>
      <c r="F1" s="92"/>
      <c r="G1" s="92"/>
      <c r="H1" s="93"/>
      <c r="J1" s="94" t="s">
        <v>46</v>
      </c>
      <c r="K1" s="95"/>
    </row>
    <row r="2" spans="1:13" s="32" customFormat="1" x14ac:dyDescent="0.2">
      <c r="A2" s="37"/>
      <c r="B2" s="37" t="s">
        <v>45</v>
      </c>
      <c r="C2" s="38" t="s">
        <v>12</v>
      </c>
      <c r="D2" s="38" t="s">
        <v>13</v>
      </c>
      <c r="E2" s="38" t="s">
        <v>14</v>
      </c>
      <c r="F2" s="38" t="s">
        <v>44</v>
      </c>
      <c r="G2" s="38" t="s">
        <v>43</v>
      </c>
      <c r="H2" s="39" t="s">
        <v>42</v>
      </c>
      <c r="I2" s="34"/>
      <c r="J2" s="37" t="s">
        <v>41</v>
      </c>
      <c r="K2" s="24">
        <v>-0.30001296300000002</v>
      </c>
      <c r="L2" s="18">
        <f>1+K2/1000000</f>
        <v>0.99999969998703697</v>
      </c>
      <c r="M2" s="33" t="s">
        <v>40</v>
      </c>
    </row>
    <row r="3" spans="1:13" hidden="1" x14ac:dyDescent="0.2">
      <c r="A3" s="24"/>
      <c r="B3" s="24"/>
      <c r="C3" s="23"/>
      <c r="D3" s="23"/>
      <c r="E3" s="23"/>
      <c r="F3" s="23"/>
      <c r="G3" s="23"/>
      <c r="H3" s="31"/>
      <c r="J3" s="40"/>
      <c r="K3" s="24"/>
    </row>
    <row r="4" spans="1:13" s="19" customFormat="1" ht="16.5" customHeight="1" x14ac:dyDescent="0.25">
      <c r="A4" s="26"/>
      <c r="B4" s="26" t="s">
        <v>10</v>
      </c>
      <c r="C4" s="25">
        <v>-6940118.6320000002</v>
      </c>
      <c r="D4" s="25">
        <v>-13092144.52</v>
      </c>
      <c r="E4" s="25">
        <v>14730431.859999999</v>
      </c>
      <c r="F4" s="23">
        <f>IF(C4&lt;&gt;"",($J$23*C4+$K$23*D4+$L$23*E4)+$K$7,"")</f>
        <v>-6940119.6326720053</v>
      </c>
      <c r="G4" s="23">
        <f>IF(D4&lt;&gt;"",($J$24*C4+$K$24*D4+$L$24*E4)+$K$8,"")</f>
        <v>-13092146.374749307</v>
      </c>
      <c r="H4" s="23">
        <f t="shared" ref="H4:H67" si="0">IF(E4&lt;&gt;"",($J$25*C4+$K$25*D4+$L$25*E4)+$K$9,"")</f>
        <v>14730434.337410808</v>
      </c>
      <c r="I4" s="30"/>
      <c r="J4" s="41" t="s">
        <v>39</v>
      </c>
      <c r="K4" s="29">
        <v>-1.3533700000000001E-6</v>
      </c>
    </row>
    <row r="5" spans="1:13" ht="16.5" customHeight="1" x14ac:dyDescent="0.25">
      <c r="A5" s="26"/>
      <c r="B5" s="26">
        <v>9213</v>
      </c>
      <c r="C5" s="25">
        <v>-6882238.3899999997</v>
      </c>
      <c r="D5" s="25">
        <v>-13042272.539999999</v>
      </c>
      <c r="E5" s="25">
        <v>14800556.41</v>
      </c>
      <c r="F5" s="23">
        <f t="shared" ref="F5:F67" si="1">IF(C5&lt;&gt;"",($J$23*C5+$K$23*D5+$L$23*E5)+$K$7,"")</f>
        <v>-6882239.4338550409</v>
      </c>
      <c r="G5" s="23">
        <f t="shared" ref="G5:G67" si="2">IF(D5&lt;&gt;"",($J$24*C5+$K$24*D5+$L$24*E5)+$K$8,"")</f>
        <v>-13042274.451187117</v>
      </c>
      <c r="H5" s="23">
        <f t="shared" si="0"/>
        <v>14800558.917179715</v>
      </c>
      <c r="J5" s="41" t="s">
        <v>38</v>
      </c>
      <c r="K5" s="29">
        <v>1.6939785999999998E-5</v>
      </c>
    </row>
    <row r="6" spans="1:13" ht="15.75" x14ac:dyDescent="0.25">
      <c r="A6" s="26"/>
      <c r="B6" s="26">
        <v>9220</v>
      </c>
      <c r="C6" s="25">
        <v>-6936069.074</v>
      </c>
      <c r="D6" s="25">
        <v>-13009487.720000001</v>
      </c>
      <c r="E6" s="25">
        <v>14804130.43</v>
      </c>
      <c r="F6" s="23">
        <f t="shared" si="1"/>
        <v>-6936070.0837536817</v>
      </c>
      <c r="G6" s="23">
        <f t="shared" si="2"/>
        <v>-13009489.606962901</v>
      </c>
      <c r="H6" s="23">
        <f t="shared" si="0"/>
        <v>14804132.894049389</v>
      </c>
      <c r="J6" s="41" t="s">
        <v>37</v>
      </c>
      <c r="K6" s="29">
        <v>1.3140777999999999E-5</v>
      </c>
    </row>
    <row r="7" spans="1:13" ht="15.75" x14ac:dyDescent="0.25">
      <c r="A7" s="24"/>
      <c r="B7" s="26">
        <v>200704</v>
      </c>
      <c r="C7" s="25">
        <v>-6900979.5860000001</v>
      </c>
      <c r="D7" s="25">
        <v>-12976671.550000001</v>
      </c>
      <c r="E7" s="25">
        <v>14848900.82</v>
      </c>
      <c r="F7" s="23">
        <f t="shared" si="1"/>
        <v>-6900980.6221426902</v>
      </c>
      <c r="G7" s="23">
        <f t="shared" si="2"/>
        <v>-12976673.472100595</v>
      </c>
      <c r="H7" s="23">
        <f t="shared" si="0"/>
        <v>14848903.301588574</v>
      </c>
      <c r="J7" s="41" t="s">
        <v>36</v>
      </c>
      <c r="K7" s="24">
        <v>17.355547210000001</v>
      </c>
    </row>
    <row r="8" spans="1:13" ht="15.75" x14ac:dyDescent="0.25">
      <c r="A8" s="26"/>
      <c r="B8" s="26" t="s">
        <v>11</v>
      </c>
      <c r="C8" s="25">
        <v>-6875370.1619999995</v>
      </c>
      <c r="D8" s="25">
        <v>-12964803.91</v>
      </c>
      <c r="E8" s="25">
        <v>14871067.789999999</v>
      </c>
      <c r="F8" s="23">
        <f t="shared" si="1"/>
        <v>-6875371.2164701251</v>
      </c>
      <c r="G8" s="23">
        <f t="shared" si="2"/>
        <v>-12964805.853430798</v>
      </c>
      <c r="H8" s="23">
        <f t="shared" si="0"/>
        <v>14871070.286748953</v>
      </c>
      <c r="J8" s="41" t="s">
        <v>35</v>
      </c>
      <c r="K8" s="24">
        <v>-9.2374914019999999</v>
      </c>
    </row>
    <row r="9" spans="1:13" ht="15.75" x14ac:dyDescent="0.25">
      <c r="A9" s="26"/>
      <c r="B9" s="26">
        <v>201502</v>
      </c>
      <c r="C9" s="25">
        <v>-7015741.659</v>
      </c>
      <c r="D9" s="25">
        <v>-12984471.189999999</v>
      </c>
      <c r="E9" s="25">
        <v>14789513.74</v>
      </c>
      <c r="F9" s="23">
        <f t="shared" si="1"/>
        <v>-7015742.6169090755</v>
      </c>
      <c r="G9" s="23">
        <f t="shared" si="2"/>
        <v>-12984473.032751121</v>
      </c>
      <c r="H9" s="23">
        <f t="shared" si="0"/>
        <v>14789516.144643798</v>
      </c>
      <c r="J9" s="41" t="s">
        <v>34</v>
      </c>
      <c r="K9" s="24">
        <v>13.45542182</v>
      </c>
    </row>
    <row r="10" spans="1:13" x14ac:dyDescent="0.2">
      <c r="A10" s="28"/>
      <c r="B10" s="28" t="s">
        <v>22</v>
      </c>
      <c r="C10" s="25">
        <v>-6941814.8480000002</v>
      </c>
      <c r="D10" s="25">
        <v>-13005530.939999999</v>
      </c>
      <c r="E10" s="25">
        <v>14805016.710000001</v>
      </c>
      <c r="F10" s="23">
        <f t="shared" si="1"/>
        <v>-6941815.8542369455</v>
      </c>
      <c r="G10" s="23">
        <f t="shared" si="2"/>
        <v>-13005532.824547602</v>
      </c>
      <c r="H10" s="23">
        <f t="shared" si="0"/>
        <v>14805019.169324314</v>
      </c>
    </row>
    <row r="11" spans="1:13" x14ac:dyDescent="0.2">
      <c r="A11" s="26"/>
      <c r="B11" s="26">
        <v>9935</v>
      </c>
      <c r="C11" s="25">
        <v>-6902816.9960000003</v>
      </c>
      <c r="D11" s="25">
        <v>-13059012.560000001</v>
      </c>
      <c r="E11" s="25">
        <v>14776305.890000001</v>
      </c>
      <c r="F11" s="23">
        <f t="shared" si="1"/>
        <v>-6902818.0244298838</v>
      </c>
      <c r="G11" s="23">
        <f t="shared" si="2"/>
        <v>-13059014.451463476</v>
      </c>
      <c r="H11" s="23">
        <f t="shared" si="0"/>
        <v>14776308.386456365</v>
      </c>
    </row>
    <row r="12" spans="1:13" ht="15.75" x14ac:dyDescent="0.25">
      <c r="A12" s="26"/>
      <c r="B12" s="26"/>
      <c r="C12" s="25"/>
      <c r="D12" s="25"/>
      <c r="E12" s="25"/>
      <c r="F12" s="23" t="str">
        <f t="shared" si="1"/>
        <v/>
      </c>
      <c r="G12" s="23" t="str">
        <f t="shared" si="2"/>
        <v/>
      </c>
      <c r="H12" s="23" t="str">
        <f t="shared" si="0"/>
        <v/>
      </c>
      <c r="J12" s="91" t="s">
        <v>33</v>
      </c>
      <c r="K12" s="91"/>
    </row>
    <row r="13" spans="1:13" x14ac:dyDescent="0.2">
      <c r="A13" s="26"/>
      <c r="B13" s="26"/>
      <c r="C13" s="25">
        <v>-6940119.6666497476</v>
      </c>
      <c r="D13" s="25">
        <v>-13092146.645995906</v>
      </c>
      <c r="E13" s="25">
        <v>14730434.616307516</v>
      </c>
      <c r="F13" s="23">
        <f t="shared" si="1"/>
        <v>-6940120.6673250608</v>
      </c>
      <c r="G13" s="23">
        <f t="shared" si="2"/>
        <v>-13092148.500744095</v>
      </c>
      <c r="H13" s="23">
        <f t="shared" si="0"/>
        <v>14730437.093716508</v>
      </c>
      <c r="J13" s="27" t="s">
        <v>32</v>
      </c>
      <c r="K13" s="24">
        <f>COS(RADIANS(HMSTOHDD(K5)))*COS(RADIANS(HMSTOHDD(K6)))</f>
        <v>0.99999999999945977</v>
      </c>
      <c r="L13" s="18">
        <f>6940118.632*0.999999699986497</f>
        <v>6940116.5498706978</v>
      </c>
    </row>
    <row r="14" spans="1:13" x14ac:dyDescent="0.2">
      <c r="A14" s="26"/>
      <c r="B14" s="26"/>
      <c r="C14" s="25"/>
      <c r="D14" s="25"/>
      <c r="E14" s="25"/>
      <c r="F14" s="23" t="str">
        <f t="shared" si="1"/>
        <v/>
      </c>
      <c r="G14" s="23" t="str">
        <f t="shared" si="2"/>
        <v/>
      </c>
      <c r="H14" s="23" t="str">
        <f t="shared" si="0"/>
        <v/>
      </c>
      <c r="J14" s="27" t="s">
        <v>31</v>
      </c>
      <c r="K14" s="24">
        <f>SIN(RADIANS(HMSTOHDD(K4)))*SIN(RADIANS(HMSTOHDD(K5)))*COS(RADIANS(HMSTOHDD(K6)))+(COS(RADIANS(HMSTOHDD(K4)))*SIN(RADIANS(HMSTOHDD(K6))))</f>
        <v>6.3708284159649301E-7</v>
      </c>
    </row>
    <row r="15" spans="1:13" x14ac:dyDescent="0.2">
      <c r="A15" s="26"/>
      <c r="B15" s="26"/>
      <c r="C15" s="25">
        <v>-6940119.6681554625</v>
      </c>
      <c r="D15" s="25">
        <v>-13092146.64883635</v>
      </c>
      <c r="E15" s="25">
        <v>14730434.619503399</v>
      </c>
      <c r="F15" s="23">
        <f t="shared" si="1"/>
        <v>-6940120.6688307803</v>
      </c>
      <c r="G15" s="23">
        <f t="shared" si="2"/>
        <v>-13092148.50358454</v>
      </c>
      <c r="H15" s="23">
        <f t="shared" si="0"/>
        <v>14730437.096912388</v>
      </c>
      <c r="J15" s="27" t="s">
        <v>30</v>
      </c>
      <c r="K15" s="24">
        <f>-COS(RADIANS(HMSTOHDD(K4)))*SIN(RADIANS(HMSTOHDD(K5)))*COS(RADIANS(HMSTOHDD(K6)))+(SIN(RADIANS(HMSTOHDD(K4)))*SIN(RADIANS(HMSTOHDD(K6))))</f>
        <v>-8.2126404258758345E-7</v>
      </c>
      <c r="L15" s="18">
        <f>SUM(L18:L20)</f>
        <v>-6940136.9882192155</v>
      </c>
    </row>
    <row r="16" spans="1:13" x14ac:dyDescent="0.2">
      <c r="A16" s="26"/>
      <c r="B16" s="26"/>
      <c r="C16" s="25">
        <v>-6882239.4877195414</v>
      </c>
      <c r="D16" s="25">
        <v>-13042274.676599033</v>
      </c>
      <c r="E16" s="25">
        <v>14800559.143614978</v>
      </c>
      <c r="F16" s="23">
        <f t="shared" si="1"/>
        <v>-6882240.5315778591</v>
      </c>
      <c r="G16" s="23">
        <f t="shared" si="2"/>
        <v>-13042276.587784991</v>
      </c>
      <c r="H16" s="23">
        <f t="shared" si="0"/>
        <v>14800561.65079283</v>
      </c>
      <c r="J16" s="27" t="s">
        <v>29</v>
      </c>
      <c r="K16" s="24">
        <f>-COS(RADIANS(HMSTOHDD(K5)))*SIN(RADIANS(HMSTOHDD(K6)))</f>
        <v>-6.3708289548206265E-7</v>
      </c>
    </row>
    <row r="17" spans="1:12" x14ac:dyDescent="0.2">
      <c r="A17" s="26"/>
      <c r="B17" s="26"/>
      <c r="C17" s="25">
        <v>-6936070.1394803543</v>
      </c>
      <c r="D17" s="25">
        <v>-13009489.785471898</v>
      </c>
      <c r="E17" s="25">
        <v>14804133.128745874</v>
      </c>
      <c r="F17" s="23">
        <f t="shared" si="1"/>
        <v>-6936071.149237249</v>
      </c>
      <c r="G17" s="23">
        <f t="shared" si="2"/>
        <v>-13009491.672433676</v>
      </c>
      <c r="H17" s="23">
        <f t="shared" si="0"/>
        <v>14804135.592793442</v>
      </c>
      <c r="J17" s="27" t="s">
        <v>28</v>
      </c>
      <c r="K17" s="24">
        <f>-SIN(RADIANS(HMSTOHDD(K4)))*SIN(RADIANS(HMSTOHDD(K5)))*SIN(RADIANS(HMSTOHDD(K6)))+(COS(RADIANS(HMSTOHDD(K4)))*COS(RADIANS(HMSTOHDD(K6))))</f>
        <v>0.99999999999979494</v>
      </c>
    </row>
    <row r="18" spans="1:12" x14ac:dyDescent="0.2">
      <c r="A18" s="26"/>
      <c r="B18" s="26"/>
      <c r="C18" s="25">
        <v>-6900980.6780558266</v>
      </c>
      <c r="D18" s="25">
        <v>-12976673.643692398</v>
      </c>
      <c r="E18" s="25">
        <v>14848903.543187628</v>
      </c>
      <c r="F18" s="23">
        <f t="shared" si="1"/>
        <v>-6900981.7142017586</v>
      </c>
      <c r="G18" s="23">
        <f t="shared" si="2"/>
        <v>-12976675.565791845</v>
      </c>
      <c r="H18" s="23">
        <f t="shared" si="0"/>
        <v>14848906.024774352</v>
      </c>
      <c r="J18" s="27" t="s">
        <v>27</v>
      </c>
      <c r="K18" s="24">
        <f>COS(RADIANS(HMSTOHDD(K4)))*SIN(RADIANS(HMSTOHDD(K5)))*SIN(RADIANS(HMSTOHDD(K6)))+(SIN(RADIANS(HMSTOHDD(K4)))*COS(RADIANS(HMSTOHDD(K6))))</f>
        <v>-6.5612705947060334E-8</v>
      </c>
      <c r="L18" s="18">
        <f>C4*J23</f>
        <v>-6940116.5498706959</v>
      </c>
    </row>
    <row r="19" spans="1:12" x14ac:dyDescent="0.2">
      <c r="A19" s="26"/>
      <c r="B19" s="26"/>
      <c r="C19" s="25">
        <v>-6875371.2772180978</v>
      </c>
      <c r="D19" s="25">
        <v>-12964806.051298879</v>
      </c>
      <c r="E19" s="25">
        <v>14871070.554142416</v>
      </c>
      <c r="F19" s="23">
        <f t="shared" si="1"/>
        <v>-6875372.3316915231</v>
      </c>
      <c r="G19" s="23">
        <f t="shared" si="2"/>
        <v>-12964807.994728506</v>
      </c>
      <c r="H19" s="23">
        <f t="shared" si="0"/>
        <v>14871073.050889485</v>
      </c>
      <c r="J19" s="27" t="s">
        <v>26</v>
      </c>
      <c r="K19" s="24">
        <f>SIN(RADIANS(HMSTOHDD(K5)))</f>
        <v>8.2126400078668581E-7</v>
      </c>
      <c r="L19" s="18">
        <f>D4*K23</f>
        <v>-8.340778131051243</v>
      </c>
    </row>
    <row r="20" spans="1:12" x14ac:dyDescent="0.2">
      <c r="A20" s="26"/>
      <c r="B20" s="26"/>
      <c r="C20" s="25">
        <v>-7015742.7215040205</v>
      </c>
      <c r="D20" s="25">
        <v>-12984473.326287953</v>
      </c>
      <c r="E20" s="25">
        <v>14789516.546574457</v>
      </c>
      <c r="F20" s="23">
        <f t="shared" si="1"/>
        <v>-7015743.6794164432</v>
      </c>
      <c r="G20" s="23">
        <f t="shared" si="2"/>
        <v>-12984475.16903794</v>
      </c>
      <c r="H20" s="23">
        <f t="shared" si="0"/>
        <v>14789518.951216402</v>
      </c>
      <c r="J20" s="27" t="s">
        <v>25</v>
      </c>
      <c r="K20" s="24">
        <f>-SIN(RADIANS(HMSTOHDD(K4)))*COS(RADIANS(HMSTOHDD(K5)))</f>
        <v>6.5613229160299096E-8</v>
      </c>
      <c r="L20" s="18">
        <f>E4*L23</f>
        <v>-12.097570388975509</v>
      </c>
    </row>
    <row r="21" spans="1:12" x14ac:dyDescent="0.2">
      <c r="A21" s="26"/>
      <c r="B21" s="26"/>
      <c r="C21" s="25">
        <v>-6941815.9198748069</v>
      </c>
      <c r="D21" s="25">
        <v>-13005533.011492392</v>
      </c>
      <c r="E21" s="25">
        <v>14805019.41894092</v>
      </c>
      <c r="F21" s="23">
        <f t="shared" si="1"/>
        <v>-6941816.9261149755</v>
      </c>
      <c r="G21" s="23">
        <f t="shared" si="2"/>
        <v>-13005534.896038869</v>
      </c>
      <c r="H21" s="23">
        <f t="shared" si="0"/>
        <v>14805021.878263406</v>
      </c>
      <c r="J21" s="27" t="s">
        <v>24</v>
      </c>
      <c r="K21" s="24">
        <f>COS(RADIANS(HMSTOHDD(K4)))*COS(RADIANS(HMSTOHDD(K5)))</f>
        <v>0.9999999999996606</v>
      </c>
    </row>
    <row r="22" spans="1:12" ht="15.75" x14ac:dyDescent="0.25">
      <c r="A22" s="26"/>
      <c r="B22" s="26"/>
      <c r="C22" s="25">
        <v>-6902818.0036333613</v>
      </c>
      <c r="D22" s="25">
        <v>-13059014.670018168</v>
      </c>
      <c r="E22" s="25">
        <v>14776308.628110534</v>
      </c>
      <c r="F22" s="23">
        <f t="shared" si="1"/>
        <v>-6902819.0320665361</v>
      </c>
      <c r="G22" s="23">
        <f t="shared" si="2"/>
        <v>-13059016.56148055</v>
      </c>
      <c r="H22" s="23">
        <f t="shared" si="0"/>
        <v>14776311.124565111</v>
      </c>
      <c r="J22" s="96" t="s">
        <v>23</v>
      </c>
      <c r="K22" s="97"/>
      <c r="L22" s="97"/>
    </row>
    <row r="23" spans="1:12" x14ac:dyDescent="0.2">
      <c r="A23" s="26"/>
      <c r="B23" s="26"/>
      <c r="C23" s="25"/>
      <c r="D23" s="25"/>
      <c r="E23" s="25"/>
      <c r="F23" s="23" t="str">
        <f t="shared" si="1"/>
        <v/>
      </c>
      <c r="G23" s="23" t="str">
        <f t="shared" si="2"/>
        <v/>
      </c>
      <c r="H23" s="23" t="str">
        <f t="shared" si="0"/>
        <v/>
      </c>
      <c r="J23" s="27">
        <f>L2*K13</f>
        <v>0.99999969998649674</v>
      </c>
      <c r="K23" s="24">
        <f>L2*K14</f>
        <v>6.3708265046338204E-7</v>
      </c>
      <c r="L23" s="27">
        <f>L2*K15</f>
        <v>-8.2126379619772464E-7</v>
      </c>
    </row>
    <row r="24" spans="1:12" x14ac:dyDescent="0.2">
      <c r="A24" s="26"/>
      <c r="B24" s="26"/>
      <c r="C24" s="25">
        <v>-6972428.4777047317</v>
      </c>
      <c r="D24" s="25">
        <v>-13045345.063934438</v>
      </c>
      <c r="E24" s="25">
        <v>14756190.871413466</v>
      </c>
      <c r="F24" s="23">
        <f t="shared" si="1"/>
        <v>-6972429.4600231694</v>
      </c>
      <c r="G24" s="23">
        <f t="shared" si="2"/>
        <v>-13045346.913830273</v>
      </c>
      <c r="H24" s="23">
        <f t="shared" si="0"/>
        <v>14756193.317631984</v>
      </c>
      <c r="J24" s="27">
        <f>L2*K16</f>
        <v>-6.3708270434893549E-7</v>
      </c>
      <c r="K24" s="24">
        <f>L2*K17</f>
        <v>0.99999969998683191</v>
      </c>
      <c r="L24" s="27">
        <f>L2*K18</f>
        <v>-6.5612686262398015E-8</v>
      </c>
    </row>
    <row r="25" spans="1:12" x14ac:dyDescent="0.2">
      <c r="A25" s="26"/>
      <c r="B25" s="26"/>
      <c r="C25" s="25"/>
      <c r="D25" s="25"/>
      <c r="E25" s="25"/>
      <c r="F25" s="23" t="str">
        <f t="shared" si="1"/>
        <v/>
      </c>
      <c r="G25" s="23" t="str">
        <f t="shared" si="2"/>
        <v/>
      </c>
      <c r="H25" s="23" t="str">
        <f t="shared" si="0"/>
        <v/>
      </c>
      <c r="J25" s="27">
        <f>L2*K19</f>
        <v>8.2126375439683948E-7</v>
      </c>
      <c r="K25" s="24">
        <f>L2*K20</f>
        <v>6.5613209475479798E-8</v>
      </c>
      <c r="L25" s="27">
        <f>L2*K21</f>
        <v>0.99999969998669758</v>
      </c>
    </row>
    <row r="26" spans="1:12" x14ac:dyDescent="0.2">
      <c r="A26" s="26"/>
      <c r="B26" s="26">
        <v>229</v>
      </c>
      <c r="C26" s="25">
        <v>-6925720.7498000003</v>
      </c>
      <c r="D26" s="25">
        <v>-12989327.1403</v>
      </c>
      <c r="E26" s="25">
        <v>14826666.382300001</v>
      </c>
      <c r="F26" s="23">
        <f t="shared" si="1"/>
        <v>-6925721.7683223262</v>
      </c>
      <c r="G26" s="23">
        <f t="shared" si="2"/>
        <v>-12989329.041382723</v>
      </c>
      <c r="H26" s="23">
        <f t="shared" si="0"/>
        <v>14826668.849409809</v>
      </c>
    </row>
    <row r="27" spans="1:12" x14ac:dyDescent="0.2">
      <c r="A27" s="26"/>
      <c r="B27" s="26">
        <v>5709</v>
      </c>
      <c r="C27" s="25">
        <v>-6927241.5088</v>
      </c>
      <c r="D27" s="25">
        <v>-12986554.389699999</v>
      </c>
      <c r="E27" s="25">
        <v>14828668.5792</v>
      </c>
      <c r="F27" s="23">
        <f t="shared" si="1"/>
        <v>-6927242.5267439373</v>
      </c>
      <c r="G27" s="23">
        <f t="shared" si="2"/>
        <v>-12986556.290777102</v>
      </c>
      <c r="H27" s="23">
        <f t="shared" si="0"/>
        <v>14828671.044642106</v>
      </c>
    </row>
    <row r="28" spans="1:12" x14ac:dyDescent="0.2">
      <c r="A28" s="26"/>
      <c r="B28" s="26">
        <v>9324</v>
      </c>
      <c r="C28" s="25">
        <v>-6923381.2372000003</v>
      </c>
      <c r="D28" s="25">
        <v>-12990508.8103</v>
      </c>
      <c r="E28" s="25">
        <v>14826625.6897</v>
      </c>
      <c r="F28" s="23">
        <f t="shared" si="1"/>
        <v>-6923382.257143613</v>
      </c>
      <c r="G28" s="23">
        <f t="shared" si="2"/>
        <v>-12990510.712515999</v>
      </c>
      <c r="H28" s="23">
        <f t="shared" si="0"/>
        <v>14826628.15866584</v>
      </c>
    </row>
    <row r="29" spans="1:12" x14ac:dyDescent="0.2">
      <c r="A29" s="26"/>
      <c r="B29" s="26">
        <v>9325</v>
      </c>
      <c r="C29" s="25">
        <v>-6928078.3574999999</v>
      </c>
      <c r="D29" s="25">
        <v>-12988151.3202</v>
      </c>
      <c r="E29" s="25">
        <v>14826720.4474</v>
      </c>
      <c r="F29" s="23">
        <f t="shared" si="1"/>
        <v>-6928079.3746103188</v>
      </c>
      <c r="G29" s="23">
        <f t="shared" si="2"/>
        <v>-12988153.220137037</v>
      </c>
      <c r="H29" s="23">
        <f t="shared" si="0"/>
        <v>14826722.91263452</v>
      </c>
    </row>
    <row r="30" spans="1:12" x14ac:dyDescent="0.2">
      <c r="A30" s="26"/>
      <c r="B30" s="26">
        <v>9908</v>
      </c>
      <c r="C30" s="25">
        <v>-6924049.9261999996</v>
      </c>
      <c r="D30" s="25">
        <v>-12986041.162799999</v>
      </c>
      <c r="E30" s="25">
        <v>14830479.3895</v>
      </c>
      <c r="F30" s="23">
        <f t="shared" si="1"/>
        <v>-6924050.9462616406</v>
      </c>
      <c r="G30" s="23">
        <f t="shared" si="2"/>
        <v>-12986043.066183191</v>
      </c>
      <c r="H30" s="23">
        <f t="shared" si="0"/>
        <v>14830481.857053645</v>
      </c>
    </row>
    <row r="31" spans="1:12" x14ac:dyDescent="0.2">
      <c r="A31" s="26"/>
      <c r="B31" s="26">
        <v>9909</v>
      </c>
      <c r="C31" s="25">
        <v>-6922460.8673999999</v>
      </c>
      <c r="D31" s="25">
        <v>-12988768.312200001</v>
      </c>
      <c r="E31" s="25">
        <v>14828376.636</v>
      </c>
      <c r="F31" s="23">
        <f t="shared" si="1"/>
        <v>-6922461.8879488846</v>
      </c>
      <c r="G31" s="23">
        <f t="shared" si="2"/>
        <v>-12988770.215639407</v>
      </c>
      <c r="H31" s="23">
        <f t="shared" si="0"/>
        <v>14828379.105310598</v>
      </c>
    </row>
    <row r="32" spans="1:12" x14ac:dyDescent="0.2">
      <c r="A32" s="26"/>
      <c r="B32" s="26"/>
      <c r="C32" s="25"/>
      <c r="D32" s="25"/>
      <c r="E32" s="25"/>
      <c r="F32" s="23" t="str">
        <f t="shared" si="1"/>
        <v/>
      </c>
      <c r="G32" s="23" t="str">
        <f t="shared" si="2"/>
        <v/>
      </c>
      <c r="H32" s="23" t="str">
        <f t="shared" si="0"/>
        <v/>
      </c>
    </row>
    <row r="33" spans="1:11" x14ac:dyDescent="0.2">
      <c r="A33" s="26"/>
      <c r="B33" s="26"/>
      <c r="C33" s="25"/>
      <c r="D33" s="25"/>
      <c r="E33" s="25"/>
      <c r="F33" s="23" t="str">
        <f t="shared" si="1"/>
        <v/>
      </c>
      <c r="G33" s="23" t="str">
        <f t="shared" si="2"/>
        <v/>
      </c>
      <c r="H33" s="23" t="str">
        <f t="shared" si="0"/>
        <v/>
      </c>
    </row>
    <row r="34" spans="1:11" x14ac:dyDescent="0.2">
      <c r="A34" s="26"/>
      <c r="B34" s="26"/>
      <c r="C34" s="25"/>
      <c r="D34" s="25"/>
      <c r="E34" s="25"/>
      <c r="F34" s="23" t="str">
        <f t="shared" si="1"/>
        <v/>
      </c>
      <c r="G34" s="23" t="str">
        <f t="shared" si="2"/>
        <v/>
      </c>
      <c r="H34" s="23" t="str">
        <f t="shared" si="0"/>
        <v/>
      </c>
    </row>
    <row r="35" spans="1:11" x14ac:dyDescent="0.2">
      <c r="A35" s="26"/>
      <c r="B35" s="26"/>
      <c r="C35" s="25"/>
      <c r="D35" s="25"/>
      <c r="E35" s="25"/>
      <c r="F35" s="23" t="str">
        <f t="shared" si="1"/>
        <v/>
      </c>
      <c r="G35" s="23" t="str">
        <f t="shared" si="2"/>
        <v/>
      </c>
      <c r="H35" s="23" t="str">
        <f t="shared" si="0"/>
        <v/>
      </c>
    </row>
    <row r="36" spans="1:11" x14ac:dyDescent="0.2">
      <c r="A36" s="26"/>
      <c r="B36" s="26"/>
      <c r="C36" s="25"/>
      <c r="D36" s="25"/>
      <c r="E36" s="25"/>
      <c r="F36" s="23" t="str">
        <f t="shared" si="1"/>
        <v/>
      </c>
      <c r="G36" s="23" t="str">
        <f t="shared" si="2"/>
        <v/>
      </c>
      <c r="H36" s="23" t="str">
        <f t="shared" si="0"/>
        <v/>
      </c>
      <c r="K36" s="18"/>
    </row>
    <row r="37" spans="1:11" x14ac:dyDescent="0.2">
      <c r="A37" s="26"/>
      <c r="B37" s="26"/>
      <c r="C37" s="25"/>
      <c r="D37" s="25"/>
      <c r="E37" s="25"/>
      <c r="F37" s="23" t="str">
        <f t="shared" si="1"/>
        <v/>
      </c>
      <c r="G37" s="23" t="str">
        <f t="shared" si="2"/>
        <v/>
      </c>
      <c r="H37" s="23" t="str">
        <f t="shared" si="0"/>
        <v/>
      </c>
      <c r="K37" s="18"/>
    </row>
    <row r="38" spans="1:11" x14ac:dyDescent="0.2">
      <c r="A38" s="26"/>
      <c r="B38" s="26"/>
      <c r="C38" s="25"/>
      <c r="D38" s="25"/>
      <c r="E38" s="25"/>
      <c r="F38" s="23" t="str">
        <f t="shared" si="1"/>
        <v/>
      </c>
      <c r="G38" s="23" t="str">
        <f t="shared" si="2"/>
        <v/>
      </c>
      <c r="H38" s="23" t="str">
        <f t="shared" si="0"/>
        <v/>
      </c>
      <c r="K38" s="18"/>
    </row>
    <row r="39" spans="1:11" x14ac:dyDescent="0.2">
      <c r="A39" s="26"/>
      <c r="B39" s="26"/>
      <c r="C39" s="25"/>
      <c r="D39" s="25"/>
      <c r="E39" s="25"/>
      <c r="F39" s="23" t="str">
        <f t="shared" si="1"/>
        <v/>
      </c>
      <c r="G39" s="23" t="str">
        <f t="shared" si="2"/>
        <v/>
      </c>
      <c r="H39" s="23" t="str">
        <f t="shared" si="0"/>
        <v/>
      </c>
    </row>
    <row r="40" spans="1:11" x14ac:dyDescent="0.2">
      <c r="A40" s="26"/>
      <c r="B40" s="26"/>
      <c r="C40" s="25"/>
      <c r="D40" s="25"/>
      <c r="E40" s="25"/>
      <c r="F40" s="23" t="str">
        <f t="shared" si="1"/>
        <v/>
      </c>
      <c r="G40" s="23" t="str">
        <f t="shared" si="2"/>
        <v/>
      </c>
      <c r="H40" s="23" t="str">
        <f t="shared" si="0"/>
        <v/>
      </c>
    </row>
    <row r="41" spans="1:11" x14ac:dyDescent="0.2">
      <c r="A41" s="26"/>
      <c r="B41" s="26"/>
      <c r="C41" s="25"/>
      <c r="D41" s="25"/>
      <c r="E41" s="25"/>
      <c r="F41" s="23" t="str">
        <f t="shared" si="1"/>
        <v/>
      </c>
      <c r="G41" s="23" t="str">
        <f t="shared" si="2"/>
        <v/>
      </c>
      <c r="H41" s="23" t="str">
        <f t="shared" si="0"/>
        <v/>
      </c>
    </row>
    <row r="42" spans="1:11" x14ac:dyDescent="0.2">
      <c r="A42" s="26"/>
      <c r="B42" s="26"/>
      <c r="C42" s="25"/>
      <c r="D42" s="25"/>
      <c r="E42" s="25"/>
      <c r="F42" s="23" t="str">
        <f t="shared" si="1"/>
        <v/>
      </c>
      <c r="G42" s="23" t="str">
        <f t="shared" si="2"/>
        <v/>
      </c>
      <c r="H42" s="23" t="str">
        <f t="shared" si="0"/>
        <v/>
      </c>
    </row>
    <row r="43" spans="1:11" x14ac:dyDescent="0.2">
      <c r="A43" s="26"/>
      <c r="B43" s="26"/>
      <c r="C43" s="25"/>
      <c r="D43" s="25"/>
      <c r="E43" s="25"/>
      <c r="F43" s="23" t="str">
        <f t="shared" si="1"/>
        <v/>
      </c>
      <c r="G43" s="23" t="str">
        <f t="shared" si="2"/>
        <v/>
      </c>
      <c r="H43" s="23" t="str">
        <f t="shared" si="0"/>
        <v/>
      </c>
    </row>
    <row r="44" spans="1:11" x14ac:dyDescent="0.2">
      <c r="A44" s="26"/>
      <c r="B44" s="26"/>
      <c r="C44" s="25"/>
      <c r="D44" s="25"/>
      <c r="E44" s="25"/>
      <c r="F44" s="23" t="str">
        <f t="shared" si="1"/>
        <v/>
      </c>
      <c r="G44" s="23" t="str">
        <f t="shared" si="2"/>
        <v/>
      </c>
      <c r="H44" s="23" t="str">
        <f t="shared" si="0"/>
        <v/>
      </c>
    </row>
    <row r="45" spans="1:11" x14ac:dyDescent="0.2">
      <c r="A45" s="26"/>
      <c r="B45" s="26"/>
      <c r="C45" s="25"/>
      <c r="D45" s="25"/>
      <c r="E45" s="25"/>
      <c r="F45" s="23" t="str">
        <f t="shared" si="1"/>
        <v/>
      </c>
      <c r="G45" s="23" t="str">
        <f t="shared" si="2"/>
        <v/>
      </c>
      <c r="H45" s="23" t="str">
        <f t="shared" si="0"/>
        <v/>
      </c>
    </row>
    <row r="46" spans="1:11" x14ac:dyDescent="0.2">
      <c r="A46" s="26"/>
      <c r="B46" s="26"/>
      <c r="C46" s="25"/>
      <c r="D46" s="25"/>
      <c r="E46" s="25"/>
      <c r="F46" s="23" t="str">
        <f t="shared" si="1"/>
        <v/>
      </c>
      <c r="G46" s="23" t="str">
        <f t="shared" si="2"/>
        <v/>
      </c>
      <c r="H46" s="23" t="str">
        <f t="shared" si="0"/>
        <v/>
      </c>
    </row>
    <row r="47" spans="1:11" x14ac:dyDescent="0.2">
      <c r="A47" s="26"/>
      <c r="B47" s="26"/>
      <c r="C47" s="25"/>
      <c r="D47" s="25"/>
      <c r="E47" s="25"/>
      <c r="F47" s="23" t="str">
        <f t="shared" si="1"/>
        <v/>
      </c>
      <c r="G47" s="23" t="str">
        <f t="shared" si="2"/>
        <v/>
      </c>
      <c r="H47" s="23" t="str">
        <f t="shared" si="0"/>
        <v/>
      </c>
    </row>
    <row r="48" spans="1:11" x14ac:dyDescent="0.2">
      <c r="A48" s="26"/>
      <c r="B48" s="26"/>
      <c r="C48" s="25"/>
      <c r="D48" s="25"/>
      <c r="E48" s="25"/>
      <c r="F48" s="23" t="str">
        <f t="shared" si="1"/>
        <v/>
      </c>
      <c r="G48" s="23" t="str">
        <f t="shared" si="2"/>
        <v/>
      </c>
      <c r="H48" s="23" t="str">
        <f t="shared" si="0"/>
        <v/>
      </c>
    </row>
    <row r="49" spans="1:8" x14ac:dyDescent="0.2">
      <c r="A49" s="26"/>
      <c r="B49" s="26"/>
      <c r="C49" s="25"/>
      <c r="D49" s="25"/>
      <c r="E49" s="25"/>
      <c r="F49" s="23" t="str">
        <f t="shared" si="1"/>
        <v/>
      </c>
      <c r="G49" s="23" t="str">
        <f t="shared" si="2"/>
        <v/>
      </c>
      <c r="H49" s="23" t="str">
        <f t="shared" si="0"/>
        <v/>
      </c>
    </row>
    <row r="50" spans="1:8" x14ac:dyDescent="0.2">
      <c r="A50" s="26"/>
      <c r="B50" s="26"/>
      <c r="C50" s="25"/>
      <c r="D50" s="25"/>
      <c r="E50" s="25"/>
      <c r="F50" s="23" t="str">
        <f t="shared" si="1"/>
        <v/>
      </c>
      <c r="G50" s="23" t="str">
        <f t="shared" si="2"/>
        <v/>
      </c>
      <c r="H50" s="23" t="str">
        <f t="shared" si="0"/>
        <v/>
      </c>
    </row>
    <row r="51" spans="1:8" x14ac:dyDescent="0.2">
      <c r="A51" s="26"/>
      <c r="B51" s="26"/>
      <c r="C51" s="25"/>
      <c r="D51" s="25"/>
      <c r="E51" s="25"/>
      <c r="F51" s="23" t="str">
        <f t="shared" si="1"/>
        <v/>
      </c>
      <c r="G51" s="23" t="str">
        <f t="shared" si="2"/>
        <v/>
      </c>
      <c r="H51" s="23" t="str">
        <f t="shared" si="0"/>
        <v/>
      </c>
    </row>
    <row r="52" spans="1:8" x14ac:dyDescent="0.2">
      <c r="A52" s="26"/>
      <c r="B52" s="26"/>
      <c r="C52" s="25"/>
      <c r="D52" s="25"/>
      <c r="E52" s="25"/>
      <c r="F52" s="23" t="str">
        <f t="shared" si="1"/>
        <v/>
      </c>
      <c r="G52" s="23" t="str">
        <f t="shared" si="2"/>
        <v/>
      </c>
      <c r="H52" s="23" t="str">
        <f t="shared" si="0"/>
        <v/>
      </c>
    </row>
    <row r="53" spans="1:8" x14ac:dyDescent="0.2">
      <c r="A53" s="26"/>
      <c r="B53" s="26"/>
      <c r="C53" s="25"/>
      <c r="D53" s="25"/>
      <c r="E53" s="25"/>
      <c r="F53" s="23" t="str">
        <f t="shared" si="1"/>
        <v/>
      </c>
      <c r="G53" s="23" t="str">
        <f t="shared" si="2"/>
        <v/>
      </c>
      <c r="H53" s="23" t="str">
        <f t="shared" si="0"/>
        <v/>
      </c>
    </row>
    <row r="54" spans="1:8" x14ac:dyDescent="0.2">
      <c r="A54" s="26"/>
      <c r="B54" s="26"/>
      <c r="C54" s="25"/>
      <c r="D54" s="25"/>
      <c r="E54" s="25"/>
      <c r="F54" s="23" t="str">
        <f t="shared" si="1"/>
        <v/>
      </c>
      <c r="G54" s="23" t="str">
        <f t="shared" si="2"/>
        <v/>
      </c>
      <c r="H54" s="23" t="str">
        <f t="shared" si="0"/>
        <v/>
      </c>
    </row>
    <row r="55" spans="1:8" x14ac:dyDescent="0.2">
      <c r="A55" s="26"/>
      <c r="B55" s="26"/>
      <c r="C55" s="25"/>
      <c r="D55" s="25"/>
      <c r="E55" s="25"/>
      <c r="F55" s="23" t="str">
        <f t="shared" si="1"/>
        <v/>
      </c>
      <c r="G55" s="23" t="str">
        <f t="shared" si="2"/>
        <v/>
      </c>
      <c r="H55" s="23" t="str">
        <f t="shared" si="0"/>
        <v/>
      </c>
    </row>
    <row r="56" spans="1:8" x14ac:dyDescent="0.2">
      <c r="A56" s="26"/>
      <c r="B56" s="26"/>
      <c r="C56" s="25"/>
      <c r="D56" s="25"/>
      <c r="E56" s="25"/>
      <c r="F56" s="23" t="str">
        <f t="shared" si="1"/>
        <v/>
      </c>
      <c r="G56" s="23" t="str">
        <f t="shared" si="2"/>
        <v/>
      </c>
      <c r="H56" s="23" t="str">
        <f t="shared" si="0"/>
        <v/>
      </c>
    </row>
    <row r="57" spans="1:8" x14ac:dyDescent="0.2">
      <c r="A57" s="26"/>
      <c r="B57" s="26"/>
      <c r="C57" s="25"/>
      <c r="D57" s="25"/>
      <c r="E57" s="25"/>
      <c r="F57" s="23" t="str">
        <f t="shared" si="1"/>
        <v/>
      </c>
      <c r="G57" s="23" t="str">
        <f t="shared" si="2"/>
        <v/>
      </c>
      <c r="H57" s="23" t="str">
        <f t="shared" si="0"/>
        <v/>
      </c>
    </row>
    <row r="58" spans="1:8" x14ac:dyDescent="0.2">
      <c r="A58" s="26"/>
      <c r="B58" s="26"/>
      <c r="C58" s="25"/>
      <c r="D58" s="25"/>
      <c r="E58" s="25"/>
      <c r="F58" s="23" t="str">
        <f t="shared" si="1"/>
        <v/>
      </c>
      <c r="G58" s="23" t="str">
        <f t="shared" si="2"/>
        <v/>
      </c>
      <c r="H58" s="23" t="str">
        <f t="shared" si="0"/>
        <v/>
      </c>
    </row>
    <row r="59" spans="1:8" x14ac:dyDescent="0.2">
      <c r="A59" s="26"/>
      <c r="B59" s="26"/>
      <c r="C59" s="25"/>
      <c r="D59" s="25"/>
      <c r="E59" s="25"/>
      <c r="F59" s="23" t="str">
        <f t="shared" si="1"/>
        <v/>
      </c>
      <c r="G59" s="23" t="str">
        <f t="shared" si="2"/>
        <v/>
      </c>
      <c r="H59" s="23" t="str">
        <f t="shared" si="0"/>
        <v/>
      </c>
    </row>
    <row r="60" spans="1:8" x14ac:dyDescent="0.2">
      <c r="A60" s="26"/>
      <c r="B60" s="26"/>
      <c r="C60" s="25"/>
      <c r="D60" s="25"/>
      <c r="E60" s="25"/>
      <c r="F60" s="23" t="str">
        <f t="shared" si="1"/>
        <v/>
      </c>
      <c r="G60" s="23" t="str">
        <f t="shared" si="2"/>
        <v/>
      </c>
      <c r="H60" s="23" t="str">
        <f t="shared" si="0"/>
        <v/>
      </c>
    </row>
    <row r="61" spans="1:8" x14ac:dyDescent="0.2">
      <c r="A61" s="26"/>
      <c r="B61" s="26"/>
      <c r="C61" s="25"/>
      <c r="D61" s="25"/>
      <c r="E61" s="25"/>
      <c r="F61" s="23" t="str">
        <f t="shared" si="1"/>
        <v/>
      </c>
      <c r="G61" s="23" t="str">
        <f t="shared" si="2"/>
        <v/>
      </c>
      <c r="H61" s="23" t="str">
        <f t="shared" si="0"/>
        <v/>
      </c>
    </row>
    <row r="62" spans="1:8" x14ac:dyDescent="0.2">
      <c r="A62" s="26"/>
      <c r="B62" s="26"/>
      <c r="C62" s="25"/>
      <c r="D62" s="25"/>
      <c r="E62" s="25"/>
      <c r="F62" s="23" t="str">
        <f t="shared" si="1"/>
        <v/>
      </c>
      <c r="G62" s="23" t="str">
        <f t="shared" si="2"/>
        <v/>
      </c>
      <c r="H62" s="23" t="str">
        <f t="shared" si="0"/>
        <v/>
      </c>
    </row>
    <row r="63" spans="1:8" x14ac:dyDescent="0.2">
      <c r="A63" s="26"/>
      <c r="B63" s="26"/>
      <c r="C63" s="25"/>
      <c r="D63" s="25"/>
      <c r="E63" s="25"/>
      <c r="F63" s="23" t="str">
        <f t="shared" si="1"/>
        <v/>
      </c>
      <c r="G63" s="23" t="str">
        <f t="shared" si="2"/>
        <v/>
      </c>
      <c r="H63" s="23" t="str">
        <f t="shared" si="0"/>
        <v/>
      </c>
    </row>
    <row r="64" spans="1:8" x14ac:dyDescent="0.2">
      <c r="A64" s="26"/>
      <c r="B64" s="26"/>
      <c r="C64" s="25"/>
      <c r="D64" s="25"/>
      <c r="E64" s="25"/>
      <c r="F64" s="23" t="str">
        <f t="shared" si="1"/>
        <v/>
      </c>
      <c r="G64" s="23" t="str">
        <f t="shared" si="2"/>
        <v/>
      </c>
      <c r="H64" s="23" t="str">
        <f t="shared" si="0"/>
        <v/>
      </c>
    </row>
    <row r="65" spans="1:8" x14ac:dyDescent="0.2">
      <c r="A65" s="26"/>
      <c r="B65" s="26"/>
      <c r="C65" s="25"/>
      <c r="D65" s="25"/>
      <c r="E65" s="25"/>
      <c r="F65" s="23" t="str">
        <f t="shared" si="1"/>
        <v/>
      </c>
      <c r="G65" s="23" t="str">
        <f t="shared" si="2"/>
        <v/>
      </c>
      <c r="H65" s="23" t="str">
        <f t="shared" si="0"/>
        <v/>
      </c>
    </row>
    <row r="66" spans="1:8" x14ac:dyDescent="0.2">
      <c r="A66" s="26"/>
      <c r="B66" s="26"/>
      <c r="C66" s="25"/>
      <c r="D66" s="25"/>
      <c r="E66" s="25"/>
      <c r="F66" s="23" t="str">
        <f t="shared" si="1"/>
        <v/>
      </c>
      <c r="G66" s="23" t="str">
        <f t="shared" si="2"/>
        <v/>
      </c>
      <c r="H66" s="23" t="str">
        <f t="shared" si="0"/>
        <v/>
      </c>
    </row>
    <row r="67" spans="1:8" x14ac:dyDescent="0.2">
      <c r="A67" s="26"/>
      <c r="B67" s="26"/>
      <c r="C67" s="25"/>
      <c r="D67" s="25"/>
      <c r="E67" s="25"/>
      <c r="F67" s="23" t="str">
        <f t="shared" si="1"/>
        <v/>
      </c>
      <c r="G67" s="23" t="str">
        <f t="shared" si="2"/>
        <v/>
      </c>
      <c r="H67" s="23" t="str">
        <f t="shared" si="0"/>
        <v/>
      </c>
    </row>
    <row r="68" spans="1:8" x14ac:dyDescent="0.2">
      <c r="A68" s="26"/>
      <c r="B68" s="26"/>
      <c r="C68" s="25"/>
      <c r="D68" s="25"/>
      <c r="E68" s="25"/>
      <c r="F68" s="23" t="str">
        <f t="shared" ref="F68:F131" si="3">IF(C68&lt;&gt;"",($J$23*C68+$K$23*D68+$L$23*E68)+$K$7,"")</f>
        <v/>
      </c>
      <c r="G68" s="23" t="str">
        <f t="shared" ref="G68:G131" si="4">IF(D68&lt;&gt;"",($J$24*C68+$K$24*D68+$L$24*E68)+$K$8,"")</f>
        <v/>
      </c>
      <c r="H68" s="23" t="str">
        <f t="shared" ref="H68:H131" si="5">IF(E68&lt;&gt;"",($J$25*C68+$K$25*D68+$L$25*E68)+$K$9,"")</f>
        <v/>
      </c>
    </row>
    <row r="69" spans="1:8" x14ac:dyDescent="0.2">
      <c r="A69" s="26"/>
      <c r="B69" s="26"/>
      <c r="C69" s="25"/>
      <c r="D69" s="25"/>
      <c r="E69" s="25"/>
      <c r="F69" s="23" t="str">
        <f t="shared" si="3"/>
        <v/>
      </c>
      <c r="G69" s="23" t="str">
        <f t="shared" si="4"/>
        <v/>
      </c>
      <c r="H69" s="23" t="str">
        <f t="shared" si="5"/>
        <v/>
      </c>
    </row>
    <row r="70" spans="1:8" x14ac:dyDescent="0.2">
      <c r="A70" s="26"/>
      <c r="B70" s="26"/>
      <c r="C70" s="25"/>
      <c r="D70" s="25"/>
      <c r="E70" s="25"/>
      <c r="F70" s="23" t="str">
        <f t="shared" si="3"/>
        <v/>
      </c>
      <c r="G70" s="23" t="str">
        <f t="shared" si="4"/>
        <v/>
      </c>
      <c r="H70" s="23" t="str">
        <f t="shared" si="5"/>
        <v/>
      </c>
    </row>
    <row r="71" spans="1:8" x14ac:dyDescent="0.2">
      <c r="A71" s="26"/>
      <c r="B71" s="26"/>
      <c r="C71" s="25"/>
      <c r="D71" s="25"/>
      <c r="E71" s="25"/>
      <c r="F71" s="23" t="str">
        <f t="shared" si="3"/>
        <v/>
      </c>
      <c r="G71" s="23" t="str">
        <f t="shared" si="4"/>
        <v/>
      </c>
      <c r="H71" s="23" t="str">
        <f t="shared" si="5"/>
        <v/>
      </c>
    </row>
    <row r="72" spans="1:8" x14ac:dyDescent="0.2">
      <c r="A72" s="26"/>
      <c r="B72" s="26"/>
      <c r="C72" s="25"/>
      <c r="D72" s="25"/>
      <c r="E72" s="25"/>
      <c r="F72" s="23" t="str">
        <f t="shared" si="3"/>
        <v/>
      </c>
      <c r="G72" s="23" t="str">
        <f t="shared" si="4"/>
        <v/>
      </c>
      <c r="H72" s="23" t="str">
        <f t="shared" si="5"/>
        <v/>
      </c>
    </row>
    <row r="73" spans="1:8" x14ac:dyDescent="0.2">
      <c r="A73" s="26"/>
      <c r="B73" s="26"/>
      <c r="C73" s="25"/>
      <c r="D73" s="25"/>
      <c r="E73" s="25"/>
      <c r="F73" s="23" t="str">
        <f t="shared" si="3"/>
        <v/>
      </c>
      <c r="G73" s="23" t="str">
        <f t="shared" si="4"/>
        <v/>
      </c>
      <c r="H73" s="23" t="str">
        <f t="shared" si="5"/>
        <v/>
      </c>
    </row>
    <row r="74" spans="1:8" x14ac:dyDescent="0.2">
      <c r="A74" s="26"/>
      <c r="B74" s="26"/>
      <c r="C74" s="25"/>
      <c r="D74" s="25"/>
      <c r="E74" s="25"/>
      <c r="F74" s="23" t="str">
        <f t="shared" si="3"/>
        <v/>
      </c>
      <c r="G74" s="23" t="str">
        <f t="shared" si="4"/>
        <v/>
      </c>
      <c r="H74" s="23" t="str">
        <f t="shared" si="5"/>
        <v/>
      </c>
    </row>
    <row r="75" spans="1:8" x14ac:dyDescent="0.2">
      <c r="A75" s="26"/>
      <c r="B75" s="26"/>
      <c r="C75" s="25"/>
      <c r="D75" s="25"/>
      <c r="E75" s="25"/>
      <c r="F75" s="23" t="str">
        <f t="shared" si="3"/>
        <v/>
      </c>
      <c r="G75" s="23" t="str">
        <f t="shared" si="4"/>
        <v/>
      </c>
      <c r="H75" s="23" t="str">
        <f t="shared" si="5"/>
        <v/>
      </c>
    </row>
    <row r="76" spans="1:8" x14ac:dyDescent="0.2">
      <c r="A76" s="26"/>
      <c r="B76" s="26"/>
      <c r="C76" s="25"/>
      <c r="D76" s="25"/>
      <c r="E76" s="25"/>
      <c r="F76" s="23" t="str">
        <f t="shared" si="3"/>
        <v/>
      </c>
      <c r="G76" s="23" t="str">
        <f t="shared" si="4"/>
        <v/>
      </c>
      <c r="H76" s="23" t="str">
        <f t="shared" si="5"/>
        <v/>
      </c>
    </row>
    <row r="77" spans="1:8" x14ac:dyDescent="0.2">
      <c r="A77" s="26"/>
      <c r="B77" s="26"/>
      <c r="C77" s="25"/>
      <c r="D77" s="25"/>
      <c r="E77" s="25"/>
      <c r="F77" s="23" t="str">
        <f t="shared" si="3"/>
        <v/>
      </c>
      <c r="G77" s="23" t="str">
        <f t="shared" si="4"/>
        <v/>
      </c>
      <c r="H77" s="23" t="str">
        <f t="shared" si="5"/>
        <v/>
      </c>
    </row>
    <row r="78" spans="1:8" x14ac:dyDescent="0.2">
      <c r="A78" s="26"/>
      <c r="B78" s="26"/>
      <c r="C78" s="25"/>
      <c r="D78" s="25"/>
      <c r="E78" s="25"/>
      <c r="F78" s="23" t="str">
        <f t="shared" si="3"/>
        <v/>
      </c>
      <c r="G78" s="23" t="str">
        <f t="shared" si="4"/>
        <v/>
      </c>
      <c r="H78" s="23" t="str">
        <f t="shared" si="5"/>
        <v/>
      </c>
    </row>
    <row r="79" spans="1:8" x14ac:dyDescent="0.2">
      <c r="A79" s="26"/>
      <c r="B79" s="26"/>
      <c r="C79" s="25"/>
      <c r="D79" s="25"/>
      <c r="E79" s="25"/>
      <c r="F79" s="23" t="str">
        <f t="shared" si="3"/>
        <v/>
      </c>
      <c r="G79" s="23" t="str">
        <f t="shared" si="4"/>
        <v/>
      </c>
      <c r="H79" s="23" t="str">
        <f t="shared" si="5"/>
        <v/>
      </c>
    </row>
    <row r="80" spans="1:8" x14ac:dyDescent="0.2">
      <c r="A80" s="26"/>
      <c r="B80" s="26"/>
      <c r="C80" s="25"/>
      <c r="D80" s="25"/>
      <c r="E80" s="25"/>
      <c r="F80" s="23" t="str">
        <f t="shared" si="3"/>
        <v/>
      </c>
      <c r="G80" s="23" t="str">
        <f t="shared" si="4"/>
        <v/>
      </c>
      <c r="H80" s="23" t="str">
        <f t="shared" si="5"/>
        <v/>
      </c>
    </row>
    <row r="81" spans="1:8" x14ac:dyDescent="0.2">
      <c r="A81" s="26"/>
      <c r="B81" s="26"/>
      <c r="C81" s="25"/>
      <c r="D81" s="25"/>
      <c r="E81" s="25"/>
      <c r="F81" s="23" t="str">
        <f t="shared" si="3"/>
        <v/>
      </c>
      <c r="G81" s="23" t="str">
        <f t="shared" si="4"/>
        <v/>
      </c>
      <c r="H81" s="23" t="str">
        <f t="shared" si="5"/>
        <v/>
      </c>
    </row>
    <row r="82" spans="1:8" x14ac:dyDescent="0.2">
      <c r="A82" s="26"/>
      <c r="B82" s="26"/>
      <c r="C82" s="25"/>
      <c r="D82" s="25"/>
      <c r="E82" s="25"/>
      <c r="F82" s="23" t="str">
        <f t="shared" si="3"/>
        <v/>
      </c>
      <c r="G82" s="23" t="str">
        <f t="shared" si="4"/>
        <v/>
      </c>
      <c r="H82" s="23" t="str">
        <f t="shared" si="5"/>
        <v/>
      </c>
    </row>
    <row r="83" spans="1:8" x14ac:dyDescent="0.2">
      <c r="A83" s="26"/>
      <c r="B83" s="26"/>
      <c r="C83" s="25"/>
      <c r="D83" s="25"/>
      <c r="E83" s="25"/>
      <c r="F83" s="23" t="str">
        <f t="shared" si="3"/>
        <v/>
      </c>
      <c r="G83" s="23" t="str">
        <f t="shared" si="4"/>
        <v/>
      </c>
      <c r="H83" s="23" t="str">
        <f t="shared" si="5"/>
        <v/>
      </c>
    </row>
    <row r="84" spans="1:8" x14ac:dyDescent="0.2">
      <c r="A84" s="26"/>
      <c r="B84" s="26"/>
      <c r="C84" s="25"/>
      <c r="D84" s="25"/>
      <c r="E84" s="25"/>
      <c r="F84" s="23" t="str">
        <f t="shared" si="3"/>
        <v/>
      </c>
      <c r="G84" s="23" t="str">
        <f t="shared" si="4"/>
        <v/>
      </c>
      <c r="H84" s="23" t="str">
        <f t="shared" si="5"/>
        <v/>
      </c>
    </row>
    <row r="85" spans="1:8" x14ac:dyDescent="0.2">
      <c r="A85" s="26"/>
      <c r="B85" s="26"/>
      <c r="C85" s="25"/>
      <c r="D85" s="25"/>
      <c r="E85" s="25"/>
      <c r="F85" s="23" t="str">
        <f t="shared" si="3"/>
        <v/>
      </c>
      <c r="G85" s="23" t="str">
        <f t="shared" si="4"/>
        <v/>
      </c>
      <c r="H85" s="23" t="str">
        <f t="shared" si="5"/>
        <v/>
      </c>
    </row>
    <row r="86" spans="1:8" x14ac:dyDescent="0.2">
      <c r="A86" s="26"/>
      <c r="B86" s="26"/>
      <c r="C86" s="25"/>
      <c r="D86" s="25"/>
      <c r="E86" s="25"/>
      <c r="F86" s="23" t="str">
        <f t="shared" si="3"/>
        <v/>
      </c>
      <c r="G86" s="23" t="str">
        <f t="shared" si="4"/>
        <v/>
      </c>
      <c r="H86" s="23" t="str">
        <f t="shared" si="5"/>
        <v/>
      </c>
    </row>
    <row r="87" spans="1:8" x14ac:dyDescent="0.2">
      <c r="A87" s="26"/>
      <c r="B87" s="26"/>
      <c r="C87" s="25"/>
      <c r="D87" s="25"/>
      <c r="E87" s="25"/>
      <c r="F87" s="23" t="str">
        <f t="shared" si="3"/>
        <v/>
      </c>
      <c r="G87" s="23" t="str">
        <f t="shared" si="4"/>
        <v/>
      </c>
      <c r="H87" s="23" t="str">
        <f t="shared" si="5"/>
        <v/>
      </c>
    </row>
    <row r="88" spans="1:8" x14ac:dyDescent="0.2">
      <c r="A88" s="26"/>
      <c r="B88" s="26"/>
      <c r="C88" s="25"/>
      <c r="D88" s="25"/>
      <c r="E88" s="25"/>
      <c r="F88" s="23" t="str">
        <f t="shared" si="3"/>
        <v/>
      </c>
      <c r="G88" s="23" t="str">
        <f t="shared" si="4"/>
        <v/>
      </c>
      <c r="H88" s="23" t="str">
        <f t="shared" si="5"/>
        <v/>
      </c>
    </row>
    <row r="89" spans="1:8" x14ac:dyDescent="0.2">
      <c r="A89" s="26"/>
      <c r="B89" s="26"/>
      <c r="C89" s="25"/>
      <c r="D89" s="25"/>
      <c r="E89" s="25"/>
      <c r="F89" s="23" t="str">
        <f t="shared" si="3"/>
        <v/>
      </c>
      <c r="G89" s="23" t="str">
        <f t="shared" si="4"/>
        <v/>
      </c>
      <c r="H89" s="23" t="str">
        <f t="shared" si="5"/>
        <v/>
      </c>
    </row>
    <row r="90" spans="1:8" x14ac:dyDescent="0.2">
      <c r="A90" s="26"/>
      <c r="B90" s="26"/>
      <c r="C90" s="25"/>
      <c r="D90" s="25"/>
      <c r="E90" s="25"/>
      <c r="F90" s="23" t="str">
        <f t="shared" si="3"/>
        <v/>
      </c>
      <c r="G90" s="23" t="str">
        <f t="shared" si="4"/>
        <v/>
      </c>
      <c r="H90" s="23" t="str">
        <f t="shared" si="5"/>
        <v/>
      </c>
    </row>
    <row r="91" spans="1:8" x14ac:dyDescent="0.2">
      <c r="A91" s="26"/>
      <c r="B91" s="26"/>
      <c r="C91" s="25"/>
      <c r="D91" s="25"/>
      <c r="E91" s="25"/>
      <c r="F91" s="23" t="str">
        <f t="shared" si="3"/>
        <v/>
      </c>
      <c r="G91" s="23" t="str">
        <f t="shared" si="4"/>
        <v/>
      </c>
      <c r="H91" s="23" t="str">
        <f t="shared" si="5"/>
        <v/>
      </c>
    </row>
    <row r="92" spans="1:8" x14ac:dyDescent="0.2">
      <c r="A92" s="26"/>
      <c r="B92" s="26"/>
      <c r="C92" s="25"/>
      <c r="D92" s="25"/>
      <c r="E92" s="25"/>
      <c r="F92" s="23" t="str">
        <f t="shared" si="3"/>
        <v/>
      </c>
      <c r="G92" s="23" t="str">
        <f t="shared" si="4"/>
        <v/>
      </c>
      <c r="H92" s="23" t="str">
        <f t="shared" si="5"/>
        <v/>
      </c>
    </row>
    <row r="93" spans="1:8" x14ac:dyDescent="0.2">
      <c r="A93" s="26"/>
      <c r="B93" s="26"/>
      <c r="C93" s="25"/>
      <c r="D93" s="25"/>
      <c r="E93" s="25"/>
      <c r="F93" s="23" t="str">
        <f t="shared" si="3"/>
        <v/>
      </c>
      <c r="G93" s="23" t="str">
        <f t="shared" si="4"/>
        <v/>
      </c>
      <c r="H93" s="23" t="str">
        <f t="shared" si="5"/>
        <v/>
      </c>
    </row>
    <row r="94" spans="1:8" x14ac:dyDescent="0.2">
      <c r="A94" s="26"/>
      <c r="B94" s="26"/>
      <c r="C94" s="25"/>
      <c r="D94" s="25"/>
      <c r="E94" s="25"/>
      <c r="F94" s="23" t="str">
        <f t="shared" si="3"/>
        <v/>
      </c>
      <c r="G94" s="23" t="str">
        <f t="shared" si="4"/>
        <v/>
      </c>
      <c r="H94" s="23" t="str">
        <f t="shared" si="5"/>
        <v/>
      </c>
    </row>
    <row r="95" spans="1:8" x14ac:dyDescent="0.2">
      <c r="A95" s="26"/>
      <c r="B95" s="26"/>
      <c r="C95" s="25"/>
      <c r="D95" s="25"/>
      <c r="E95" s="25"/>
      <c r="F95" s="23" t="str">
        <f t="shared" si="3"/>
        <v/>
      </c>
      <c r="G95" s="23" t="str">
        <f t="shared" si="4"/>
        <v/>
      </c>
      <c r="H95" s="23" t="str">
        <f t="shared" si="5"/>
        <v/>
      </c>
    </row>
    <row r="96" spans="1:8" x14ac:dyDescent="0.2">
      <c r="A96" s="26"/>
      <c r="B96" s="26"/>
      <c r="C96" s="25"/>
      <c r="D96" s="25"/>
      <c r="E96" s="25"/>
      <c r="F96" s="23" t="str">
        <f t="shared" si="3"/>
        <v/>
      </c>
      <c r="G96" s="23" t="str">
        <f t="shared" si="4"/>
        <v/>
      </c>
      <c r="H96" s="23" t="str">
        <f t="shared" si="5"/>
        <v/>
      </c>
    </row>
    <row r="97" spans="1:8" x14ac:dyDescent="0.2">
      <c r="A97" s="26"/>
      <c r="B97" s="26"/>
      <c r="C97" s="25"/>
      <c r="D97" s="25"/>
      <c r="E97" s="25"/>
      <c r="F97" s="23" t="str">
        <f t="shared" si="3"/>
        <v/>
      </c>
      <c r="G97" s="23" t="str">
        <f t="shared" si="4"/>
        <v/>
      </c>
      <c r="H97" s="23" t="str">
        <f t="shared" si="5"/>
        <v/>
      </c>
    </row>
    <row r="98" spans="1:8" x14ac:dyDescent="0.2">
      <c r="A98" s="26"/>
      <c r="B98" s="26"/>
      <c r="C98" s="25"/>
      <c r="D98" s="25"/>
      <c r="E98" s="25"/>
      <c r="F98" s="23" t="str">
        <f t="shared" si="3"/>
        <v/>
      </c>
      <c r="G98" s="23" t="str">
        <f t="shared" si="4"/>
        <v/>
      </c>
      <c r="H98" s="23" t="str">
        <f t="shared" si="5"/>
        <v/>
      </c>
    </row>
    <row r="99" spans="1:8" x14ac:dyDescent="0.2">
      <c r="A99" s="26"/>
      <c r="B99" s="26"/>
      <c r="C99" s="25"/>
      <c r="D99" s="25"/>
      <c r="E99" s="25"/>
      <c r="F99" s="23" t="str">
        <f t="shared" si="3"/>
        <v/>
      </c>
      <c r="G99" s="23" t="str">
        <f t="shared" si="4"/>
        <v/>
      </c>
      <c r="H99" s="23" t="str">
        <f t="shared" si="5"/>
        <v/>
      </c>
    </row>
    <row r="100" spans="1:8" x14ac:dyDescent="0.2">
      <c r="A100" s="26"/>
      <c r="B100" s="26"/>
      <c r="C100" s="25"/>
      <c r="D100" s="25"/>
      <c r="E100" s="25"/>
      <c r="F100" s="23" t="str">
        <f t="shared" si="3"/>
        <v/>
      </c>
      <c r="G100" s="23" t="str">
        <f t="shared" si="4"/>
        <v/>
      </c>
      <c r="H100" s="23" t="str">
        <f t="shared" si="5"/>
        <v/>
      </c>
    </row>
    <row r="101" spans="1:8" x14ac:dyDescent="0.2">
      <c r="A101" s="26"/>
      <c r="B101" s="26"/>
      <c r="C101" s="25"/>
      <c r="D101" s="25"/>
      <c r="E101" s="25"/>
      <c r="F101" s="23" t="str">
        <f t="shared" si="3"/>
        <v/>
      </c>
      <c r="G101" s="23" t="str">
        <f t="shared" si="4"/>
        <v/>
      </c>
      <c r="H101" s="23" t="str">
        <f t="shared" si="5"/>
        <v/>
      </c>
    </row>
    <row r="102" spans="1:8" x14ac:dyDescent="0.2">
      <c r="A102" s="26"/>
      <c r="B102" s="26"/>
      <c r="C102" s="25"/>
      <c r="D102" s="25"/>
      <c r="E102" s="25"/>
      <c r="F102" s="23" t="str">
        <f t="shared" si="3"/>
        <v/>
      </c>
      <c r="G102" s="23" t="str">
        <f t="shared" si="4"/>
        <v/>
      </c>
      <c r="H102" s="23" t="str">
        <f t="shared" si="5"/>
        <v/>
      </c>
    </row>
    <row r="103" spans="1:8" x14ac:dyDescent="0.2">
      <c r="A103" s="26"/>
      <c r="B103" s="26"/>
      <c r="C103" s="25"/>
      <c r="D103" s="25"/>
      <c r="E103" s="25"/>
      <c r="F103" s="23" t="str">
        <f t="shared" si="3"/>
        <v/>
      </c>
      <c r="G103" s="23" t="str">
        <f t="shared" si="4"/>
        <v/>
      </c>
      <c r="H103" s="23" t="str">
        <f t="shared" si="5"/>
        <v/>
      </c>
    </row>
    <row r="104" spans="1:8" x14ac:dyDescent="0.2">
      <c r="A104" s="26"/>
      <c r="B104" s="26"/>
      <c r="C104" s="25"/>
      <c r="D104" s="25"/>
      <c r="E104" s="25"/>
      <c r="F104" s="23" t="str">
        <f t="shared" si="3"/>
        <v/>
      </c>
      <c r="G104" s="23" t="str">
        <f t="shared" si="4"/>
        <v/>
      </c>
      <c r="H104" s="23" t="str">
        <f t="shared" si="5"/>
        <v/>
      </c>
    </row>
    <row r="105" spans="1:8" x14ac:dyDescent="0.2">
      <c r="A105" s="26"/>
      <c r="B105" s="26"/>
      <c r="C105" s="25"/>
      <c r="D105" s="25"/>
      <c r="E105" s="25"/>
      <c r="F105" s="23" t="str">
        <f t="shared" si="3"/>
        <v/>
      </c>
      <c r="G105" s="23" t="str">
        <f t="shared" si="4"/>
        <v/>
      </c>
      <c r="H105" s="23" t="str">
        <f t="shared" si="5"/>
        <v/>
      </c>
    </row>
    <row r="106" spans="1:8" x14ac:dyDescent="0.2">
      <c r="A106" s="26"/>
      <c r="B106" s="26"/>
      <c r="C106" s="25"/>
      <c r="D106" s="25"/>
      <c r="E106" s="25"/>
      <c r="F106" s="23" t="str">
        <f t="shared" si="3"/>
        <v/>
      </c>
      <c r="G106" s="23" t="str">
        <f t="shared" si="4"/>
        <v/>
      </c>
      <c r="H106" s="23" t="str">
        <f t="shared" si="5"/>
        <v/>
      </c>
    </row>
    <row r="107" spans="1:8" x14ac:dyDescent="0.2">
      <c r="A107" s="26"/>
      <c r="B107" s="26"/>
      <c r="C107" s="25"/>
      <c r="D107" s="25"/>
      <c r="E107" s="25"/>
      <c r="F107" s="23" t="str">
        <f t="shared" si="3"/>
        <v/>
      </c>
      <c r="G107" s="23" t="str">
        <f t="shared" si="4"/>
        <v/>
      </c>
      <c r="H107" s="23" t="str">
        <f t="shared" si="5"/>
        <v/>
      </c>
    </row>
    <row r="108" spans="1:8" x14ac:dyDescent="0.2">
      <c r="A108" s="26"/>
      <c r="B108" s="26"/>
      <c r="C108" s="25"/>
      <c r="D108" s="25"/>
      <c r="E108" s="25"/>
      <c r="F108" s="23" t="str">
        <f t="shared" si="3"/>
        <v/>
      </c>
      <c r="G108" s="23" t="str">
        <f t="shared" si="4"/>
        <v/>
      </c>
      <c r="H108" s="23" t="str">
        <f t="shared" si="5"/>
        <v/>
      </c>
    </row>
    <row r="109" spans="1:8" x14ac:dyDescent="0.2">
      <c r="A109" s="26"/>
      <c r="B109" s="26"/>
      <c r="C109" s="25"/>
      <c r="D109" s="25"/>
      <c r="E109" s="25"/>
      <c r="F109" s="23" t="str">
        <f t="shared" si="3"/>
        <v/>
      </c>
      <c r="G109" s="23" t="str">
        <f t="shared" si="4"/>
        <v/>
      </c>
      <c r="H109" s="23" t="str">
        <f t="shared" si="5"/>
        <v/>
      </c>
    </row>
    <row r="110" spans="1:8" x14ac:dyDescent="0.2">
      <c r="A110" s="26"/>
      <c r="B110" s="26"/>
      <c r="C110" s="25"/>
      <c r="D110" s="25"/>
      <c r="E110" s="25"/>
      <c r="F110" s="23" t="str">
        <f t="shared" si="3"/>
        <v/>
      </c>
      <c r="G110" s="23" t="str">
        <f t="shared" si="4"/>
        <v/>
      </c>
      <c r="H110" s="23" t="str">
        <f t="shared" si="5"/>
        <v/>
      </c>
    </row>
    <row r="111" spans="1:8" x14ac:dyDescent="0.2">
      <c r="A111" s="26"/>
      <c r="B111" s="26"/>
      <c r="C111" s="25"/>
      <c r="D111" s="25"/>
      <c r="E111" s="25"/>
      <c r="F111" s="23" t="str">
        <f t="shared" si="3"/>
        <v/>
      </c>
      <c r="G111" s="23" t="str">
        <f t="shared" si="4"/>
        <v/>
      </c>
      <c r="H111" s="23" t="str">
        <f t="shared" si="5"/>
        <v/>
      </c>
    </row>
    <row r="112" spans="1:8" x14ac:dyDescent="0.2">
      <c r="A112" s="26"/>
      <c r="B112" s="26"/>
      <c r="C112" s="25"/>
      <c r="D112" s="25"/>
      <c r="E112" s="25"/>
      <c r="F112" s="23" t="str">
        <f t="shared" si="3"/>
        <v/>
      </c>
      <c r="G112" s="23" t="str">
        <f t="shared" si="4"/>
        <v/>
      </c>
      <c r="H112" s="23" t="str">
        <f t="shared" si="5"/>
        <v/>
      </c>
    </row>
    <row r="113" spans="1:8" x14ac:dyDescent="0.2">
      <c r="A113" s="26"/>
      <c r="B113" s="26"/>
      <c r="C113" s="25"/>
      <c r="D113" s="25"/>
      <c r="E113" s="25"/>
      <c r="F113" s="23" t="str">
        <f t="shared" si="3"/>
        <v/>
      </c>
      <c r="G113" s="23" t="str">
        <f t="shared" si="4"/>
        <v/>
      </c>
      <c r="H113" s="23" t="str">
        <f t="shared" si="5"/>
        <v/>
      </c>
    </row>
    <row r="114" spans="1:8" x14ac:dyDescent="0.2">
      <c r="A114" s="26"/>
      <c r="B114" s="26"/>
      <c r="C114" s="25"/>
      <c r="D114" s="25"/>
      <c r="E114" s="25"/>
      <c r="F114" s="23" t="str">
        <f t="shared" si="3"/>
        <v/>
      </c>
      <c r="G114" s="23" t="str">
        <f t="shared" si="4"/>
        <v/>
      </c>
      <c r="H114" s="23" t="str">
        <f t="shared" si="5"/>
        <v/>
      </c>
    </row>
    <row r="115" spans="1:8" x14ac:dyDescent="0.2">
      <c r="A115" s="26"/>
      <c r="B115" s="26"/>
      <c r="C115" s="25"/>
      <c r="D115" s="25"/>
      <c r="E115" s="25"/>
      <c r="F115" s="23" t="str">
        <f t="shared" si="3"/>
        <v/>
      </c>
      <c r="G115" s="23" t="str">
        <f t="shared" si="4"/>
        <v/>
      </c>
      <c r="H115" s="23" t="str">
        <f t="shared" si="5"/>
        <v/>
      </c>
    </row>
    <row r="116" spans="1:8" x14ac:dyDescent="0.2">
      <c r="A116" s="26"/>
      <c r="B116" s="26"/>
      <c r="C116" s="25"/>
      <c r="D116" s="25"/>
      <c r="E116" s="25"/>
      <c r="F116" s="23" t="str">
        <f t="shared" si="3"/>
        <v/>
      </c>
      <c r="G116" s="23" t="str">
        <f t="shared" si="4"/>
        <v/>
      </c>
      <c r="H116" s="23" t="str">
        <f t="shared" si="5"/>
        <v/>
      </c>
    </row>
    <row r="117" spans="1:8" x14ac:dyDescent="0.2">
      <c r="A117" s="26"/>
      <c r="B117" s="26"/>
      <c r="C117" s="25"/>
      <c r="D117" s="25"/>
      <c r="E117" s="25"/>
      <c r="F117" s="23" t="str">
        <f t="shared" si="3"/>
        <v/>
      </c>
      <c r="G117" s="23" t="str">
        <f t="shared" si="4"/>
        <v/>
      </c>
      <c r="H117" s="23" t="str">
        <f t="shared" si="5"/>
        <v/>
      </c>
    </row>
    <row r="118" spans="1:8" x14ac:dyDescent="0.2">
      <c r="A118" s="26"/>
      <c r="B118" s="26"/>
      <c r="C118" s="25"/>
      <c r="D118" s="25"/>
      <c r="E118" s="25"/>
      <c r="F118" s="23" t="str">
        <f t="shared" si="3"/>
        <v/>
      </c>
      <c r="G118" s="23" t="str">
        <f t="shared" si="4"/>
        <v/>
      </c>
      <c r="H118" s="23" t="str">
        <f t="shared" si="5"/>
        <v/>
      </c>
    </row>
    <row r="119" spans="1:8" x14ac:dyDescent="0.2">
      <c r="A119" s="26"/>
      <c r="B119" s="26"/>
      <c r="C119" s="25"/>
      <c r="D119" s="25"/>
      <c r="E119" s="25"/>
      <c r="F119" s="23" t="str">
        <f t="shared" si="3"/>
        <v/>
      </c>
      <c r="G119" s="23" t="str">
        <f t="shared" si="4"/>
        <v/>
      </c>
      <c r="H119" s="23" t="str">
        <f t="shared" si="5"/>
        <v/>
      </c>
    </row>
    <row r="120" spans="1:8" x14ac:dyDescent="0.2">
      <c r="A120" s="26"/>
      <c r="B120" s="26"/>
      <c r="C120" s="25"/>
      <c r="D120" s="25"/>
      <c r="E120" s="25"/>
      <c r="F120" s="23" t="str">
        <f t="shared" si="3"/>
        <v/>
      </c>
      <c r="G120" s="23" t="str">
        <f t="shared" si="4"/>
        <v/>
      </c>
      <c r="H120" s="23" t="str">
        <f t="shared" si="5"/>
        <v/>
      </c>
    </row>
    <row r="121" spans="1:8" x14ac:dyDescent="0.2">
      <c r="A121" s="26"/>
      <c r="B121" s="26"/>
      <c r="C121" s="25"/>
      <c r="D121" s="25"/>
      <c r="E121" s="25"/>
      <c r="F121" s="23" t="str">
        <f t="shared" si="3"/>
        <v/>
      </c>
      <c r="G121" s="23" t="str">
        <f t="shared" si="4"/>
        <v/>
      </c>
      <c r="H121" s="23" t="str">
        <f t="shared" si="5"/>
        <v/>
      </c>
    </row>
    <row r="122" spans="1:8" x14ac:dyDescent="0.2">
      <c r="A122" s="26"/>
      <c r="B122" s="26"/>
      <c r="C122" s="25"/>
      <c r="D122" s="25"/>
      <c r="E122" s="25"/>
      <c r="F122" s="23" t="str">
        <f t="shared" si="3"/>
        <v/>
      </c>
      <c r="G122" s="23" t="str">
        <f t="shared" si="4"/>
        <v/>
      </c>
      <c r="H122" s="23" t="str">
        <f t="shared" si="5"/>
        <v/>
      </c>
    </row>
    <row r="123" spans="1:8" x14ac:dyDescent="0.2">
      <c r="A123" s="26"/>
      <c r="B123" s="26"/>
      <c r="C123" s="25"/>
      <c r="D123" s="25"/>
      <c r="E123" s="25"/>
      <c r="F123" s="23" t="str">
        <f t="shared" si="3"/>
        <v/>
      </c>
      <c r="G123" s="23" t="str">
        <f t="shared" si="4"/>
        <v/>
      </c>
      <c r="H123" s="23" t="str">
        <f t="shared" si="5"/>
        <v/>
      </c>
    </row>
    <row r="124" spans="1:8" x14ac:dyDescent="0.2">
      <c r="A124" s="26"/>
      <c r="B124" s="26"/>
      <c r="C124" s="25"/>
      <c r="D124" s="25"/>
      <c r="E124" s="25"/>
      <c r="F124" s="23" t="str">
        <f t="shared" si="3"/>
        <v/>
      </c>
      <c r="G124" s="23" t="str">
        <f t="shared" si="4"/>
        <v/>
      </c>
      <c r="H124" s="23" t="str">
        <f t="shared" si="5"/>
        <v/>
      </c>
    </row>
    <row r="125" spans="1:8" x14ac:dyDescent="0.2">
      <c r="A125" s="26"/>
      <c r="B125" s="26"/>
      <c r="C125" s="25"/>
      <c r="D125" s="25"/>
      <c r="E125" s="25"/>
      <c r="F125" s="23" t="str">
        <f t="shared" si="3"/>
        <v/>
      </c>
      <c r="G125" s="23" t="str">
        <f t="shared" si="4"/>
        <v/>
      </c>
      <c r="H125" s="23" t="str">
        <f t="shared" si="5"/>
        <v/>
      </c>
    </row>
    <row r="126" spans="1:8" x14ac:dyDescent="0.2">
      <c r="A126" s="26"/>
      <c r="B126" s="26"/>
      <c r="C126" s="25"/>
      <c r="D126" s="25"/>
      <c r="E126" s="25"/>
      <c r="F126" s="23" t="str">
        <f t="shared" si="3"/>
        <v/>
      </c>
      <c r="G126" s="23" t="str">
        <f t="shared" si="4"/>
        <v/>
      </c>
      <c r="H126" s="23" t="str">
        <f t="shared" si="5"/>
        <v/>
      </c>
    </row>
    <row r="127" spans="1:8" x14ac:dyDescent="0.2">
      <c r="A127" s="26"/>
      <c r="B127" s="26"/>
      <c r="C127" s="25"/>
      <c r="D127" s="25"/>
      <c r="E127" s="25"/>
      <c r="F127" s="23" t="str">
        <f t="shared" si="3"/>
        <v/>
      </c>
      <c r="G127" s="23" t="str">
        <f t="shared" si="4"/>
        <v/>
      </c>
      <c r="H127" s="23" t="str">
        <f t="shared" si="5"/>
        <v/>
      </c>
    </row>
    <row r="128" spans="1:8" x14ac:dyDescent="0.2">
      <c r="A128" s="26"/>
      <c r="B128" s="26"/>
      <c r="C128" s="25"/>
      <c r="D128" s="25"/>
      <c r="E128" s="25"/>
      <c r="F128" s="23" t="str">
        <f t="shared" si="3"/>
        <v/>
      </c>
      <c r="G128" s="23" t="str">
        <f t="shared" si="4"/>
        <v/>
      </c>
      <c r="H128" s="23" t="str">
        <f t="shared" si="5"/>
        <v/>
      </c>
    </row>
    <row r="129" spans="1:8" x14ac:dyDescent="0.2">
      <c r="A129" s="26"/>
      <c r="B129" s="26"/>
      <c r="C129" s="25"/>
      <c r="D129" s="25"/>
      <c r="E129" s="25"/>
      <c r="F129" s="23" t="str">
        <f t="shared" si="3"/>
        <v/>
      </c>
      <c r="G129" s="23" t="str">
        <f t="shared" si="4"/>
        <v/>
      </c>
      <c r="H129" s="23" t="str">
        <f t="shared" si="5"/>
        <v/>
      </c>
    </row>
    <row r="130" spans="1:8" x14ac:dyDescent="0.2">
      <c r="A130" s="26"/>
      <c r="B130" s="26"/>
      <c r="C130" s="25"/>
      <c r="D130" s="25"/>
      <c r="E130" s="25"/>
      <c r="F130" s="23" t="str">
        <f t="shared" si="3"/>
        <v/>
      </c>
      <c r="G130" s="23" t="str">
        <f t="shared" si="4"/>
        <v/>
      </c>
      <c r="H130" s="23" t="str">
        <f t="shared" si="5"/>
        <v/>
      </c>
    </row>
    <row r="131" spans="1:8" x14ac:dyDescent="0.2">
      <c r="A131" s="26"/>
      <c r="B131" s="26"/>
      <c r="C131" s="25"/>
      <c r="D131" s="25"/>
      <c r="E131" s="25"/>
      <c r="F131" s="23" t="str">
        <f t="shared" si="3"/>
        <v/>
      </c>
      <c r="G131" s="23" t="str">
        <f t="shared" si="4"/>
        <v/>
      </c>
      <c r="H131" s="23" t="str">
        <f t="shared" si="5"/>
        <v/>
      </c>
    </row>
    <row r="132" spans="1:8" x14ac:dyDescent="0.2">
      <c r="A132" s="26"/>
      <c r="B132" s="26"/>
      <c r="C132" s="25"/>
      <c r="D132" s="25"/>
      <c r="E132" s="25"/>
      <c r="F132" s="23" t="str">
        <f t="shared" ref="F132:F195" si="6">IF(C132&lt;&gt;"",($J$23*C132+$K$23*D132+$L$23*E132)+$K$7,"")</f>
        <v/>
      </c>
      <c r="G132" s="23" t="str">
        <f t="shared" ref="G132:G195" si="7">IF(D132&lt;&gt;"",($J$24*C132+$K$24*D132+$L$24*E132)+$K$8,"")</f>
        <v/>
      </c>
      <c r="H132" s="23" t="str">
        <f t="shared" ref="H132:H195" si="8">IF(E132&lt;&gt;"",($J$25*C132+$K$25*D132+$L$25*E132)+$K$9,"")</f>
        <v/>
      </c>
    </row>
    <row r="133" spans="1:8" x14ac:dyDescent="0.2">
      <c r="A133" s="26"/>
      <c r="B133" s="26"/>
      <c r="C133" s="25"/>
      <c r="D133" s="25"/>
      <c r="E133" s="25"/>
      <c r="F133" s="23" t="str">
        <f t="shared" si="6"/>
        <v/>
      </c>
      <c r="G133" s="23" t="str">
        <f t="shared" si="7"/>
        <v/>
      </c>
      <c r="H133" s="23" t="str">
        <f t="shared" si="8"/>
        <v/>
      </c>
    </row>
    <row r="134" spans="1:8" x14ac:dyDescent="0.2">
      <c r="A134" s="26"/>
      <c r="B134" s="26"/>
      <c r="C134" s="25"/>
      <c r="D134" s="25"/>
      <c r="E134" s="25"/>
      <c r="F134" s="23" t="str">
        <f t="shared" si="6"/>
        <v/>
      </c>
      <c r="G134" s="23" t="str">
        <f t="shared" si="7"/>
        <v/>
      </c>
      <c r="H134" s="23" t="str">
        <f t="shared" si="8"/>
        <v/>
      </c>
    </row>
    <row r="135" spans="1:8" x14ac:dyDescent="0.2">
      <c r="A135" s="26"/>
      <c r="B135" s="26"/>
      <c r="C135" s="25"/>
      <c r="D135" s="25"/>
      <c r="E135" s="25"/>
      <c r="F135" s="23" t="str">
        <f t="shared" si="6"/>
        <v/>
      </c>
      <c r="G135" s="23" t="str">
        <f t="shared" si="7"/>
        <v/>
      </c>
      <c r="H135" s="23" t="str">
        <f t="shared" si="8"/>
        <v/>
      </c>
    </row>
    <row r="136" spans="1:8" x14ac:dyDescent="0.2">
      <c r="A136" s="26"/>
      <c r="B136" s="26"/>
      <c r="C136" s="25"/>
      <c r="D136" s="25"/>
      <c r="E136" s="25"/>
      <c r="F136" s="23" t="str">
        <f t="shared" si="6"/>
        <v/>
      </c>
      <c r="G136" s="23" t="str">
        <f t="shared" si="7"/>
        <v/>
      </c>
      <c r="H136" s="23" t="str">
        <f t="shared" si="8"/>
        <v/>
      </c>
    </row>
    <row r="137" spans="1:8" x14ac:dyDescent="0.2">
      <c r="A137" s="26"/>
      <c r="B137" s="26"/>
      <c r="C137" s="25"/>
      <c r="D137" s="25"/>
      <c r="E137" s="25"/>
      <c r="F137" s="23" t="str">
        <f t="shared" si="6"/>
        <v/>
      </c>
      <c r="G137" s="23" t="str">
        <f t="shared" si="7"/>
        <v/>
      </c>
      <c r="H137" s="23" t="str">
        <f t="shared" si="8"/>
        <v/>
      </c>
    </row>
    <row r="138" spans="1:8" x14ac:dyDescent="0.2">
      <c r="A138" s="26"/>
      <c r="B138" s="26"/>
      <c r="C138" s="25"/>
      <c r="D138" s="25"/>
      <c r="E138" s="25"/>
      <c r="F138" s="23" t="str">
        <f t="shared" si="6"/>
        <v/>
      </c>
      <c r="G138" s="23" t="str">
        <f t="shared" si="7"/>
        <v/>
      </c>
      <c r="H138" s="23" t="str">
        <f t="shared" si="8"/>
        <v/>
      </c>
    </row>
    <row r="139" spans="1:8" x14ac:dyDescent="0.2">
      <c r="A139" s="26"/>
      <c r="B139" s="26"/>
      <c r="C139" s="25"/>
      <c r="D139" s="25"/>
      <c r="E139" s="25"/>
      <c r="F139" s="23" t="str">
        <f t="shared" si="6"/>
        <v/>
      </c>
      <c r="G139" s="23" t="str">
        <f t="shared" si="7"/>
        <v/>
      </c>
      <c r="H139" s="23" t="str">
        <f t="shared" si="8"/>
        <v/>
      </c>
    </row>
    <row r="140" spans="1:8" x14ac:dyDescent="0.2">
      <c r="A140" s="26"/>
      <c r="B140" s="26"/>
      <c r="C140" s="25"/>
      <c r="D140" s="25"/>
      <c r="E140" s="25"/>
      <c r="F140" s="23" t="str">
        <f t="shared" si="6"/>
        <v/>
      </c>
      <c r="G140" s="23" t="str">
        <f t="shared" si="7"/>
        <v/>
      </c>
      <c r="H140" s="23" t="str">
        <f t="shared" si="8"/>
        <v/>
      </c>
    </row>
    <row r="141" spans="1:8" x14ac:dyDescent="0.2">
      <c r="A141" s="26"/>
      <c r="B141" s="26"/>
      <c r="C141" s="25"/>
      <c r="D141" s="25"/>
      <c r="E141" s="25"/>
      <c r="F141" s="23" t="str">
        <f t="shared" si="6"/>
        <v/>
      </c>
      <c r="G141" s="23" t="str">
        <f t="shared" si="7"/>
        <v/>
      </c>
      <c r="H141" s="23" t="str">
        <f t="shared" si="8"/>
        <v/>
      </c>
    </row>
    <row r="142" spans="1:8" x14ac:dyDescent="0.2">
      <c r="A142" s="26"/>
      <c r="B142" s="26"/>
      <c r="C142" s="25"/>
      <c r="D142" s="25"/>
      <c r="E142" s="25"/>
      <c r="F142" s="23" t="str">
        <f t="shared" si="6"/>
        <v/>
      </c>
      <c r="G142" s="23" t="str">
        <f t="shared" si="7"/>
        <v/>
      </c>
      <c r="H142" s="23" t="str">
        <f t="shared" si="8"/>
        <v/>
      </c>
    </row>
    <row r="143" spans="1:8" x14ac:dyDescent="0.2">
      <c r="A143" s="26"/>
      <c r="B143" s="26"/>
      <c r="C143" s="25"/>
      <c r="D143" s="25"/>
      <c r="E143" s="25"/>
      <c r="F143" s="23" t="str">
        <f t="shared" si="6"/>
        <v/>
      </c>
      <c r="G143" s="23" t="str">
        <f t="shared" si="7"/>
        <v/>
      </c>
      <c r="H143" s="23" t="str">
        <f t="shared" si="8"/>
        <v/>
      </c>
    </row>
    <row r="144" spans="1:8" x14ac:dyDescent="0.2">
      <c r="A144" s="26"/>
      <c r="B144" s="26"/>
      <c r="C144" s="25"/>
      <c r="D144" s="25"/>
      <c r="E144" s="25"/>
      <c r="F144" s="23" t="str">
        <f t="shared" si="6"/>
        <v/>
      </c>
      <c r="G144" s="23" t="str">
        <f t="shared" si="7"/>
        <v/>
      </c>
      <c r="H144" s="23" t="str">
        <f t="shared" si="8"/>
        <v/>
      </c>
    </row>
    <row r="145" spans="1:8" x14ac:dyDescent="0.2">
      <c r="A145" s="26"/>
      <c r="B145" s="26"/>
      <c r="C145" s="25"/>
      <c r="D145" s="25"/>
      <c r="E145" s="25"/>
      <c r="F145" s="23" t="str">
        <f t="shared" si="6"/>
        <v/>
      </c>
      <c r="G145" s="23" t="str">
        <f t="shared" si="7"/>
        <v/>
      </c>
      <c r="H145" s="23" t="str">
        <f t="shared" si="8"/>
        <v/>
      </c>
    </row>
    <row r="146" spans="1:8" x14ac:dyDescent="0.2">
      <c r="A146" s="26"/>
      <c r="B146" s="26"/>
      <c r="C146" s="25"/>
      <c r="D146" s="25"/>
      <c r="E146" s="25"/>
      <c r="F146" s="23" t="str">
        <f t="shared" si="6"/>
        <v/>
      </c>
      <c r="G146" s="23" t="str">
        <f t="shared" si="7"/>
        <v/>
      </c>
      <c r="H146" s="23" t="str">
        <f t="shared" si="8"/>
        <v/>
      </c>
    </row>
    <row r="147" spans="1:8" x14ac:dyDescent="0.2">
      <c r="A147" s="26"/>
      <c r="B147" s="26"/>
      <c r="C147" s="25"/>
      <c r="D147" s="25"/>
      <c r="E147" s="25"/>
      <c r="F147" s="23" t="str">
        <f t="shared" si="6"/>
        <v/>
      </c>
      <c r="G147" s="23" t="str">
        <f t="shared" si="7"/>
        <v/>
      </c>
      <c r="H147" s="23" t="str">
        <f t="shared" si="8"/>
        <v/>
      </c>
    </row>
    <row r="148" spans="1:8" x14ac:dyDescent="0.2">
      <c r="A148" s="26"/>
      <c r="B148" s="26"/>
      <c r="C148" s="25"/>
      <c r="D148" s="25"/>
      <c r="E148" s="25"/>
      <c r="F148" s="23" t="str">
        <f t="shared" si="6"/>
        <v/>
      </c>
      <c r="G148" s="23" t="str">
        <f t="shared" si="7"/>
        <v/>
      </c>
      <c r="H148" s="23" t="str">
        <f t="shared" si="8"/>
        <v/>
      </c>
    </row>
    <row r="149" spans="1:8" x14ac:dyDescent="0.2">
      <c r="A149" s="26"/>
      <c r="B149" s="26"/>
      <c r="C149" s="25"/>
      <c r="D149" s="25"/>
      <c r="E149" s="25"/>
      <c r="F149" s="23" t="str">
        <f t="shared" si="6"/>
        <v/>
      </c>
      <c r="G149" s="23" t="str">
        <f t="shared" si="7"/>
        <v/>
      </c>
      <c r="H149" s="23" t="str">
        <f t="shared" si="8"/>
        <v/>
      </c>
    </row>
    <row r="150" spans="1:8" x14ac:dyDescent="0.2">
      <c r="A150" s="26"/>
      <c r="B150" s="26"/>
      <c r="C150" s="25"/>
      <c r="D150" s="25"/>
      <c r="E150" s="25"/>
      <c r="F150" s="23" t="str">
        <f t="shared" si="6"/>
        <v/>
      </c>
      <c r="G150" s="23" t="str">
        <f t="shared" si="7"/>
        <v/>
      </c>
      <c r="H150" s="23" t="str">
        <f t="shared" si="8"/>
        <v/>
      </c>
    </row>
    <row r="151" spans="1:8" x14ac:dyDescent="0.2">
      <c r="A151" s="26"/>
      <c r="B151" s="26"/>
      <c r="C151" s="25"/>
      <c r="D151" s="25"/>
      <c r="E151" s="25"/>
      <c r="F151" s="23" t="str">
        <f t="shared" si="6"/>
        <v/>
      </c>
      <c r="G151" s="23" t="str">
        <f t="shared" si="7"/>
        <v/>
      </c>
      <c r="H151" s="23" t="str">
        <f t="shared" si="8"/>
        <v/>
      </c>
    </row>
    <row r="152" spans="1:8" x14ac:dyDescent="0.2">
      <c r="A152" s="26"/>
      <c r="B152" s="26"/>
      <c r="C152" s="25"/>
      <c r="D152" s="25"/>
      <c r="E152" s="25"/>
      <c r="F152" s="23" t="str">
        <f t="shared" si="6"/>
        <v/>
      </c>
      <c r="G152" s="23" t="str">
        <f t="shared" si="7"/>
        <v/>
      </c>
      <c r="H152" s="23" t="str">
        <f t="shared" si="8"/>
        <v/>
      </c>
    </row>
    <row r="153" spans="1:8" x14ac:dyDescent="0.2">
      <c r="A153" s="26"/>
      <c r="B153" s="26"/>
      <c r="C153" s="25"/>
      <c r="D153" s="25"/>
      <c r="E153" s="25"/>
      <c r="F153" s="23" t="str">
        <f t="shared" si="6"/>
        <v/>
      </c>
      <c r="G153" s="23" t="str">
        <f t="shared" si="7"/>
        <v/>
      </c>
      <c r="H153" s="23" t="str">
        <f t="shared" si="8"/>
        <v/>
      </c>
    </row>
    <row r="154" spans="1:8" x14ac:dyDescent="0.2">
      <c r="A154" s="26"/>
      <c r="B154" s="26"/>
      <c r="C154" s="25"/>
      <c r="D154" s="25"/>
      <c r="E154" s="25"/>
      <c r="F154" s="23" t="str">
        <f t="shared" si="6"/>
        <v/>
      </c>
      <c r="G154" s="23" t="str">
        <f t="shared" si="7"/>
        <v/>
      </c>
      <c r="H154" s="23" t="str">
        <f t="shared" si="8"/>
        <v/>
      </c>
    </row>
    <row r="155" spans="1:8" x14ac:dyDescent="0.2">
      <c r="A155" s="26"/>
      <c r="B155" s="26"/>
      <c r="C155" s="25"/>
      <c r="D155" s="25"/>
      <c r="E155" s="25"/>
      <c r="F155" s="23" t="str">
        <f t="shared" si="6"/>
        <v/>
      </c>
      <c r="G155" s="23" t="str">
        <f t="shared" si="7"/>
        <v/>
      </c>
      <c r="H155" s="23" t="str">
        <f t="shared" si="8"/>
        <v/>
      </c>
    </row>
    <row r="156" spans="1:8" x14ac:dyDescent="0.2">
      <c r="A156" s="26"/>
      <c r="B156" s="26"/>
      <c r="C156" s="25"/>
      <c r="D156" s="25"/>
      <c r="E156" s="25"/>
      <c r="F156" s="23" t="str">
        <f t="shared" si="6"/>
        <v/>
      </c>
      <c r="G156" s="23" t="str">
        <f t="shared" si="7"/>
        <v/>
      </c>
      <c r="H156" s="23" t="str">
        <f t="shared" si="8"/>
        <v/>
      </c>
    </row>
    <row r="157" spans="1:8" x14ac:dyDescent="0.2">
      <c r="A157" s="26"/>
      <c r="B157" s="26"/>
      <c r="C157" s="25"/>
      <c r="D157" s="25"/>
      <c r="E157" s="25"/>
      <c r="F157" s="23" t="str">
        <f t="shared" si="6"/>
        <v/>
      </c>
      <c r="G157" s="23" t="str">
        <f t="shared" si="7"/>
        <v/>
      </c>
      <c r="H157" s="23" t="str">
        <f t="shared" si="8"/>
        <v/>
      </c>
    </row>
    <row r="158" spans="1:8" x14ac:dyDescent="0.2">
      <c r="A158" s="26"/>
      <c r="B158" s="26"/>
      <c r="C158" s="25"/>
      <c r="D158" s="25"/>
      <c r="E158" s="25"/>
      <c r="F158" s="23" t="str">
        <f t="shared" si="6"/>
        <v/>
      </c>
      <c r="G158" s="23" t="str">
        <f t="shared" si="7"/>
        <v/>
      </c>
      <c r="H158" s="23" t="str">
        <f t="shared" si="8"/>
        <v/>
      </c>
    </row>
    <row r="159" spans="1:8" x14ac:dyDescent="0.2">
      <c r="A159" s="26"/>
      <c r="B159" s="26"/>
      <c r="C159" s="25"/>
      <c r="D159" s="25"/>
      <c r="E159" s="25"/>
      <c r="F159" s="23" t="str">
        <f t="shared" si="6"/>
        <v/>
      </c>
      <c r="G159" s="23" t="str">
        <f t="shared" si="7"/>
        <v/>
      </c>
      <c r="H159" s="23" t="str">
        <f t="shared" si="8"/>
        <v/>
      </c>
    </row>
    <row r="160" spans="1:8" x14ac:dyDescent="0.2">
      <c r="A160" s="26"/>
      <c r="B160" s="26"/>
      <c r="C160" s="25"/>
      <c r="D160" s="25"/>
      <c r="E160" s="25"/>
      <c r="F160" s="23" t="str">
        <f t="shared" si="6"/>
        <v/>
      </c>
      <c r="G160" s="23" t="str">
        <f t="shared" si="7"/>
        <v/>
      </c>
      <c r="H160" s="23" t="str">
        <f t="shared" si="8"/>
        <v/>
      </c>
    </row>
    <row r="161" spans="1:8" x14ac:dyDescent="0.2">
      <c r="A161" s="26"/>
      <c r="B161" s="26"/>
      <c r="C161" s="25"/>
      <c r="D161" s="25"/>
      <c r="E161" s="25"/>
      <c r="F161" s="23" t="str">
        <f t="shared" si="6"/>
        <v/>
      </c>
      <c r="G161" s="23" t="str">
        <f t="shared" si="7"/>
        <v/>
      </c>
      <c r="H161" s="23" t="str">
        <f t="shared" si="8"/>
        <v/>
      </c>
    </row>
    <row r="162" spans="1:8" x14ac:dyDescent="0.2">
      <c r="A162" s="26"/>
      <c r="B162" s="26"/>
      <c r="C162" s="25"/>
      <c r="D162" s="25"/>
      <c r="E162" s="25"/>
      <c r="F162" s="23" t="str">
        <f t="shared" si="6"/>
        <v/>
      </c>
      <c r="G162" s="23" t="str">
        <f t="shared" si="7"/>
        <v/>
      </c>
      <c r="H162" s="23" t="str">
        <f t="shared" si="8"/>
        <v/>
      </c>
    </row>
    <row r="163" spans="1:8" x14ac:dyDescent="0.2">
      <c r="A163" s="26"/>
      <c r="B163" s="26"/>
      <c r="C163" s="25"/>
      <c r="D163" s="25"/>
      <c r="E163" s="25"/>
      <c r="F163" s="23" t="str">
        <f t="shared" si="6"/>
        <v/>
      </c>
      <c r="G163" s="23" t="str">
        <f t="shared" si="7"/>
        <v/>
      </c>
      <c r="H163" s="23" t="str">
        <f t="shared" si="8"/>
        <v/>
      </c>
    </row>
    <row r="164" spans="1:8" x14ac:dyDescent="0.2">
      <c r="A164" s="26"/>
      <c r="B164" s="26"/>
      <c r="C164" s="25"/>
      <c r="D164" s="25"/>
      <c r="E164" s="25"/>
      <c r="F164" s="23" t="str">
        <f t="shared" si="6"/>
        <v/>
      </c>
      <c r="G164" s="23" t="str">
        <f t="shared" si="7"/>
        <v/>
      </c>
      <c r="H164" s="23" t="str">
        <f t="shared" si="8"/>
        <v/>
      </c>
    </row>
    <row r="165" spans="1:8" x14ac:dyDescent="0.2">
      <c r="A165" s="26"/>
      <c r="B165" s="26"/>
      <c r="C165" s="25"/>
      <c r="D165" s="25"/>
      <c r="E165" s="25"/>
      <c r="F165" s="23" t="str">
        <f t="shared" si="6"/>
        <v/>
      </c>
      <c r="G165" s="23" t="str">
        <f t="shared" si="7"/>
        <v/>
      </c>
      <c r="H165" s="23" t="str">
        <f t="shared" si="8"/>
        <v/>
      </c>
    </row>
    <row r="166" spans="1:8" x14ac:dyDescent="0.2">
      <c r="A166" s="26"/>
      <c r="B166" s="26"/>
      <c r="C166" s="25"/>
      <c r="D166" s="25"/>
      <c r="E166" s="25"/>
      <c r="F166" s="23" t="str">
        <f t="shared" si="6"/>
        <v/>
      </c>
      <c r="G166" s="23" t="str">
        <f t="shared" si="7"/>
        <v/>
      </c>
      <c r="H166" s="23" t="str">
        <f t="shared" si="8"/>
        <v/>
      </c>
    </row>
    <row r="167" spans="1:8" x14ac:dyDescent="0.2">
      <c r="A167" s="26"/>
      <c r="B167" s="26"/>
      <c r="C167" s="25"/>
      <c r="D167" s="25"/>
      <c r="E167" s="25"/>
      <c r="F167" s="23" t="str">
        <f t="shared" si="6"/>
        <v/>
      </c>
      <c r="G167" s="23" t="str">
        <f t="shared" si="7"/>
        <v/>
      </c>
      <c r="H167" s="23" t="str">
        <f t="shared" si="8"/>
        <v/>
      </c>
    </row>
    <row r="168" spans="1:8" x14ac:dyDescent="0.2">
      <c r="A168" s="26"/>
      <c r="B168" s="26"/>
      <c r="C168" s="25"/>
      <c r="D168" s="25"/>
      <c r="E168" s="25"/>
      <c r="F168" s="23" t="str">
        <f t="shared" si="6"/>
        <v/>
      </c>
      <c r="G168" s="23" t="str">
        <f t="shared" si="7"/>
        <v/>
      </c>
      <c r="H168" s="23" t="str">
        <f t="shared" si="8"/>
        <v/>
      </c>
    </row>
    <row r="169" spans="1:8" x14ac:dyDescent="0.2">
      <c r="A169" s="26"/>
      <c r="B169" s="26"/>
      <c r="C169" s="25"/>
      <c r="D169" s="25"/>
      <c r="E169" s="25"/>
      <c r="F169" s="23" t="str">
        <f t="shared" si="6"/>
        <v/>
      </c>
      <c r="G169" s="23" t="str">
        <f t="shared" si="7"/>
        <v/>
      </c>
      <c r="H169" s="23" t="str">
        <f t="shared" si="8"/>
        <v/>
      </c>
    </row>
    <row r="170" spans="1:8" x14ac:dyDescent="0.2">
      <c r="A170" s="26"/>
      <c r="B170" s="26"/>
      <c r="C170" s="25"/>
      <c r="D170" s="25"/>
      <c r="E170" s="25"/>
      <c r="F170" s="23" t="str">
        <f t="shared" si="6"/>
        <v/>
      </c>
      <c r="G170" s="23" t="str">
        <f t="shared" si="7"/>
        <v/>
      </c>
      <c r="H170" s="23" t="str">
        <f t="shared" si="8"/>
        <v/>
      </c>
    </row>
    <row r="171" spans="1:8" x14ac:dyDescent="0.2">
      <c r="A171" s="26"/>
      <c r="B171" s="26"/>
      <c r="C171" s="25"/>
      <c r="D171" s="25"/>
      <c r="E171" s="25"/>
      <c r="F171" s="23" t="str">
        <f t="shared" si="6"/>
        <v/>
      </c>
      <c r="G171" s="23" t="str">
        <f t="shared" si="7"/>
        <v/>
      </c>
      <c r="H171" s="23" t="str">
        <f t="shared" si="8"/>
        <v/>
      </c>
    </row>
    <row r="172" spans="1:8" x14ac:dyDescent="0.2">
      <c r="A172" s="26"/>
      <c r="B172" s="26"/>
      <c r="C172" s="25"/>
      <c r="D172" s="25"/>
      <c r="E172" s="25"/>
      <c r="F172" s="23" t="str">
        <f t="shared" si="6"/>
        <v/>
      </c>
      <c r="G172" s="23" t="str">
        <f t="shared" si="7"/>
        <v/>
      </c>
      <c r="H172" s="23" t="str">
        <f t="shared" si="8"/>
        <v/>
      </c>
    </row>
    <row r="173" spans="1:8" x14ac:dyDescent="0.2">
      <c r="A173" s="26"/>
      <c r="B173" s="26"/>
      <c r="C173" s="25"/>
      <c r="D173" s="25"/>
      <c r="E173" s="25"/>
      <c r="F173" s="23" t="str">
        <f t="shared" si="6"/>
        <v/>
      </c>
      <c r="G173" s="23" t="str">
        <f t="shared" si="7"/>
        <v/>
      </c>
      <c r="H173" s="23" t="str">
        <f t="shared" si="8"/>
        <v/>
      </c>
    </row>
    <row r="174" spans="1:8" x14ac:dyDescent="0.2">
      <c r="A174" s="26"/>
      <c r="B174" s="26"/>
      <c r="C174" s="25"/>
      <c r="D174" s="25"/>
      <c r="E174" s="25"/>
      <c r="F174" s="23" t="str">
        <f t="shared" si="6"/>
        <v/>
      </c>
      <c r="G174" s="23" t="str">
        <f t="shared" si="7"/>
        <v/>
      </c>
      <c r="H174" s="23" t="str">
        <f t="shared" si="8"/>
        <v/>
      </c>
    </row>
    <row r="175" spans="1:8" x14ac:dyDescent="0.2">
      <c r="A175" s="26"/>
      <c r="B175" s="26"/>
      <c r="C175" s="25"/>
      <c r="D175" s="25"/>
      <c r="E175" s="25"/>
      <c r="F175" s="23" t="str">
        <f t="shared" si="6"/>
        <v/>
      </c>
      <c r="G175" s="23" t="str">
        <f t="shared" si="7"/>
        <v/>
      </c>
      <c r="H175" s="23" t="str">
        <f t="shared" si="8"/>
        <v/>
      </c>
    </row>
    <row r="176" spans="1:8" x14ac:dyDescent="0.2">
      <c r="A176" s="26"/>
      <c r="B176" s="26"/>
      <c r="C176" s="25"/>
      <c r="D176" s="25"/>
      <c r="E176" s="25"/>
      <c r="F176" s="23" t="str">
        <f t="shared" si="6"/>
        <v/>
      </c>
      <c r="G176" s="23" t="str">
        <f t="shared" si="7"/>
        <v/>
      </c>
      <c r="H176" s="23" t="str">
        <f t="shared" si="8"/>
        <v/>
      </c>
    </row>
    <row r="177" spans="1:8" x14ac:dyDescent="0.2">
      <c r="A177" s="26"/>
      <c r="B177" s="26"/>
      <c r="C177" s="25"/>
      <c r="D177" s="25"/>
      <c r="E177" s="25"/>
      <c r="F177" s="23" t="str">
        <f t="shared" si="6"/>
        <v/>
      </c>
      <c r="G177" s="23" t="str">
        <f t="shared" si="7"/>
        <v/>
      </c>
      <c r="H177" s="23" t="str">
        <f t="shared" si="8"/>
        <v/>
      </c>
    </row>
    <row r="178" spans="1:8" x14ac:dyDescent="0.2">
      <c r="A178" s="26"/>
      <c r="B178" s="26"/>
      <c r="C178" s="25"/>
      <c r="D178" s="25"/>
      <c r="E178" s="25"/>
      <c r="F178" s="23" t="str">
        <f t="shared" si="6"/>
        <v/>
      </c>
      <c r="G178" s="23" t="str">
        <f t="shared" si="7"/>
        <v/>
      </c>
      <c r="H178" s="23" t="str">
        <f t="shared" si="8"/>
        <v/>
      </c>
    </row>
    <row r="179" spans="1:8" x14ac:dyDescent="0.2">
      <c r="A179" s="26"/>
      <c r="B179" s="26"/>
      <c r="C179" s="25"/>
      <c r="D179" s="25"/>
      <c r="E179" s="25"/>
      <c r="F179" s="23" t="str">
        <f t="shared" si="6"/>
        <v/>
      </c>
      <c r="G179" s="23" t="str">
        <f t="shared" si="7"/>
        <v/>
      </c>
      <c r="H179" s="23" t="str">
        <f t="shared" si="8"/>
        <v/>
      </c>
    </row>
    <row r="180" spans="1:8" x14ac:dyDescent="0.2">
      <c r="A180" s="26"/>
      <c r="B180" s="26"/>
      <c r="C180" s="25"/>
      <c r="D180" s="25"/>
      <c r="E180" s="25"/>
      <c r="F180" s="23" t="str">
        <f t="shared" si="6"/>
        <v/>
      </c>
      <c r="G180" s="23" t="str">
        <f t="shared" si="7"/>
        <v/>
      </c>
      <c r="H180" s="23" t="str">
        <f t="shared" si="8"/>
        <v/>
      </c>
    </row>
    <row r="181" spans="1:8" x14ac:dyDescent="0.2">
      <c r="A181" s="26"/>
      <c r="B181" s="26"/>
      <c r="C181" s="25"/>
      <c r="D181" s="25"/>
      <c r="E181" s="25"/>
      <c r="F181" s="23" t="str">
        <f t="shared" si="6"/>
        <v/>
      </c>
      <c r="G181" s="23" t="str">
        <f t="shared" si="7"/>
        <v/>
      </c>
      <c r="H181" s="23" t="str">
        <f t="shared" si="8"/>
        <v/>
      </c>
    </row>
    <row r="182" spans="1:8" x14ac:dyDescent="0.2">
      <c r="A182" s="26"/>
      <c r="B182" s="26"/>
      <c r="C182" s="25"/>
      <c r="D182" s="25"/>
      <c r="E182" s="25"/>
      <c r="F182" s="23" t="str">
        <f t="shared" si="6"/>
        <v/>
      </c>
      <c r="G182" s="23" t="str">
        <f t="shared" si="7"/>
        <v/>
      </c>
      <c r="H182" s="23" t="str">
        <f t="shared" si="8"/>
        <v/>
      </c>
    </row>
    <row r="183" spans="1:8" x14ac:dyDescent="0.2">
      <c r="A183" s="26"/>
      <c r="B183" s="26"/>
      <c r="C183" s="25"/>
      <c r="D183" s="25"/>
      <c r="E183" s="25"/>
      <c r="F183" s="23" t="str">
        <f t="shared" si="6"/>
        <v/>
      </c>
      <c r="G183" s="23" t="str">
        <f t="shared" si="7"/>
        <v/>
      </c>
      <c r="H183" s="23" t="str">
        <f t="shared" si="8"/>
        <v/>
      </c>
    </row>
    <row r="184" spans="1:8" x14ac:dyDescent="0.2">
      <c r="A184" s="26"/>
      <c r="B184" s="26"/>
      <c r="C184" s="25"/>
      <c r="D184" s="25"/>
      <c r="E184" s="25"/>
      <c r="F184" s="23" t="str">
        <f t="shared" si="6"/>
        <v/>
      </c>
      <c r="G184" s="23" t="str">
        <f t="shared" si="7"/>
        <v/>
      </c>
      <c r="H184" s="23" t="str">
        <f t="shared" si="8"/>
        <v/>
      </c>
    </row>
    <row r="185" spans="1:8" x14ac:dyDescent="0.2">
      <c r="A185" s="26"/>
      <c r="B185" s="26"/>
      <c r="C185" s="25"/>
      <c r="D185" s="25"/>
      <c r="E185" s="25"/>
      <c r="F185" s="23" t="str">
        <f t="shared" si="6"/>
        <v/>
      </c>
      <c r="G185" s="23" t="str">
        <f t="shared" si="7"/>
        <v/>
      </c>
      <c r="H185" s="23" t="str">
        <f t="shared" si="8"/>
        <v/>
      </c>
    </row>
    <row r="186" spans="1:8" x14ac:dyDescent="0.2">
      <c r="A186" s="26"/>
      <c r="B186" s="26"/>
      <c r="C186" s="25"/>
      <c r="D186" s="25"/>
      <c r="E186" s="25"/>
      <c r="F186" s="23" t="str">
        <f t="shared" si="6"/>
        <v/>
      </c>
      <c r="G186" s="23" t="str">
        <f t="shared" si="7"/>
        <v/>
      </c>
      <c r="H186" s="23" t="str">
        <f t="shared" si="8"/>
        <v/>
      </c>
    </row>
    <row r="187" spans="1:8" x14ac:dyDescent="0.2">
      <c r="A187" s="26"/>
      <c r="B187" s="26"/>
      <c r="C187" s="25"/>
      <c r="D187" s="25"/>
      <c r="E187" s="25"/>
      <c r="F187" s="23" t="str">
        <f t="shared" si="6"/>
        <v/>
      </c>
      <c r="G187" s="23" t="str">
        <f t="shared" si="7"/>
        <v/>
      </c>
      <c r="H187" s="23" t="str">
        <f t="shared" si="8"/>
        <v/>
      </c>
    </row>
    <row r="188" spans="1:8" x14ac:dyDescent="0.2">
      <c r="A188" s="26"/>
      <c r="B188" s="26"/>
      <c r="C188" s="25"/>
      <c r="D188" s="25"/>
      <c r="E188" s="25"/>
      <c r="F188" s="23" t="str">
        <f t="shared" si="6"/>
        <v/>
      </c>
      <c r="G188" s="23" t="str">
        <f t="shared" si="7"/>
        <v/>
      </c>
      <c r="H188" s="23" t="str">
        <f t="shared" si="8"/>
        <v/>
      </c>
    </row>
    <row r="189" spans="1:8" x14ac:dyDescent="0.2">
      <c r="A189" s="26"/>
      <c r="B189" s="26"/>
      <c r="C189" s="25"/>
      <c r="D189" s="25"/>
      <c r="E189" s="25"/>
      <c r="F189" s="23" t="str">
        <f t="shared" si="6"/>
        <v/>
      </c>
      <c r="G189" s="23" t="str">
        <f t="shared" si="7"/>
        <v/>
      </c>
      <c r="H189" s="23" t="str">
        <f t="shared" si="8"/>
        <v/>
      </c>
    </row>
    <row r="190" spans="1:8" x14ac:dyDescent="0.2">
      <c r="A190" s="26"/>
      <c r="B190" s="26"/>
      <c r="C190" s="25"/>
      <c r="D190" s="25"/>
      <c r="E190" s="25"/>
      <c r="F190" s="23" t="str">
        <f t="shared" si="6"/>
        <v/>
      </c>
      <c r="G190" s="23" t="str">
        <f t="shared" si="7"/>
        <v/>
      </c>
      <c r="H190" s="23" t="str">
        <f t="shared" si="8"/>
        <v/>
      </c>
    </row>
    <row r="191" spans="1:8" x14ac:dyDescent="0.2">
      <c r="A191" s="26"/>
      <c r="B191" s="26"/>
      <c r="C191" s="25"/>
      <c r="D191" s="25"/>
      <c r="E191" s="25"/>
      <c r="F191" s="23" t="str">
        <f t="shared" si="6"/>
        <v/>
      </c>
      <c r="G191" s="23" t="str">
        <f t="shared" si="7"/>
        <v/>
      </c>
      <c r="H191" s="23" t="str">
        <f t="shared" si="8"/>
        <v/>
      </c>
    </row>
    <row r="192" spans="1:8" x14ac:dyDescent="0.2">
      <c r="A192" s="26"/>
      <c r="B192" s="26"/>
      <c r="C192" s="25"/>
      <c r="D192" s="25"/>
      <c r="E192" s="25"/>
      <c r="F192" s="23" t="str">
        <f t="shared" si="6"/>
        <v/>
      </c>
      <c r="G192" s="23" t="str">
        <f t="shared" si="7"/>
        <v/>
      </c>
      <c r="H192" s="23" t="str">
        <f t="shared" si="8"/>
        <v/>
      </c>
    </row>
    <row r="193" spans="1:8" x14ac:dyDescent="0.2">
      <c r="A193" s="26"/>
      <c r="B193" s="26"/>
      <c r="C193" s="25"/>
      <c r="D193" s="25"/>
      <c r="E193" s="25"/>
      <c r="F193" s="23" t="str">
        <f t="shared" si="6"/>
        <v/>
      </c>
      <c r="G193" s="23" t="str">
        <f t="shared" si="7"/>
        <v/>
      </c>
      <c r="H193" s="23" t="str">
        <f t="shared" si="8"/>
        <v/>
      </c>
    </row>
    <row r="194" spans="1:8" x14ac:dyDescent="0.2">
      <c r="A194" s="26"/>
      <c r="B194" s="26"/>
      <c r="C194" s="25"/>
      <c r="D194" s="25"/>
      <c r="E194" s="25"/>
      <c r="F194" s="23" t="str">
        <f t="shared" si="6"/>
        <v/>
      </c>
      <c r="G194" s="23" t="str">
        <f t="shared" si="7"/>
        <v/>
      </c>
      <c r="H194" s="23" t="str">
        <f t="shared" si="8"/>
        <v/>
      </c>
    </row>
    <row r="195" spans="1:8" x14ac:dyDescent="0.2">
      <c r="A195" s="26"/>
      <c r="B195" s="26"/>
      <c r="C195" s="25"/>
      <c r="D195" s="25"/>
      <c r="E195" s="25"/>
      <c r="F195" s="23" t="str">
        <f t="shared" si="6"/>
        <v/>
      </c>
      <c r="G195" s="23" t="str">
        <f t="shared" si="7"/>
        <v/>
      </c>
      <c r="H195" s="23" t="str">
        <f t="shared" si="8"/>
        <v/>
      </c>
    </row>
    <row r="196" spans="1:8" x14ac:dyDescent="0.2">
      <c r="A196" s="26"/>
      <c r="B196" s="26"/>
      <c r="C196" s="25"/>
      <c r="D196" s="25"/>
      <c r="E196" s="25"/>
      <c r="F196" s="23" t="str">
        <f t="shared" ref="F196:F259" si="9">IF(C196&lt;&gt;"",($J$23*C196+$K$23*D196+$L$23*E196)+$K$7,"")</f>
        <v/>
      </c>
      <c r="G196" s="23" t="str">
        <f t="shared" ref="G196:G259" si="10">IF(D196&lt;&gt;"",($J$24*C196+$K$24*D196+$L$24*E196)+$K$8,"")</f>
        <v/>
      </c>
      <c r="H196" s="23" t="str">
        <f t="shared" ref="H196:H259" si="11">IF(E196&lt;&gt;"",($J$25*C196+$K$25*D196+$L$25*E196)+$K$9,"")</f>
        <v/>
      </c>
    </row>
    <row r="197" spans="1:8" x14ac:dyDescent="0.2">
      <c r="A197" s="26"/>
      <c r="B197" s="26"/>
      <c r="C197" s="25"/>
      <c r="D197" s="25"/>
      <c r="E197" s="25"/>
      <c r="F197" s="23" t="str">
        <f t="shared" si="9"/>
        <v/>
      </c>
      <c r="G197" s="23" t="str">
        <f t="shared" si="10"/>
        <v/>
      </c>
      <c r="H197" s="23" t="str">
        <f t="shared" si="11"/>
        <v/>
      </c>
    </row>
    <row r="198" spans="1:8" x14ac:dyDescent="0.2">
      <c r="A198" s="26"/>
      <c r="B198" s="26"/>
      <c r="C198" s="25"/>
      <c r="D198" s="25"/>
      <c r="E198" s="25"/>
      <c r="F198" s="23" t="str">
        <f t="shared" si="9"/>
        <v/>
      </c>
      <c r="G198" s="23" t="str">
        <f t="shared" si="10"/>
        <v/>
      </c>
      <c r="H198" s="23" t="str">
        <f t="shared" si="11"/>
        <v/>
      </c>
    </row>
    <row r="199" spans="1:8" x14ac:dyDescent="0.2">
      <c r="A199" s="26"/>
      <c r="B199" s="26"/>
      <c r="C199" s="25"/>
      <c r="D199" s="25"/>
      <c r="E199" s="25"/>
      <c r="F199" s="23" t="str">
        <f t="shared" si="9"/>
        <v/>
      </c>
      <c r="G199" s="23" t="str">
        <f t="shared" si="10"/>
        <v/>
      </c>
      <c r="H199" s="23" t="str">
        <f t="shared" si="11"/>
        <v/>
      </c>
    </row>
    <row r="200" spans="1:8" x14ac:dyDescent="0.2">
      <c r="A200" s="26"/>
      <c r="B200" s="26"/>
      <c r="C200" s="25"/>
      <c r="D200" s="25"/>
      <c r="E200" s="25"/>
      <c r="F200" s="23" t="str">
        <f t="shared" si="9"/>
        <v/>
      </c>
      <c r="G200" s="23" t="str">
        <f t="shared" si="10"/>
        <v/>
      </c>
      <c r="H200" s="23" t="str">
        <f t="shared" si="11"/>
        <v/>
      </c>
    </row>
    <row r="201" spans="1:8" x14ac:dyDescent="0.2">
      <c r="A201" s="26"/>
      <c r="B201" s="26"/>
      <c r="C201" s="25"/>
      <c r="D201" s="25"/>
      <c r="E201" s="25"/>
      <c r="F201" s="23" t="str">
        <f t="shared" si="9"/>
        <v/>
      </c>
      <c r="G201" s="23" t="str">
        <f t="shared" si="10"/>
        <v/>
      </c>
      <c r="H201" s="23" t="str">
        <f t="shared" si="11"/>
        <v/>
      </c>
    </row>
    <row r="202" spans="1:8" x14ac:dyDescent="0.2">
      <c r="A202" s="26"/>
      <c r="B202" s="26"/>
      <c r="C202" s="25"/>
      <c r="D202" s="25"/>
      <c r="E202" s="25"/>
      <c r="F202" s="23" t="str">
        <f t="shared" si="9"/>
        <v/>
      </c>
      <c r="G202" s="23" t="str">
        <f t="shared" si="10"/>
        <v/>
      </c>
      <c r="H202" s="23" t="str">
        <f t="shared" si="11"/>
        <v/>
      </c>
    </row>
    <row r="203" spans="1:8" x14ac:dyDescent="0.2">
      <c r="A203" s="26"/>
      <c r="B203" s="26"/>
      <c r="C203" s="25"/>
      <c r="D203" s="25"/>
      <c r="E203" s="25"/>
      <c r="F203" s="23" t="str">
        <f t="shared" si="9"/>
        <v/>
      </c>
      <c r="G203" s="23" t="str">
        <f t="shared" si="10"/>
        <v/>
      </c>
      <c r="H203" s="23" t="str">
        <f t="shared" si="11"/>
        <v/>
      </c>
    </row>
    <row r="204" spans="1:8" x14ac:dyDescent="0.2">
      <c r="A204" s="26"/>
      <c r="B204" s="26"/>
      <c r="C204" s="25"/>
      <c r="D204" s="25"/>
      <c r="E204" s="25"/>
      <c r="F204" s="23" t="str">
        <f t="shared" si="9"/>
        <v/>
      </c>
      <c r="G204" s="23" t="str">
        <f t="shared" si="10"/>
        <v/>
      </c>
      <c r="H204" s="23" t="str">
        <f t="shared" si="11"/>
        <v/>
      </c>
    </row>
    <row r="205" spans="1:8" x14ac:dyDescent="0.2">
      <c r="A205" s="26"/>
      <c r="B205" s="26"/>
      <c r="C205" s="25"/>
      <c r="D205" s="25"/>
      <c r="E205" s="25"/>
      <c r="F205" s="23" t="str">
        <f t="shared" si="9"/>
        <v/>
      </c>
      <c r="G205" s="23" t="str">
        <f t="shared" si="10"/>
        <v/>
      </c>
      <c r="H205" s="23" t="str">
        <f t="shared" si="11"/>
        <v/>
      </c>
    </row>
    <row r="206" spans="1:8" x14ac:dyDescent="0.2">
      <c r="A206" s="26"/>
      <c r="B206" s="26"/>
      <c r="C206" s="25"/>
      <c r="D206" s="25"/>
      <c r="E206" s="25"/>
      <c r="F206" s="23" t="str">
        <f t="shared" si="9"/>
        <v/>
      </c>
      <c r="G206" s="23" t="str">
        <f t="shared" si="10"/>
        <v/>
      </c>
      <c r="H206" s="23" t="str">
        <f t="shared" si="11"/>
        <v/>
      </c>
    </row>
    <row r="207" spans="1:8" x14ac:dyDescent="0.2">
      <c r="A207" s="26"/>
      <c r="B207" s="26"/>
      <c r="C207" s="25"/>
      <c r="D207" s="25"/>
      <c r="E207" s="25"/>
      <c r="F207" s="23" t="str">
        <f t="shared" si="9"/>
        <v/>
      </c>
      <c r="G207" s="23" t="str">
        <f t="shared" si="10"/>
        <v/>
      </c>
      <c r="H207" s="23" t="str">
        <f t="shared" si="11"/>
        <v/>
      </c>
    </row>
    <row r="208" spans="1:8" x14ac:dyDescent="0.2">
      <c r="A208" s="26"/>
      <c r="B208" s="26"/>
      <c r="C208" s="25"/>
      <c r="D208" s="25"/>
      <c r="E208" s="25"/>
      <c r="F208" s="23" t="str">
        <f t="shared" si="9"/>
        <v/>
      </c>
      <c r="G208" s="23" t="str">
        <f t="shared" si="10"/>
        <v/>
      </c>
      <c r="H208" s="23" t="str">
        <f t="shared" si="11"/>
        <v/>
      </c>
    </row>
    <row r="209" spans="1:8" x14ac:dyDescent="0.2">
      <c r="A209" s="26"/>
      <c r="B209" s="26"/>
      <c r="C209" s="25"/>
      <c r="D209" s="25"/>
      <c r="E209" s="25"/>
      <c r="F209" s="23" t="str">
        <f t="shared" si="9"/>
        <v/>
      </c>
      <c r="G209" s="23" t="str">
        <f t="shared" si="10"/>
        <v/>
      </c>
      <c r="H209" s="23" t="str">
        <f t="shared" si="11"/>
        <v/>
      </c>
    </row>
    <row r="210" spans="1:8" x14ac:dyDescent="0.2">
      <c r="A210" s="26"/>
      <c r="B210" s="26"/>
      <c r="C210" s="25"/>
      <c r="D210" s="25"/>
      <c r="E210" s="25"/>
      <c r="F210" s="23" t="str">
        <f t="shared" si="9"/>
        <v/>
      </c>
      <c r="G210" s="23" t="str">
        <f t="shared" si="10"/>
        <v/>
      </c>
      <c r="H210" s="23" t="str">
        <f t="shared" si="11"/>
        <v/>
      </c>
    </row>
    <row r="211" spans="1:8" x14ac:dyDescent="0.2">
      <c r="A211" s="26"/>
      <c r="B211" s="26"/>
      <c r="C211" s="25"/>
      <c r="D211" s="25"/>
      <c r="E211" s="25"/>
      <c r="F211" s="23" t="str">
        <f t="shared" si="9"/>
        <v/>
      </c>
      <c r="G211" s="23" t="str">
        <f t="shared" si="10"/>
        <v/>
      </c>
      <c r="H211" s="23" t="str">
        <f t="shared" si="11"/>
        <v/>
      </c>
    </row>
    <row r="212" spans="1:8" x14ac:dyDescent="0.2">
      <c r="A212" s="26"/>
      <c r="B212" s="26"/>
      <c r="C212" s="25"/>
      <c r="D212" s="25"/>
      <c r="E212" s="25"/>
      <c r="F212" s="23" t="str">
        <f t="shared" si="9"/>
        <v/>
      </c>
      <c r="G212" s="23" t="str">
        <f t="shared" si="10"/>
        <v/>
      </c>
      <c r="H212" s="23" t="str">
        <f t="shared" si="11"/>
        <v/>
      </c>
    </row>
    <row r="213" spans="1:8" x14ac:dyDescent="0.2">
      <c r="A213" s="26"/>
      <c r="B213" s="26"/>
      <c r="C213" s="25"/>
      <c r="D213" s="25"/>
      <c r="E213" s="25"/>
      <c r="F213" s="23" t="str">
        <f t="shared" si="9"/>
        <v/>
      </c>
      <c r="G213" s="23" t="str">
        <f t="shared" si="10"/>
        <v/>
      </c>
      <c r="H213" s="23" t="str">
        <f t="shared" si="11"/>
        <v/>
      </c>
    </row>
    <row r="214" spans="1:8" x14ac:dyDescent="0.2">
      <c r="A214" s="26"/>
      <c r="B214" s="26"/>
      <c r="C214" s="25"/>
      <c r="D214" s="25"/>
      <c r="E214" s="25"/>
      <c r="F214" s="23" t="str">
        <f t="shared" si="9"/>
        <v/>
      </c>
      <c r="G214" s="23" t="str">
        <f t="shared" si="10"/>
        <v/>
      </c>
      <c r="H214" s="23" t="str">
        <f t="shared" si="11"/>
        <v/>
      </c>
    </row>
    <row r="215" spans="1:8" x14ac:dyDescent="0.2">
      <c r="A215" s="26"/>
      <c r="B215" s="26"/>
      <c r="C215" s="25"/>
      <c r="D215" s="25"/>
      <c r="E215" s="25"/>
      <c r="F215" s="23" t="str">
        <f t="shared" si="9"/>
        <v/>
      </c>
      <c r="G215" s="23" t="str">
        <f t="shared" si="10"/>
        <v/>
      </c>
      <c r="H215" s="23" t="str">
        <f t="shared" si="11"/>
        <v/>
      </c>
    </row>
    <row r="216" spans="1:8" x14ac:dyDescent="0.2">
      <c r="A216" s="26"/>
      <c r="B216" s="26"/>
      <c r="C216" s="25"/>
      <c r="D216" s="25"/>
      <c r="E216" s="25"/>
      <c r="F216" s="23" t="str">
        <f t="shared" si="9"/>
        <v/>
      </c>
      <c r="G216" s="23" t="str">
        <f t="shared" si="10"/>
        <v/>
      </c>
      <c r="H216" s="23" t="str">
        <f t="shared" si="11"/>
        <v/>
      </c>
    </row>
    <row r="217" spans="1:8" x14ac:dyDescent="0.2">
      <c r="A217" s="26"/>
      <c r="B217" s="26"/>
      <c r="C217" s="25"/>
      <c r="D217" s="25"/>
      <c r="E217" s="25"/>
      <c r="F217" s="23" t="str">
        <f t="shared" si="9"/>
        <v/>
      </c>
      <c r="G217" s="23" t="str">
        <f t="shared" si="10"/>
        <v/>
      </c>
      <c r="H217" s="23" t="str">
        <f t="shared" si="11"/>
        <v/>
      </c>
    </row>
    <row r="218" spans="1:8" x14ac:dyDescent="0.2">
      <c r="A218" s="26"/>
      <c r="B218" s="26"/>
      <c r="C218" s="25"/>
      <c r="D218" s="25"/>
      <c r="E218" s="25"/>
      <c r="F218" s="23" t="str">
        <f t="shared" si="9"/>
        <v/>
      </c>
      <c r="G218" s="23" t="str">
        <f t="shared" si="10"/>
        <v/>
      </c>
      <c r="H218" s="23" t="str">
        <f t="shared" si="11"/>
        <v/>
      </c>
    </row>
    <row r="219" spans="1:8" x14ac:dyDescent="0.2">
      <c r="A219" s="26"/>
      <c r="B219" s="26"/>
      <c r="C219" s="25"/>
      <c r="D219" s="25"/>
      <c r="E219" s="25"/>
      <c r="F219" s="23" t="str">
        <f t="shared" si="9"/>
        <v/>
      </c>
      <c r="G219" s="23" t="str">
        <f t="shared" si="10"/>
        <v/>
      </c>
      <c r="H219" s="23" t="str">
        <f t="shared" si="11"/>
        <v/>
      </c>
    </row>
    <row r="220" spans="1:8" x14ac:dyDescent="0.2">
      <c r="A220" s="26"/>
      <c r="B220" s="26"/>
      <c r="C220" s="25"/>
      <c r="D220" s="25"/>
      <c r="E220" s="25"/>
      <c r="F220" s="23" t="str">
        <f t="shared" si="9"/>
        <v/>
      </c>
      <c r="G220" s="23" t="str">
        <f t="shared" si="10"/>
        <v/>
      </c>
      <c r="H220" s="23" t="str">
        <f t="shared" si="11"/>
        <v/>
      </c>
    </row>
    <row r="221" spans="1:8" x14ac:dyDescent="0.2">
      <c r="A221" s="26"/>
      <c r="B221" s="26"/>
      <c r="C221" s="25"/>
      <c r="D221" s="25"/>
      <c r="E221" s="25"/>
      <c r="F221" s="23" t="str">
        <f t="shared" si="9"/>
        <v/>
      </c>
      <c r="G221" s="23" t="str">
        <f t="shared" si="10"/>
        <v/>
      </c>
      <c r="H221" s="23" t="str">
        <f t="shared" si="11"/>
        <v/>
      </c>
    </row>
    <row r="222" spans="1:8" x14ac:dyDescent="0.2">
      <c r="A222" s="26"/>
      <c r="B222" s="26"/>
      <c r="C222" s="25"/>
      <c r="D222" s="25"/>
      <c r="E222" s="25"/>
      <c r="F222" s="23" t="str">
        <f t="shared" si="9"/>
        <v/>
      </c>
      <c r="G222" s="23" t="str">
        <f t="shared" si="10"/>
        <v/>
      </c>
      <c r="H222" s="23" t="str">
        <f t="shared" si="11"/>
        <v/>
      </c>
    </row>
    <row r="223" spans="1:8" x14ac:dyDescent="0.2">
      <c r="A223" s="26"/>
      <c r="B223" s="26"/>
      <c r="C223" s="25"/>
      <c r="D223" s="25"/>
      <c r="E223" s="25"/>
      <c r="F223" s="23" t="str">
        <f t="shared" si="9"/>
        <v/>
      </c>
      <c r="G223" s="23" t="str">
        <f t="shared" si="10"/>
        <v/>
      </c>
      <c r="H223" s="23" t="str">
        <f t="shared" si="11"/>
        <v/>
      </c>
    </row>
    <row r="224" spans="1:8" x14ac:dyDescent="0.2">
      <c r="A224" s="26"/>
      <c r="B224" s="26"/>
      <c r="C224" s="25"/>
      <c r="D224" s="25"/>
      <c r="E224" s="25"/>
      <c r="F224" s="23" t="str">
        <f t="shared" si="9"/>
        <v/>
      </c>
      <c r="G224" s="23" t="str">
        <f t="shared" si="10"/>
        <v/>
      </c>
      <c r="H224" s="23" t="str">
        <f t="shared" si="11"/>
        <v/>
      </c>
    </row>
    <row r="225" spans="1:8" x14ac:dyDescent="0.2">
      <c r="A225" s="26"/>
      <c r="B225" s="26"/>
      <c r="C225" s="25"/>
      <c r="D225" s="25"/>
      <c r="E225" s="25"/>
      <c r="F225" s="23" t="str">
        <f t="shared" si="9"/>
        <v/>
      </c>
      <c r="G225" s="23" t="str">
        <f t="shared" si="10"/>
        <v/>
      </c>
      <c r="H225" s="23" t="str">
        <f t="shared" si="11"/>
        <v/>
      </c>
    </row>
    <row r="226" spans="1:8" x14ac:dyDescent="0.2">
      <c r="A226" s="26"/>
      <c r="B226" s="26"/>
      <c r="C226" s="25"/>
      <c r="D226" s="25"/>
      <c r="E226" s="25"/>
      <c r="F226" s="23" t="str">
        <f t="shared" si="9"/>
        <v/>
      </c>
      <c r="G226" s="23" t="str">
        <f t="shared" si="10"/>
        <v/>
      </c>
      <c r="H226" s="23" t="str">
        <f t="shared" si="11"/>
        <v/>
      </c>
    </row>
    <row r="227" spans="1:8" x14ac:dyDescent="0.2">
      <c r="A227" s="26"/>
      <c r="B227" s="26"/>
      <c r="C227" s="25"/>
      <c r="D227" s="25"/>
      <c r="E227" s="25"/>
      <c r="F227" s="23" t="str">
        <f t="shared" si="9"/>
        <v/>
      </c>
      <c r="G227" s="23" t="str">
        <f t="shared" si="10"/>
        <v/>
      </c>
      <c r="H227" s="23" t="str">
        <f t="shared" si="11"/>
        <v/>
      </c>
    </row>
    <row r="228" spans="1:8" x14ac:dyDescent="0.2">
      <c r="A228" s="26"/>
      <c r="B228" s="26"/>
      <c r="C228" s="25"/>
      <c r="D228" s="25"/>
      <c r="E228" s="25"/>
      <c r="F228" s="23" t="str">
        <f t="shared" si="9"/>
        <v/>
      </c>
      <c r="G228" s="23" t="str">
        <f t="shared" si="10"/>
        <v/>
      </c>
      <c r="H228" s="23" t="str">
        <f t="shared" si="11"/>
        <v/>
      </c>
    </row>
    <row r="229" spans="1:8" x14ac:dyDescent="0.2">
      <c r="A229" s="26"/>
      <c r="B229" s="26"/>
      <c r="C229" s="25"/>
      <c r="D229" s="25"/>
      <c r="E229" s="25"/>
      <c r="F229" s="23" t="str">
        <f t="shared" si="9"/>
        <v/>
      </c>
      <c r="G229" s="23" t="str">
        <f t="shared" si="10"/>
        <v/>
      </c>
      <c r="H229" s="23" t="str">
        <f t="shared" si="11"/>
        <v/>
      </c>
    </row>
    <row r="230" spans="1:8" x14ac:dyDescent="0.2">
      <c r="A230" s="26"/>
      <c r="B230" s="26"/>
      <c r="C230" s="25"/>
      <c r="D230" s="25"/>
      <c r="E230" s="25"/>
      <c r="F230" s="23" t="str">
        <f t="shared" si="9"/>
        <v/>
      </c>
      <c r="G230" s="23" t="str">
        <f t="shared" si="10"/>
        <v/>
      </c>
      <c r="H230" s="23" t="str">
        <f t="shared" si="11"/>
        <v/>
      </c>
    </row>
    <row r="231" spans="1:8" x14ac:dyDescent="0.2">
      <c r="A231" s="26"/>
      <c r="B231" s="26"/>
      <c r="C231" s="25"/>
      <c r="D231" s="25"/>
      <c r="E231" s="25"/>
      <c r="F231" s="23" t="str">
        <f t="shared" si="9"/>
        <v/>
      </c>
      <c r="G231" s="23" t="str">
        <f t="shared" si="10"/>
        <v/>
      </c>
      <c r="H231" s="23" t="str">
        <f t="shared" si="11"/>
        <v/>
      </c>
    </row>
    <row r="232" spans="1:8" x14ac:dyDescent="0.2">
      <c r="A232" s="26"/>
      <c r="B232" s="26"/>
      <c r="C232" s="25"/>
      <c r="D232" s="25"/>
      <c r="E232" s="25"/>
      <c r="F232" s="23" t="str">
        <f t="shared" si="9"/>
        <v/>
      </c>
      <c r="G232" s="23" t="str">
        <f t="shared" si="10"/>
        <v/>
      </c>
      <c r="H232" s="23" t="str">
        <f t="shared" si="11"/>
        <v/>
      </c>
    </row>
    <row r="233" spans="1:8" x14ac:dyDescent="0.2">
      <c r="A233" s="26"/>
      <c r="B233" s="26"/>
      <c r="C233" s="25"/>
      <c r="D233" s="25"/>
      <c r="E233" s="25"/>
      <c r="F233" s="23" t="str">
        <f t="shared" si="9"/>
        <v/>
      </c>
      <c r="G233" s="23" t="str">
        <f t="shared" si="10"/>
        <v/>
      </c>
      <c r="H233" s="23" t="str">
        <f t="shared" si="11"/>
        <v/>
      </c>
    </row>
    <row r="234" spans="1:8" x14ac:dyDescent="0.2">
      <c r="A234" s="26"/>
      <c r="B234" s="26"/>
      <c r="C234" s="25"/>
      <c r="D234" s="25"/>
      <c r="E234" s="25"/>
      <c r="F234" s="23" t="str">
        <f t="shared" si="9"/>
        <v/>
      </c>
      <c r="G234" s="23" t="str">
        <f t="shared" si="10"/>
        <v/>
      </c>
      <c r="H234" s="23" t="str">
        <f t="shared" si="11"/>
        <v/>
      </c>
    </row>
    <row r="235" spans="1:8" x14ac:dyDescent="0.2">
      <c r="A235" s="26"/>
      <c r="B235" s="26"/>
      <c r="C235" s="25"/>
      <c r="D235" s="25"/>
      <c r="E235" s="25"/>
      <c r="F235" s="23" t="str">
        <f t="shared" si="9"/>
        <v/>
      </c>
      <c r="G235" s="23" t="str">
        <f t="shared" si="10"/>
        <v/>
      </c>
      <c r="H235" s="23" t="str">
        <f t="shared" si="11"/>
        <v/>
      </c>
    </row>
    <row r="236" spans="1:8" x14ac:dyDescent="0.2">
      <c r="A236" s="26"/>
      <c r="B236" s="26"/>
      <c r="C236" s="25"/>
      <c r="D236" s="25"/>
      <c r="E236" s="25"/>
      <c r="F236" s="23" t="str">
        <f t="shared" si="9"/>
        <v/>
      </c>
      <c r="G236" s="23" t="str">
        <f t="shared" si="10"/>
        <v/>
      </c>
      <c r="H236" s="23" t="str">
        <f t="shared" si="11"/>
        <v/>
      </c>
    </row>
    <row r="237" spans="1:8" x14ac:dyDescent="0.2">
      <c r="A237" s="26"/>
      <c r="B237" s="26"/>
      <c r="C237" s="25"/>
      <c r="D237" s="25"/>
      <c r="E237" s="25"/>
      <c r="F237" s="23" t="str">
        <f t="shared" si="9"/>
        <v/>
      </c>
      <c r="G237" s="23" t="str">
        <f t="shared" si="10"/>
        <v/>
      </c>
      <c r="H237" s="23" t="str">
        <f t="shared" si="11"/>
        <v/>
      </c>
    </row>
    <row r="238" spans="1:8" x14ac:dyDescent="0.2">
      <c r="A238" s="26"/>
      <c r="B238" s="26"/>
      <c r="C238" s="25"/>
      <c r="D238" s="25"/>
      <c r="E238" s="25"/>
      <c r="F238" s="23" t="str">
        <f t="shared" si="9"/>
        <v/>
      </c>
      <c r="G238" s="23" t="str">
        <f t="shared" si="10"/>
        <v/>
      </c>
      <c r="H238" s="23" t="str">
        <f t="shared" si="11"/>
        <v/>
      </c>
    </row>
    <row r="239" spans="1:8" x14ac:dyDescent="0.2">
      <c r="A239" s="26"/>
      <c r="B239" s="26"/>
      <c r="C239" s="25"/>
      <c r="D239" s="25"/>
      <c r="E239" s="25"/>
      <c r="F239" s="23" t="str">
        <f t="shared" si="9"/>
        <v/>
      </c>
      <c r="G239" s="23" t="str">
        <f t="shared" si="10"/>
        <v/>
      </c>
      <c r="H239" s="23" t="str">
        <f t="shared" si="11"/>
        <v/>
      </c>
    </row>
    <row r="240" spans="1:8" x14ac:dyDescent="0.2">
      <c r="A240" s="26"/>
      <c r="B240" s="26"/>
      <c r="C240" s="25"/>
      <c r="D240" s="25"/>
      <c r="E240" s="25"/>
      <c r="F240" s="23" t="str">
        <f t="shared" si="9"/>
        <v/>
      </c>
      <c r="G240" s="23" t="str">
        <f t="shared" si="10"/>
        <v/>
      </c>
      <c r="H240" s="23" t="str">
        <f t="shared" si="11"/>
        <v/>
      </c>
    </row>
    <row r="241" spans="1:8" x14ac:dyDescent="0.2">
      <c r="A241" s="26"/>
      <c r="B241" s="26"/>
      <c r="C241" s="25"/>
      <c r="D241" s="25"/>
      <c r="E241" s="25"/>
      <c r="F241" s="23" t="str">
        <f t="shared" si="9"/>
        <v/>
      </c>
      <c r="G241" s="23" t="str">
        <f t="shared" si="10"/>
        <v/>
      </c>
      <c r="H241" s="23" t="str">
        <f t="shared" si="11"/>
        <v/>
      </c>
    </row>
    <row r="242" spans="1:8" x14ac:dyDescent="0.2">
      <c r="A242" s="26"/>
      <c r="B242" s="26"/>
      <c r="C242" s="25"/>
      <c r="D242" s="25"/>
      <c r="E242" s="25"/>
      <c r="F242" s="23" t="str">
        <f t="shared" si="9"/>
        <v/>
      </c>
      <c r="G242" s="23" t="str">
        <f t="shared" si="10"/>
        <v/>
      </c>
      <c r="H242" s="23" t="str">
        <f t="shared" si="11"/>
        <v/>
      </c>
    </row>
    <row r="243" spans="1:8" x14ac:dyDescent="0.2">
      <c r="A243" s="26"/>
      <c r="B243" s="26"/>
      <c r="C243" s="25"/>
      <c r="D243" s="25"/>
      <c r="E243" s="25"/>
      <c r="F243" s="23" t="str">
        <f t="shared" si="9"/>
        <v/>
      </c>
      <c r="G243" s="23" t="str">
        <f t="shared" si="10"/>
        <v/>
      </c>
      <c r="H243" s="23" t="str">
        <f t="shared" si="11"/>
        <v/>
      </c>
    </row>
    <row r="244" spans="1:8" x14ac:dyDescent="0.2">
      <c r="A244" s="26"/>
      <c r="B244" s="26"/>
      <c r="C244" s="25"/>
      <c r="D244" s="25"/>
      <c r="E244" s="25"/>
      <c r="F244" s="23" t="str">
        <f t="shared" si="9"/>
        <v/>
      </c>
      <c r="G244" s="23" t="str">
        <f t="shared" si="10"/>
        <v/>
      </c>
      <c r="H244" s="23" t="str">
        <f t="shared" si="11"/>
        <v/>
      </c>
    </row>
    <row r="245" spans="1:8" x14ac:dyDescent="0.2">
      <c r="A245" s="26"/>
      <c r="B245" s="26"/>
      <c r="C245" s="25"/>
      <c r="D245" s="25"/>
      <c r="E245" s="25"/>
      <c r="F245" s="23" t="str">
        <f t="shared" si="9"/>
        <v/>
      </c>
      <c r="G245" s="23" t="str">
        <f t="shared" si="10"/>
        <v/>
      </c>
      <c r="H245" s="23" t="str">
        <f t="shared" si="11"/>
        <v/>
      </c>
    </row>
    <row r="246" spans="1:8" x14ac:dyDescent="0.2">
      <c r="A246" s="26"/>
      <c r="B246" s="26"/>
      <c r="C246" s="25"/>
      <c r="D246" s="25"/>
      <c r="E246" s="25"/>
      <c r="F246" s="23" t="str">
        <f t="shared" si="9"/>
        <v/>
      </c>
      <c r="G246" s="23" t="str">
        <f t="shared" si="10"/>
        <v/>
      </c>
      <c r="H246" s="23" t="str">
        <f t="shared" si="11"/>
        <v/>
      </c>
    </row>
    <row r="247" spans="1:8" x14ac:dyDescent="0.2">
      <c r="A247" s="26"/>
      <c r="B247" s="26"/>
      <c r="C247" s="25"/>
      <c r="D247" s="25"/>
      <c r="E247" s="25"/>
      <c r="F247" s="23" t="str">
        <f t="shared" si="9"/>
        <v/>
      </c>
      <c r="G247" s="23" t="str">
        <f t="shared" si="10"/>
        <v/>
      </c>
      <c r="H247" s="23" t="str">
        <f t="shared" si="11"/>
        <v/>
      </c>
    </row>
    <row r="248" spans="1:8" x14ac:dyDescent="0.2">
      <c r="A248" s="26"/>
      <c r="B248" s="26"/>
      <c r="C248" s="25"/>
      <c r="D248" s="25"/>
      <c r="E248" s="25"/>
      <c r="F248" s="23" t="str">
        <f t="shared" si="9"/>
        <v/>
      </c>
      <c r="G248" s="23" t="str">
        <f t="shared" si="10"/>
        <v/>
      </c>
      <c r="H248" s="23" t="str">
        <f t="shared" si="11"/>
        <v/>
      </c>
    </row>
    <row r="249" spans="1:8" x14ac:dyDescent="0.2">
      <c r="A249" s="26"/>
      <c r="B249" s="26"/>
      <c r="C249" s="25"/>
      <c r="D249" s="25"/>
      <c r="E249" s="25"/>
      <c r="F249" s="23" t="str">
        <f t="shared" si="9"/>
        <v/>
      </c>
      <c r="G249" s="23" t="str">
        <f t="shared" si="10"/>
        <v/>
      </c>
      <c r="H249" s="23" t="str">
        <f t="shared" si="11"/>
        <v/>
      </c>
    </row>
    <row r="250" spans="1:8" x14ac:dyDescent="0.2">
      <c r="A250" s="26"/>
      <c r="B250" s="26"/>
      <c r="C250" s="25"/>
      <c r="D250" s="25"/>
      <c r="E250" s="25"/>
      <c r="F250" s="23" t="str">
        <f t="shared" si="9"/>
        <v/>
      </c>
      <c r="G250" s="23" t="str">
        <f t="shared" si="10"/>
        <v/>
      </c>
      <c r="H250" s="23" t="str">
        <f t="shared" si="11"/>
        <v/>
      </c>
    </row>
    <row r="251" spans="1:8" x14ac:dyDescent="0.2">
      <c r="A251" s="26"/>
      <c r="B251" s="26"/>
      <c r="C251" s="25"/>
      <c r="D251" s="25"/>
      <c r="E251" s="25"/>
      <c r="F251" s="23" t="str">
        <f t="shared" si="9"/>
        <v/>
      </c>
      <c r="G251" s="23" t="str">
        <f t="shared" si="10"/>
        <v/>
      </c>
      <c r="H251" s="23" t="str">
        <f t="shared" si="11"/>
        <v/>
      </c>
    </row>
    <row r="252" spans="1:8" x14ac:dyDescent="0.2">
      <c r="A252" s="26"/>
      <c r="B252" s="26"/>
      <c r="C252" s="25"/>
      <c r="D252" s="25"/>
      <c r="E252" s="25"/>
      <c r="F252" s="23" t="str">
        <f t="shared" si="9"/>
        <v/>
      </c>
      <c r="G252" s="23" t="str">
        <f t="shared" si="10"/>
        <v/>
      </c>
      <c r="H252" s="23" t="str">
        <f t="shared" si="11"/>
        <v/>
      </c>
    </row>
    <row r="253" spans="1:8" x14ac:dyDescent="0.2">
      <c r="A253" s="26"/>
      <c r="B253" s="26"/>
      <c r="C253" s="25"/>
      <c r="D253" s="25"/>
      <c r="E253" s="25"/>
      <c r="F253" s="23" t="str">
        <f t="shared" si="9"/>
        <v/>
      </c>
      <c r="G253" s="23" t="str">
        <f t="shared" si="10"/>
        <v/>
      </c>
      <c r="H253" s="23" t="str">
        <f t="shared" si="11"/>
        <v/>
      </c>
    </row>
    <row r="254" spans="1:8" x14ac:dyDescent="0.2">
      <c r="A254" s="26"/>
      <c r="B254" s="26"/>
      <c r="C254" s="25"/>
      <c r="D254" s="25"/>
      <c r="E254" s="25"/>
      <c r="F254" s="23" t="str">
        <f t="shared" si="9"/>
        <v/>
      </c>
      <c r="G254" s="23" t="str">
        <f t="shared" si="10"/>
        <v/>
      </c>
      <c r="H254" s="23" t="str">
        <f t="shared" si="11"/>
        <v/>
      </c>
    </row>
    <row r="255" spans="1:8" x14ac:dyDescent="0.2">
      <c r="A255" s="26"/>
      <c r="B255" s="26"/>
      <c r="C255" s="25"/>
      <c r="D255" s="25"/>
      <c r="E255" s="25"/>
      <c r="F255" s="23" t="str">
        <f t="shared" si="9"/>
        <v/>
      </c>
      <c r="G255" s="23" t="str">
        <f t="shared" si="10"/>
        <v/>
      </c>
      <c r="H255" s="23" t="str">
        <f t="shared" si="11"/>
        <v/>
      </c>
    </row>
    <row r="256" spans="1:8" x14ac:dyDescent="0.2">
      <c r="A256" s="26"/>
      <c r="B256" s="26"/>
      <c r="C256" s="25"/>
      <c r="D256" s="25"/>
      <c r="E256" s="25"/>
      <c r="F256" s="23" t="str">
        <f t="shared" si="9"/>
        <v/>
      </c>
      <c r="G256" s="23" t="str">
        <f t="shared" si="10"/>
        <v/>
      </c>
      <c r="H256" s="23" t="str">
        <f t="shared" si="11"/>
        <v/>
      </c>
    </row>
    <row r="257" spans="1:8" x14ac:dyDescent="0.2">
      <c r="A257" s="26"/>
      <c r="B257" s="26"/>
      <c r="C257" s="25"/>
      <c r="D257" s="25"/>
      <c r="E257" s="25"/>
      <c r="F257" s="23" t="str">
        <f t="shared" si="9"/>
        <v/>
      </c>
      <c r="G257" s="23" t="str">
        <f t="shared" si="10"/>
        <v/>
      </c>
      <c r="H257" s="23" t="str">
        <f t="shared" si="11"/>
        <v/>
      </c>
    </row>
    <row r="258" spans="1:8" x14ac:dyDescent="0.2">
      <c r="A258" s="26"/>
      <c r="B258" s="26"/>
      <c r="C258" s="25"/>
      <c r="D258" s="25"/>
      <c r="E258" s="25"/>
      <c r="F258" s="23" t="str">
        <f t="shared" si="9"/>
        <v/>
      </c>
      <c r="G258" s="23" t="str">
        <f t="shared" si="10"/>
        <v/>
      </c>
      <c r="H258" s="23" t="str">
        <f t="shared" si="11"/>
        <v/>
      </c>
    </row>
    <row r="259" spans="1:8" x14ac:dyDescent="0.2">
      <c r="A259" s="26"/>
      <c r="B259" s="26"/>
      <c r="C259" s="25"/>
      <c r="D259" s="25"/>
      <c r="E259" s="25"/>
      <c r="F259" s="23" t="str">
        <f t="shared" si="9"/>
        <v/>
      </c>
      <c r="G259" s="23" t="str">
        <f t="shared" si="10"/>
        <v/>
      </c>
      <c r="H259" s="23" t="str">
        <f t="shared" si="11"/>
        <v/>
      </c>
    </row>
    <row r="260" spans="1:8" x14ac:dyDescent="0.2">
      <c r="A260" s="26"/>
      <c r="B260" s="26"/>
      <c r="C260" s="25"/>
      <c r="D260" s="25"/>
      <c r="E260" s="25"/>
      <c r="F260" s="23" t="str">
        <f t="shared" ref="F260:F323" si="12">IF(C260&lt;&gt;"",($J$23*C260+$K$23*D260+$L$23*E260)+$K$7,"")</f>
        <v/>
      </c>
      <c r="G260" s="23" t="str">
        <f t="shared" ref="G260:G323" si="13">IF(D260&lt;&gt;"",($J$24*C260+$K$24*D260+$L$24*E260)+$K$8,"")</f>
        <v/>
      </c>
      <c r="H260" s="23" t="str">
        <f t="shared" ref="H260:H323" si="14">IF(E260&lt;&gt;"",($J$25*C260+$K$25*D260+$L$25*E260)+$K$9,"")</f>
        <v/>
      </c>
    </row>
    <row r="261" spans="1:8" x14ac:dyDescent="0.2">
      <c r="A261" s="26"/>
      <c r="B261" s="26"/>
      <c r="C261" s="25"/>
      <c r="D261" s="25"/>
      <c r="E261" s="25"/>
      <c r="F261" s="23" t="str">
        <f t="shared" si="12"/>
        <v/>
      </c>
      <c r="G261" s="23" t="str">
        <f t="shared" si="13"/>
        <v/>
      </c>
      <c r="H261" s="23" t="str">
        <f t="shared" si="14"/>
        <v/>
      </c>
    </row>
    <row r="262" spans="1:8" x14ac:dyDescent="0.2">
      <c r="A262" s="26"/>
      <c r="B262" s="26"/>
      <c r="C262" s="25"/>
      <c r="D262" s="25"/>
      <c r="E262" s="25"/>
      <c r="F262" s="23" t="str">
        <f t="shared" si="12"/>
        <v/>
      </c>
      <c r="G262" s="23" t="str">
        <f t="shared" si="13"/>
        <v/>
      </c>
      <c r="H262" s="23" t="str">
        <f t="shared" si="14"/>
        <v/>
      </c>
    </row>
    <row r="263" spans="1:8" x14ac:dyDescent="0.2">
      <c r="A263" s="26"/>
      <c r="B263" s="26"/>
      <c r="C263" s="25"/>
      <c r="D263" s="25"/>
      <c r="E263" s="25"/>
      <c r="F263" s="23" t="str">
        <f t="shared" si="12"/>
        <v/>
      </c>
      <c r="G263" s="23" t="str">
        <f t="shared" si="13"/>
        <v/>
      </c>
      <c r="H263" s="23" t="str">
        <f t="shared" si="14"/>
        <v/>
      </c>
    </row>
    <row r="264" spans="1:8" x14ac:dyDescent="0.2">
      <c r="A264" s="26"/>
      <c r="B264" s="26"/>
      <c r="C264" s="25"/>
      <c r="D264" s="25"/>
      <c r="E264" s="25"/>
      <c r="F264" s="23" t="str">
        <f t="shared" si="12"/>
        <v/>
      </c>
      <c r="G264" s="23" t="str">
        <f t="shared" si="13"/>
        <v/>
      </c>
      <c r="H264" s="23" t="str">
        <f t="shared" si="14"/>
        <v/>
      </c>
    </row>
    <row r="265" spans="1:8" x14ac:dyDescent="0.2">
      <c r="A265" s="26"/>
      <c r="B265" s="26"/>
      <c r="C265" s="25"/>
      <c r="D265" s="25"/>
      <c r="E265" s="25"/>
      <c r="F265" s="23" t="str">
        <f t="shared" si="12"/>
        <v/>
      </c>
      <c r="G265" s="23" t="str">
        <f t="shared" si="13"/>
        <v/>
      </c>
      <c r="H265" s="23" t="str">
        <f t="shared" si="14"/>
        <v/>
      </c>
    </row>
    <row r="266" spans="1:8" x14ac:dyDescent="0.2">
      <c r="A266" s="26"/>
      <c r="B266" s="26"/>
      <c r="C266" s="25"/>
      <c r="D266" s="25"/>
      <c r="E266" s="25"/>
      <c r="F266" s="23" t="str">
        <f t="shared" si="12"/>
        <v/>
      </c>
      <c r="G266" s="23" t="str">
        <f t="shared" si="13"/>
        <v/>
      </c>
      <c r="H266" s="23" t="str">
        <f t="shared" si="14"/>
        <v/>
      </c>
    </row>
    <row r="267" spans="1:8" x14ac:dyDescent="0.2">
      <c r="A267" s="26"/>
      <c r="B267" s="26"/>
      <c r="C267" s="25"/>
      <c r="D267" s="25"/>
      <c r="E267" s="25"/>
      <c r="F267" s="23" t="str">
        <f t="shared" si="12"/>
        <v/>
      </c>
      <c r="G267" s="23" t="str">
        <f t="shared" si="13"/>
        <v/>
      </c>
      <c r="H267" s="23" t="str">
        <f t="shared" si="14"/>
        <v/>
      </c>
    </row>
    <row r="268" spans="1:8" x14ac:dyDescent="0.2">
      <c r="A268" s="26"/>
      <c r="B268" s="26"/>
      <c r="C268" s="25"/>
      <c r="D268" s="25"/>
      <c r="E268" s="25"/>
      <c r="F268" s="23" t="str">
        <f t="shared" si="12"/>
        <v/>
      </c>
      <c r="G268" s="23" t="str">
        <f t="shared" si="13"/>
        <v/>
      </c>
      <c r="H268" s="23" t="str">
        <f t="shared" si="14"/>
        <v/>
      </c>
    </row>
    <row r="269" spans="1:8" x14ac:dyDescent="0.2">
      <c r="A269" s="26"/>
      <c r="B269" s="26"/>
      <c r="C269" s="25"/>
      <c r="D269" s="25"/>
      <c r="E269" s="25"/>
      <c r="F269" s="23" t="str">
        <f t="shared" si="12"/>
        <v/>
      </c>
      <c r="G269" s="23" t="str">
        <f t="shared" si="13"/>
        <v/>
      </c>
      <c r="H269" s="23" t="str">
        <f t="shared" si="14"/>
        <v/>
      </c>
    </row>
    <row r="270" spans="1:8" x14ac:dyDescent="0.2">
      <c r="A270" s="26"/>
      <c r="B270" s="26"/>
      <c r="C270" s="25"/>
      <c r="D270" s="25"/>
      <c r="E270" s="25"/>
      <c r="F270" s="23" t="str">
        <f t="shared" si="12"/>
        <v/>
      </c>
      <c r="G270" s="23" t="str">
        <f t="shared" si="13"/>
        <v/>
      </c>
      <c r="H270" s="23" t="str">
        <f t="shared" si="14"/>
        <v/>
      </c>
    </row>
    <row r="271" spans="1:8" x14ac:dyDescent="0.2">
      <c r="A271" s="26"/>
      <c r="B271" s="26"/>
      <c r="C271" s="25"/>
      <c r="D271" s="25"/>
      <c r="E271" s="25"/>
      <c r="F271" s="23" t="str">
        <f t="shared" si="12"/>
        <v/>
      </c>
      <c r="G271" s="23" t="str">
        <f t="shared" si="13"/>
        <v/>
      </c>
      <c r="H271" s="23" t="str">
        <f t="shared" si="14"/>
        <v/>
      </c>
    </row>
    <row r="272" spans="1:8" x14ac:dyDescent="0.2">
      <c r="A272" s="26"/>
      <c r="B272" s="26"/>
      <c r="C272" s="25"/>
      <c r="D272" s="25"/>
      <c r="E272" s="25"/>
      <c r="F272" s="23" t="str">
        <f t="shared" si="12"/>
        <v/>
      </c>
      <c r="G272" s="23" t="str">
        <f t="shared" si="13"/>
        <v/>
      </c>
      <c r="H272" s="23" t="str">
        <f t="shared" si="14"/>
        <v/>
      </c>
    </row>
    <row r="273" spans="1:8" x14ac:dyDescent="0.2">
      <c r="A273" s="26"/>
      <c r="B273" s="26"/>
      <c r="C273" s="25"/>
      <c r="D273" s="25"/>
      <c r="E273" s="25"/>
      <c r="F273" s="23" t="str">
        <f t="shared" si="12"/>
        <v/>
      </c>
      <c r="G273" s="23" t="str">
        <f t="shared" si="13"/>
        <v/>
      </c>
      <c r="H273" s="23" t="str">
        <f t="shared" si="14"/>
        <v/>
      </c>
    </row>
    <row r="274" spans="1:8" x14ac:dyDescent="0.2">
      <c r="A274" s="26"/>
      <c r="B274" s="26"/>
      <c r="C274" s="25"/>
      <c r="D274" s="25"/>
      <c r="E274" s="25"/>
      <c r="F274" s="23" t="str">
        <f t="shared" si="12"/>
        <v/>
      </c>
      <c r="G274" s="23" t="str">
        <f t="shared" si="13"/>
        <v/>
      </c>
      <c r="H274" s="23" t="str">
        <f t="shared" si="14"/>
        <v/>
      </c>
    </row>
    <row r="275" spans="1:8" x14ac:dyDescent="0.2">
      <c r="A275" s="26"/>
      <c r="B275" s="26"/>
      <c r="C275" s="25"/>
      <c r="D275" s="25"/>
      <c r="E275" s="25"/>
      <c r="F275" s="23" t="str">
        <f t="shared" si="12"/>
        <v/>
      </c>
      <c r="G275" s="23" t="str">
        <f t="shared" si="13"/>
        <v/>
      </c>
      <c r="H275" s="23" t="str">
        <f t="shared" si="14"/>
        <v/>
      </c>
    </row>
    <row r="276" spans="1:8" x14ac:dyDescent="0.2">
      <c r="A276" s="26"/>
      <c r="B276" s="26"/>
      <c r="C276" s="25"/>
      <c r="D276" s="25"/>
      <c r="E276" s="25"/>
      <c r="F276" s="23" t="str">
        <f t="shared" si="12"/>
        <v/>
      </c>
      <c r="G276" s="23" t="str">
        <f t="shared" si="13"/>
        <v/>
      </c>
      <c r="H276" s="23" t="str">
        <f t="shared" si="14"/>
        <v/>
      </c>
    </row>
    <row r="277" spans="1:8" x14ac:dyDescent="0.2">
      <c r="A277" s="26"/>
      <c r="B277" s="26"/>
      <c r="C277" s="25"/>
      <c r="D277" s="25"/>
      <c r="E277" s="25"/>
      <c r="F277" s="23" t="str">
        <f t="shared" si="12"/>
        <v/>
      </c>
      <c r="G277" s="23" t="str">
        <f t="shared" si="13"/>
        <v/>
      </c>
      <c r="H277" s="23" t="str">
        <f t="shared" si="14"/>
        <v/>
      </c>
    </row>
    <row r="278" spans="1:8" x14ac:dyDescent="0.2">
      <c r="A278" s="26"/>
      <c r="B278" s="26"/>
      <c r="C278" s="25"/>
      <c r="D278" s="25"/>
      <c r="E278" s="25"/>
      <c r="F278" s="23" t="str">
        <f t="shared" si="12"/>
        <v/>
      </c>
      <c r="G278" s="23" t="str">
        <f t="shared" si="13"/>
        <v/>
      </c>
      <c r="H278" s="23" t="str">
        <f t="shared" si="14"/>
        <v/>
      </c>
    </row>
    <row r="279" spans="1:8" x14ac:dyDescent="0.2">
      <c r="A279" s="26"/>
      <c r="B279" s="26"/>
      <c r="C279" s="25"/>
      <c r="D279" s="25"/>
      <c r="E279" s="25"/>
      <c r="F279" s="23" t="str">
        <f t="shared" si="12"/>
        <v/>
      </c>
      <c r="G279" s="23" t="str">
        <f t="shared" si="13"/>
        <v/>
      </c>
      <c r="H279" s="23" t="str">
        <f t="shared" si="14"/>
        <v/>
      </c>
    </row>
    <row r="280" spans="1:8" x14ac:dyDescent="0.2">
      <c r="A280" s="26"/>
      <c r="B280" s="26"/>
      <c r="C280" s="25"/>
      <c r="D280" s="25"/>
      <c r="E280" s="25"/>
      <c r="F280" s="23" t="str">
        <f t="shared" si="12"/>
        <v/>
      </c>
      <c r="G280" s="23" t="str">
        <f t="shared" si="13"/>
        <v/>
      </c>
      <c r="H280" s="23" t="str">
        <f t="shared" si="14"/>
        <v/>
      </c>
    </row>
    <row r="281" spans="1:8" x14ac:dyDescent="0.2">
      <c r="A281" s="26"/>
      <c r="B281" s="26"/>
      <c r="C281" s="25"/>
      <c r="D281" s="25"/>
      <c r="E281" s="25"/>
      <c r="F281" s="23" t="str">
        <f t="shared" si="12"/>
        <v/>
      </c>
      <c r="G281" s="23" t="str">
        <f t="shared" si="13"/>
        <v/>
      </c>
      <c r="H281" s="23" t="str">
        <f t="shared" si="14"/>
        <v/>
      </c>
    </row>
    <row r="282" spans="1:8" x14ac:dyDescent="0.2">
      <c r="A282" s="26"/>
      <c r="B282" s="26"/>
      <c r="C282" s="25"/>
      <c r="D282" s="25"/>
      <c r="E282" s="25"/>
      <c r="F282" s="23" t="str">
        <f t="shared" si="12"/>
        <v/>
      </c>
      <c r="G282" s="23" t="str">
        <f t="shared" si="13"/>
        <v/>
      </c>
      <c r="H282" s="23" t="str">
        <f t="shared" si="14"/>
        <v/>
      </c>
    </row>
    <row r="283" spans="1:8" x14ac:dyDescent="0.2">
      <c r="A283" s="26"/>
      <c r="B283" s="26"/>
      <c r="C283" s="25"/>
      <c r="D283" s="25"/>
      <c r="E283" s="25"/>
      <c r="F283" s="23" t="str">
        <f t="shared" si="12"/>
        <v/>
      </c>
      <c r="G283" s="23" t="str">
        <f t="shared" si="13"/>
        <v/>
      </c>
      <c r="H283" s="23" t="str">
        <f t="shared" si="14"/>
        <v/>
      </c>
    </row>
    <row r="284" spans="1:8" x14ac:dyDescent="0.2">
      <c r="A284" s="26"/>
      <c r="B284" s="26"/>
      <c r="C284" s="25"/>
      <c r="D284" s="25"/>
      <c r="E284" s="25"/>
      <c r="F284" s="23" t="str">
        <f t="shared" si="12"/>
        <v/>
      </c>
      <c r="G284" s="23" t="str">
        <f t="shared" si="13"/>
        <v/>
      </c>
      <c r="H284" s="23" t="str">
        <f t="shared" si="14"/>
        <v/>
      </c>
    </row>
    <row r="285" spans="1:8" x14ac:dyDescent="0.2">
      <c r="A285" s="26"/>
      <c r="B285" s="26"/>
      <c r="C285" s="25"/>
      <c r="D285" s="25"/>
      <c r="E285" s="25"/>
      <c r="F285" s="23" t="str">
        <f t="shared" si="12"/>
        <v/>
      </c>
      <c r="G285" s="23" t="str">
        <f t="shared" si="13"/>
        <v/>
      </c>
      <c r="H285" s="23" t="str">
        <f t="shared" si="14"/>
        <v/>
      </c>
    </row>
    <row r="286" spans="1:8" x14ac:dyDescent="0.2">
      <c r="A286" s="26"/>
      <c r="B286" s="26"/>
      <c r="C286" s="25"/>
      <c r="D286" s="25"/>
      <c r="E286" s="25"/>
      <c r="F286" s="23" t="str">
        <f t="shared" si="12"/>
        <v/>
      </c>
      <c r="G286" s="23" t="str">
        <f t="shared" si="13"/>
        <v/>
      </c>
      <c r="H286" s="23" t="str">
        <f t="shared" si="14"/>
        <v/>
      </c>
    </row>
    <row r="287" spans="1:8" x14ac:dyDescent="0.2">
      <c r="A287" s="26"/>
      <c r="B287" s="26"/>
      <c r="C287" s="25"/>
      <c r="D287" s="25"/>
      <c r="E287" s="25"/>
      <c r="F287" s="23" t="str">
        <f t="shared" si="12"/>
        <v/>
      </c>
      <c r="G287" s="23" t="str">
        <f t="shared" si="13"/>
        <v/>
      </c>
      <c r="H287" s="23" t="str">
        <f t="shared" si="14"/>
        <v/>
      </c>
    </row>
    <row r="288" spans="1:8" x14ac:dyDescent="0.2">
      <c r="A288" s="26"/>
      <c r="B288" s="26"/>
      <c r="C288" s="25"/>
      <c r="D288" s="25"/>
      <c r="E288" s="25"/>
      <c r="F288" s="23" t="str">
        <f t="shared" si="12"/>
        <v/>
      </c>
      <c r="G288" s="23" t="str">
        <f t="shared" si="13"/>
        <v/>
      </c>
      <c r="H288" s="23" t="str">
        <f t="shared" si="14"/>
        <v/>
      </c>
    </row>
    <row r="289" spans="1:8" x14ac:dyDescent="0.2">
      <c r="A289" s="26"/>
      <c r="B289" s="26"/>
      <c r="C289" s="25"/>
      <c r="D289" s="25"/>
      <c r="E289" s="25"/>
      <c r="F289" s="23" t="str">
        <f t="shared" si="12"/>
        <v/>
      </c>
      <c r="G289" s="23" t="str">
        <f t="shared" si="13"/>
        <v/>
      </c>
      <c r="H289" s="23" t="str">
        <f t="shared" si="14"/>
        <v/>
      </c>
    </row>
    <row r="290" spans="1:8" x14ac:dyDescent="0.2">
      <c r="A290" s="26"/>
      <c r="B290" s="26"/>
      <c r="C290" s="25"/>
      <c r="D290" s="25"/>
      <c r="E290" s="25"/>
      <c r="F290" s="23" t="str">
        <f t="shared" si="12"/>
        <v/>
      </c>
      <c r="G290" s="23" t="str">
        <f t="shared" si="13"/>
        <v/>
      </c>
      <c r="H290" s="23" t="str">
        <f t="shared" si="14"/>
        <v/>
      </c>
    </row>
    <row r="291" spans="1:8" x14ac:dyDescent="0.2">
      <c r="A291" s="26"/>
      <c r="B291" s="26"/>
      <c r="C291" s="25"/>
      <c r="D291" s="25"/>
      <c r="E291" s="25"/>
      <c r="F291" s="23" t="str">
        <f t="shared" si="12"/>
        <v/>
      </c>
      <c r="G291" s="23" t="str">
        <f t="shared" si="13"/>
        <v/>
      </c>
      <c r="H291" s="23" t="str">
        <f t="shared" si="14"/>
        <v/>
      </c>
    </row>
    <row r="292" spans="1:8" x14ac:dyDescent="0.2">
      <c r="A292" s="26"/>
      <c r="B292" s="26"/>
      <c r="C292" s="25"/>
      <c r="D292" s="25"/>
      <c r="E292" s="25"/>
      <c r="F292" s="23" t="str">
        <f t="shared" si="12"/>
        <v/>
      </c>
      <c r="G292" s="23" t="str">
        <f t="shared" si="13"/>
        <v/>
      </c>
      <c r="H292" s="23" t="str">
        <f t="shared" si="14"/>
        <v/>
      </c>
    </row>
    <row r="293" spans="1:8" x14ac:dyDescent="0.2">
      <c r="A293" s="26"/>
      <c r="B293" s="26"/>
      <c r="C293" s="25"/>
      <c r="D293" s="25"/>
      <c r="E293" s="25"/>
      <c r="F293" s="23" t="str">
        <f t="shared" si="12"/>
        <v/>
      </c>
      <c r="G293" s="23" t="str">
        <f t="shared" si="13"/>
        <v/>
      </c>
      <c r="H293" s="23" t="str">
        <f t="shared" si="14"/>
        <v/>
      </c>
    </row>
    <row r="294" spans="1:8" x14ac:dyDescent="0.2">
      <c r="A294" s="26"/>
      <c r="B294" s="26"/>
      <c r="C294" s="25"/>
      <c r="D294" s="25"/>
      <c r="E294" s="25"/>
      <c r="F294" s="23" t="str">
        <f t="shared" si="12"/>
        <v/>
      </c>
      <c r="G294" s="23" t="str">
        <f t="shared" si="13"/>
        <v/>
      </c>
      <c r="H294" s="23" t="str">
        <f t="shared" si="14"/>
        <v/>
      </c>
    </row>
    <row r="295" spans="1:8" x14ac:dyDescent="0.2">
      <c r="A295" s="26"/>
      <c r="B295" s="26"/>
      <c r="C295" s="25"/>
      <c r="D295" s="25"/>
      <c r="E295" s="25"/>
      <c r="F295" s="23" t="str">
        <f t="shared" si="12"/>
        <v/>
      </c>
      <c r="G295" s="23" t="str">
        <f t="shared" si="13"/>
        <v/>
      </c>
      <c r="H295" s="23" t="str">
        <f t="shared" si="14"/>
        <v/>
      </c>
    </row>
    <row r="296" spans="1:8" x14ac:dyDescent="0.2">
      <c r="A296" s="26"/>
      <c r="B296" s="26"/>
      <c r="C296" s="25"/>
      <c r="D296" s="25"/>
      <c r="E296" s="25"/>
      <c r="F296" s="23" t="str">
        <f t="shared" si="12"/>
        <v/>
      </c>
      <c r="G296" s="23" t="str">
        <f t="shared" si="13"/>
        <v/>
      </c>
      <c r="H296" s="23" t="str">
        <f t="shared" si="14"/>
        <v/>
      </c>
    </row>
    <row r="297" spans="1:8" x14ac:dyDescent="0.2">
      <c r="A297" s="26"/>
      <c r="B297" s="26"/>
      <c r="C297" s="25"/>
      <c r="D297" s="25"/>
      <c r="E297" s="25"/>
      <c r="F297" s="23" t="str">
        <f t="shared" si="12"/>
        <v/>
      </c>
      <c r="G297" s="23" t="str">
        <f t="shared" si="13"/>
        <v/>
      </c>
      <c r="H297" s="23" t="str">
        <f t="shared" si="14"/>
        <v/>
      </c>
    </row>
    <row r="298" spans="1:8" x14ac:dyDescent="0.2">
      <c r="A298" s="26"/>
      <c r="B298" s="26"/>
      <c r="C298" s="25"/>
      <c r="D298" s="25"/>
      <c r="E298" s="25"/>
      <c r="F298" s="23" t="str">
        <f t="shared" si="12"/>
        <v/>
      </c>
      <c r="G298" s="23" t="str">
        <f t="shared" si="13"/>
        <v/>
      </c>
      <c r="H298" s="23" t="str">
        <f t="shared" si="14"/>
        <v/>
      </c>
    </row>
    <row r="299" spans="1:8" x14ac:dyDescent="0.2">
      <c r="A299" s="26"/>
      <c r="B299" s="26"/>
      <c r="C299" s="25"/>
      <c r="D299" s="25"/>
      <c r="E299" s="25"/>
      <c r="F299" s="23" t="str">
        <f t="shared" si="12"/>
        <v/>
      </c>
      <c r="G299" s="23" t="str">
        <f t="shared" si="13"/>
        <v/>
      </c>
      <c r="H299" s="23" t="str">
        <f t="shared" si="14"/>
        <v/>
      </c>
    </row>
    <row r="300" spans="1:8" x14ac:dyDescent="0.2">
      <c r="A300" s="26"/>
      <c r="B300" s="26"/>
      <c r="C300" s="25"/>
      <c r="D300" s="25"/>
      <c r="E300" s="25"/>
      <c r="F300" s="23" t="str">
        <f t="shared" si="12"/>
        <v/>
      </c>
      <c r="G300" s="23" t="str">
        <f t="shared" si="13"/>
        <v/>
      </c>
      <c r="H300" s="23" t="str">
        <f t="shared" si="14"/>
        <v/>
      </c>
    </row>
    <row r="301" spans="1:8" x14ac:dyDescent="0.2">
      <c r="A301" s="26"/>
      <c r="B301" s="26"/>
      <c r="C301" s="25"/>
      <c r="D301" s="25"/>
      <c r="E301" s="25"/>
      <c r="F301" s="23" t="str">
        <f t="shared" si="12"/>
        <v/>
      </c>
      <c r="G301" s="23" t="str">
        <f t="shared" si="13"/>
        <v/>
      </c>
      <c r="H301" s="23" t="str">
        <f t="shared" si="14"/>
        <v/>
      </c>
    </row>
    <row r="302" spans="1:8" x14ac:dyDescent="0.2">
      <c r="A302" s="26"/>
      <c r="B302" s="26"/>
      <c r="C302" s="25"/>
      <c r="D302" s="25"/>
      <c r="E302" s="25"/>
      <c r="F302" s="23" t="str">
        <f t="shared" si="12"/>
        <v/>
      </c>
      <c r="G302" s="23" t="str">
        <f t="shared" si="13"/>
        <v/>
      </c>
      <c r="H302" s="23" t="str">
        <f t="shared" si="14"/>
        <v/>
      </c>
    </row>
    <row r="303" spans="1:8" x14ac:dyDescent="0.2">
      <c r="A303" s="26"/>
      <c r="B303" s="26"/>
      <c r="C303" s="25"/>
      <c r="D303" s="25"/>
      <c r="E303" s="25"/>
      <c r="F303" s="23" t="str">
        <f t="shared" si="12"/>
        <v/>
      </c>
      <c r="G303" s="23" t="str">
        <f t="shared" si="13"/>
        <v/>
      </c>
      <c r="H303" s="23" t="str">
        <f t="shared" si="14"/>
        <v/>
      </c>
    </row>
    <row r="304" spans="1:8" x14ac:dyDescent="0.2">
      <c r="A304" s="26"/>
      <c r="B304" s="26"/>
      <c r="C304" s="25"/>
      <c r="D304" s="25"/>
      <c r="E304" s="25"/>
      <c r="F304" s="23" t="str">
        <f t="shared" si="12"/>
        <v/>
      </c>
      <c r="G304" s="23" t="str">
        <f t="shared" si="13"/>
        <v/>
      </c>
      <c r="H304" s="23" t="str">
        <f t="shared" si="14"/>
        <v/>
      </c>
    </row>
    <row r="305" spans="1:8" x14ac:dyDescent="0.2">
      <c r="A305" s="26"/>
      <c r="B305" s="26"/>
      <c r="C305" s="25"/>
      <c r="D305" s="25"/>
      <c r="E305" s="25"/>
      <c r="F305" s="23" t="str">
        <f t="shared" si="12"/>
        <v/>
      </c>
      <c r="G305" s="23" t="str">
        <f t="shared" si="13"/>
        <v/>
      </c>
      <c r="H305" s="23" t="str">
        <f t="shared" si="14"/>
        <v/>
      </c>
    </row>
    <row r="306" spans="1:8" x14ac:dyDescent="0.2">
      <c r="A306" s="26"/>
      <c r="B306" s="26"/>
      <c r="C306" s="25"/>
      <c r="D306" s="25"/>
      <c r="E306" s="25"/>
      <c r="F306" s="23" t="str">
        <f t="shared" si="12"/>
        <v/>
      </c>
      <c r="G306" s="23" t="str">
        <f t="shared" si="13"/>
        <v/>
      </c>
      <c r="H306" s="23" t="str">
        <f t="shared" si="14"/>
        <v/>
      </c>
    </row>
    <row r="307" spans="1:8" x14ac:dyDescent="0.2">
      <c r="A307" s="26"/>
      <c r="B307" s="26"/>
      <c r="C307" s="25"/>
      <c r="D307" s="25"/>
      <c r="E307" s="25"/>
      <c r="F307" s="23" t="str">
        <f t="shared" si="12"/>
        <v/>
      </c>
      <c r="G307" s="23" t="str">
        <f t="shared" si="13"/>
        <v/>
      </c>
      <c r="H307" s="23" t="str">
        <f t="shared" si="14"/>
        <v/>
      </c>
    </row>
    <row r="308" spans="1:8" x14ac:dyDescent="0.2">
      <c r="A308" s="26"/>
      <c r="B308" s="26"/>
      <c r="C308" s="25"/>
      <c r="D308" s="25"/>
      <c r="E308" s="25"/>
      <c r="F308" s="23" t="str">
        <f t="shared" si="12"/>
        <v/>
      </c>
      <c r="G308" s="23" t="str">
        <f t="shared" si="13"/>
        <v/>
      </c>
      <c r="H308" s="23" t="str">
        <f t="shared" si="14"/>
        <v/>
      </c>
    </row>
    <row r="309" spans="1:8" x14ac:dyDescent="0.2">
      <c r="A309" s="26"/>
      <c r="B309" s="26"/>
      <c r="C309" s="25"/>
      <c r="D309" s="25"/>
      <c r="E309" s="25"/>
      <c r="F309" s="23" t="str">
        <f t="shared" si="12"/>
        <v/>
      </c>
      <c r="G309" s="23" t="str">
        <f t="shared" si="13"/>
        <v/>
      </c>
      <c r="H309" s="23" t="str">
        <f t="shared" si="14"/>
        <v/>
      </c>
    </row>
    <row r="310" spans="1:8" x14ac:dyDescent="0.2">
      <c r="A310" s="26"/>
      <c r="B310" s="26"/>
      <c r="C310" s="25"/>
      <c r="D310" s="25"/>
      <c r="E310" s="25"/>
      <c r="F310" s="23" t="str">
        <f t="shared" si="12"/>
        <v/>
      </c>
      <c r="G310" s="23" t="str">
        <f t="shared" si="13"/>
        <v/>
      </c>
      <c r="H310" s="23" t="str">
        <f t="shared" si="14"/>
        <v/>
      </c>
    </row>
    <row r="311" spans="1:8" x14ac:dyDescent="0.2">
      <c r="A311" s="26"/>
      <c r="B311" s="26"/>
      <c r="C311" s="25"/>
      <c r="D311" s="25"/>
      <c r="E311" s="25"/>
      <c r="F311" s="23" t="str">
        <f t="shared" si="12"/>
        <v/>
      </c>
      <c r="G311" s="23" t="str">
        <f t="shared" si="13"/>
        <v/>
      </c>
      <c r="H311" s="23" t="str">
        <f t="shared" si="14"/>
        <v/>
      </c>
    </row>
    <row r="312" spans="1:8" x14ac:dyDescent="0.2">
      <c r="A312" s="26"/>
      <c r="B312" s="26"/>
      <c r="C312" s="25"/>
      <c r="D312" s="25"/>
      <c r="E312" s="25"/>
      <c r="F312" s="23" t="str">
        <f t="shared" si="12"/>
        <v/>
      </c>
      <c r="G312" s="23" t="str">
        <f t="shared" si="13"/>
        <v/>
      </c>
      <c r="H312" s="23" t="str">
        <f t="shared" si="14"/>
        <v/>
      </c>
    </row>
    <row r="313" spans="1:8" x14ac:dyDescent="0.2">
      <c r="A313" s="26"/>
      <c r="B313" s="26"/>
      <c r="C313" s="25"/>
      <c r="D313" s="25"/>
      <c r="E313" s="25"/>
      <c r="F313" s="23" t="str">
        <f t="shared" si="12"/>
        <v/>
      </c>
      <c r="G313" s="23" t="str">
        <f t="shared" si="13"/>
        <v/>
      </c>
      <c r="H313" s="23" t="str">
        <f t="shared" si="14"/>
        <v/>
      </c>
    </row>
    <row r="314" spans="1:8" x14ac:dyDescent="0.2">
      <c r="A314" s="26"/>
      <c r="B314" s="26"/>
      <c r="C314" s="25"/>
      <c r="D314" s="25"/>
      <c r="E314" s="25"/>
      <c r="F314" s="23" t="str">
        <f t="shared" si="12"/>
        <v/>
      </c>
      <c r="G314" s="23" t="str">
        <f t="shared" si="13"/>
        <v/>
      </c>
      <c r="H314" s="23" t="str">
        <f t="shared" si="14"/>
        <v/>
      </c>
    </row>
    <row r="315" spans="1:8" x14ac:dyDescent="0.2">
      <c r="A315" s="26"/>
      <c r="B315" s="26"/>
      <c r="C315" s="25"/>
      <c r="D315" s="25"/>
      <c r="E315" s="25"/>
      <c r="F315" s="23" t="str">
        <f t="shared" si="12"/>
        <v/>
      </c>
      <c r="G315" s="23" t="str">
        <f t="shared" si="13"/>
        <v/>
      </c>
      <c r="H315" s="23" t="str">
        <f t="shared" si="14"/>
        <v/>
      </c>
    </row>
    <row r="316" spans="1:8" x14ac:dyDescent="0.2">
      <c r="A316" s="26"/>
      <c r="B316" s="26"/>
      <c r="C316" s="25"/>
      <c r="D316" s="25"/>
      <c r="E316" s="25"/>
      <c r="F316" s="23" t="str">
        <f t="shared" si="12"/>
        <v/>
      </c>
      <c r="G316" s="23" t="str">
        <f t="shared" si="13"/>
        <v/>
      </c>
      <c r="H316" s="23" t="str">
        <f t="shared" si="14"/>
        <v/>
      </c>
    </row>
    <row r="317" spans="1:8" x14ac:dyDescent="0.2">
      <c r="A317" s="26"/>
      <c r="B317" s="26"/>
      <c r="C317" s="25"/>
      <c r="D317" s="25"/>
      <c r="E317" s="25"/>
      <c r="F317" s="23" t="str">
        <f t="shared" si="12"/>
        <v/>
      </c>
      <c r="G317" s="23" t="str">
        <f t="shared" si="13"/>
        <v/>
      </c>
      <c r="H317" s="23" t="str">
        <f t="shared" si="14"/>
        <v/>
      </c>
    </row>
    <row r="318" spans="1:8" x14ac:dyDescent="0.2">
      <c r="A318" s="26"/>
      <c r="B318" s="26"/>
      <c r="C318" s="25"/>
      <c r="D318" s="25"/>
      <c r="E318" s="25"/>
      <c r="F318" s="23" t="str">
        <f t="shared" si="12"/>
        <v/>
      </c>
      <c r="G318" s="23" t="str">
        <f t="shared" si="13"/>
        <v/>
      </c>
      <c r="H318" s="23" t="str">
        <f t="shared" si="14"/>
        <v/>
      </c>
    </row>
    <row r="319" spans="1:8" x14ac:dyDescent="0.2">
      <c r="A319" s="26"/>
      <c r="B319" s="26"/>
      <c r="C319" s="25"/>
      <c r="D319" s="25"/>
      <c r="E319" s="25"/>
      <c r="F319" s="23" t="str">
        <f t="shared" si="12"/>
        <v/>
      </c>
      <c r="G319" s="23" t="str">
        <f t="shared" si="13"/>
        <v/>
      </c>
      <c r="H319" s="23" t="str">
        <f t="shared" si="14"/>
        <v/>
      </c>
    </row>
    <row r="320" spans="1:8" x14ac:dyDescent="0.2">
      <c r="A320" s="26"/>
      <c r="B320" s="26"/>
      <c r="C320" s="25"/>
      <c r="D320" s="25"/>
      <c r="E320" s="25"/>
      <c r="F320" s="23" t="str">
        <f t="shared" si="12"/>
        <v/>
      </c>
      <c r="G320" s="23" t="str">
        <f t="shared" si="13"/>
        <v/>
      </c>
      <c r="H320" s="23" t="str">
        <f t="shared" si="14"/>
        <v/>
      </c>
    </row>
    <row r="321" spans="1:8" x14ac:dyDescent="0.2">
      <c r="A321" s="26"/>
      <c r="B321" s="26"/>
      <c r="C321" s="25"/>
      <c r="D321" s="25"/>
      <c r="E321" s="25"/>
      <c r="F321" s="23" t="str">
        <f t="shared" si="12"/>
        <v/>
      </c>
      <c r="G321" s="23" t="str">
        <f t="shared" si="13"/>
        <v/>
      </c>
      <c r="H321" s="23" t="str">
        <f t="shared" si="14"/>
        <v/>
      </c>
    </row>
    <row r="322" spans="1:8" x14ac:dyDescent="0.2">
      <c r="A322" s="26"/>
      <c r="B322" s="26"/>
      <c r="C322" s="25"/>
      <c r="D322" s="25"/>
      <c r="E322" s="25"/>
      <c r="F322" s="23" t="str">
        <f t="shared" si="12"/>
        <v/>
      </c>
      <c r="G322" s="23" t="str">
        <f t="shared" si="13"/>
        <v/>
      </c>
      <c r="H322" s="23" t="str">
        <f t="shared" si="14"/>
        <v/>
      </c>
    </row>
    <row r="323" spans="1:8" x14ac:dyDescent="0.2">
      <c r="A323" s="26"/>
      <c r="B323" s="26"/>
      <c r="C323" s="25"/>
      <c r="D323" s="25"/>
      <c r="E323" s="25"/>
      <c r="F323" s="23" t="str">
        <f t="shared" si="12"/>
        <v/>
      </c>
      <c r="G323" s="23" t="str">
        <f t="shared" si="13"/>
        <v/>
      </c>
      <c r="H323" s="23" t="str">
        <f t="shared" si="14"/>
        <v/>
      </c>
    </row>
    <row r="324" spans="1:8" x14ac:dyDescent="0.2">
      <c r="A324" s="26"/>
      <c r="B324" s="26"/>
      <c r="C324" s="25"/>
      <c r="D324" s="25"/>
      <c r="E324" s="25"/>
      <c r="F324" s="23" t="str">
        <f t="shared" ref="F324:F387" si="15">IF(C324&lt;&gt;"",($J$23*C324+$K$23*D324+$L$23*E324)+$K$7,"")</f>
        <v/>
      </c>
      <c r="G324" s="23" t="str">
        <f t="shared" ref="G324:G387" si="16">IF(D324&lt;&gt;"",($J$24*C324+$K$24*D324+$L$24*E324)+$K$8,"")</f>
        <v/>
      </c>
      <c r="H324" s="23" t="str">
        <f t="shared" ref="H324:H387" si="17">IF(E324&lt;&gt;"",($J$25*C324+$K$25*D324+$L$25*E324)+$K$9,"")</f>
        <v/>
      </c>
    </row>
    <row r="325" spans="1:8" x14ac:dyDescent="0.2">
      <c r="A325" s="26"/>
      <c r="B325" s="26"/>
      <c r="C325" s="25"/>
      <c r="D325" s="25"/>
      <c r="E325" s="25"/>
      <c r="F325" s="23" t="str">
        <f t="shared" si="15"/>
        <v/>
      </c>
      <c r="G325" s="23" t="str">
        <f t="shared" si="16"/>
        <v/>
      </c>
      <c r="H325" s="23" t="str">
        <f t="shared" si="17"/>
        <v/>
      </c>
    </row>
    <row r="326" spans="1:8" x14ac:dyDescent="0.2">
      <c r="A326" s="26"/>
      <c r="B326" s="26"/>
      <c r="C326" s="25"/>
      <c r="D326" s="25"/>
      <c r="E326" s="25"/>
      <c r="F326" s="23" t="str">
        <f t="shared" si="15"/>
        <v/>
      </c>
      <c r="G326" s="23" t="str">
        <f t="shared" si="16"/>
        <v/>
      </c>
      <c r="H326" s="23" t="str">
        <f t="shared" si="17"/>
        <v/>
      </c>
    </row>
    <row r="327" spans="1:8" x14ac:dyDescent="0.2">
      <c r="A327" s="26"/>
      <c r="B327" s="26"/>
      <c r="C327" s="25"/>
      <c r="D327" s="25"/>
      <c r="E327" s="25"/>
      <c r="F327" s="23" t="str">
        <f t="shared" si="15"/>
        <v/>
      </c>
      <c r="G327" s="23" t="str">
        <f t="shared" si="16"/>
        <v/>
      </c>
      <c r="H327" s="23" t="str">
        <f t="shared" si="17"/>
        <v/>
      </c>
    </row>
    <row r="328" spans="1:8" x14ac:dyDescent="0.2">
      <c r="A328" s="26"/>
      <c r="B328" s="26"/>
      <c r="C328" s="25"/>
      <c r="D328" s="25"/>
      <c r="E328" s="25"/>
      <c r="F328" s="23" t="str">
        <f t="shared" si="15"/>
        <v/>
      </c>
      <c r="G328" s="23" t="str">
        <f t="shared" si="16"/>
        <v/>
      </c>
      <c r="H328" s="23" t="str">
        <f t="shared" si="17"/>
        <v/>
      </c>
    </row>
    <row r="329" spans="1:8" x14ac:dyDescent="0.2">
      <c r="A329" s="26"/>
      <c r="B329" s="26"/>
      <c r="C329" s="25"/>
      <c r="D329" s="25"/>
      <c r="E329" s="25"/>
      <c r="F329" s="23" t="str">
        <f t="shared" si="15"/>
        <v/>
      </c>
      <c r="G329" s="23" t="str">
        <f t="shared" si="16"/>
        <v/>
      </c>
      <c r="H329" s="23" t="str">
        <f t="shared" si="17"/>
        <v/>
      </c>
    </row>
    <row r="330" spans="1:8" x14ac:dyDescent="0.2">
      <c r="A330" s="26"/>
      <c r="B330" s="26"/>
      <c r="C330" s="25"/>
      <c r="D330" s="25"/>
      <c r="E330" s="25"/>
      <c r="F330" s="23" t="str">
        <f t="shared" si="15"/>
        <v/>
      </c>
      <c r="G330" s="23" t="str">
        <f t="shared" si="16"/>
        <v/>
      </c>
      <c r="H330" s="23" t="str">
        <f t="shared" si="17"/>
        <v/>
      </c>
    </row>
    <row r="331" spans="1:8" x14ac:dyDescent="0.2">
      <c r="A331" s="26"/>
      <c r="B331" s="26"/>
      <c r="C331" s="25"/>
      <c r="D331" s="25"/>
      <c r="E331" s="25"/>
      <c r="F331" s="23" t="str">
        <f t="shared" si="15"/>
        <v/>
      </c>
      <c r="G331" s="23" t="str">
        <f t="shared" si="16"/>
        <v/>
      </c>
      <c r="H331" s="23" t="str">
        <f t="shared" si="17"/>
        <v/>
      </c>
    </row>
    <row r="332" spans="1:8" x14ac:dyDescent="0.2">
      <c r="A332" s="26"/>
      <c r="B332" s="26"/>
      <c r="C332" s="25"/>
      <c r="D332" s="25"/>
      <c r="E332" s="25"/>
      <c r="F332" s="23" t="str">
        <f t="shared" si="15"/>
        <v/>
      </c>
      <c r="G332" s="23" t="str">
        <f t="shared" si="16"/>
        <v/>
      </c>
      <c r="H332" s="23" t="str">
        <f t="shared" si="17"/>
        <v/>
      </c>
    </row>
    <row r="333" spans="1:8" x14ac:dyDescent="0.2">
      <c r="A333" s="26"/>
      <c r="B333" s="26"/>
      <c r="C333" s="25"/>
      <c r="D333" s="25"/>
      <c r="E333" s="25"/>
      <c r="F333" s="23" t="str">
        <f t="shared" si="15"/>
        <v/>
      </c>
      <c r="G333" s="23" t="str">
        <f t="shared" si="16"/>
        <v/>
      </c>
      <c r="H333" s="23" t="str">
        <f t="shared" si="17"/>
        <v/>
      </c>
    </row>
    <row r="334" spans="1:8" x14ac:dyDescent="0.2">
      <c r="A334" s="26"/>
      <c r="B334" s="26"/>
      <c r="C334" s="25"/>
      <c r="D334" s="25"/>
      <c r="E334" s="25"/>
      <c r="F334" s="23" t="str">
        <f t="shared" si="15"/>
        <v/>
      </c>
      <c r="G334" s="23" t="str">
        <f t="shared" si="16"/>
        <v/>
      </c>
      <c r="H334" s="23" t="str">
        <f t="shared" si="17"/>
        <v/>
      </c>
    </row>
    <row r="335" spans="1:8" x14ac:dyDescent="0.2">
      <c r="A335" s="26"/>
      <c r="B335" s="26"/>
      <c r="C335" s="25"/>
      <c r="D335" s="25"/>
      <c r="E335" s="25"/>
      <c r="F335" s="23" t="str">
        <f t="shared" si="15"/>
        <v/>
      </c>
      <c r="G335" s="23" t="str">
        <f t="shared" si="16"/>
        <v/>
      </c>
      <c r="H335" s="23" t="str">
        <f t="shared" si="17"/>
        <v/>
      </c>
    </row>
    <row r="336" spans="1:8" x14ac:dyDescent="0.2">
      <c r="A336" s="26"/>
      <c r="B336" s="26"/>
      <c r="C336" s="25"/>
      <c r="D336" s="25"/>
      <c r="E336" s="25"/>
      <c r="F336" s="23" t="str">
        <f t="shared" si="15"/>
        <v/>
      </c>
      <c r="G336" s="23" t="str">
        <f t="shared" si="16"/>
        <v/>
      </c>
      <c r="H336" s="23" t="str">
        <f t="shared" si="17"/>
        <v/>
      </c>
    </row>
    <row r="337" spans="1:8" x14ac:dyDescent="0.2">
      <c r="A337" s="26"/>
      <c r="B337" s="26"/>
      <c r="C337" s="25"/>
      <c r="D337" s="25"/>
      <c r="E337" s="25"/>
      <c r="F337" s="23" t="str">
        <f t="shared" si="15"/>
        <v/>
      </c>
      <c r="G337" s="23" t="str">
        <f t="shared" si="16"/>
        <v/>
      </c>
      <c r="H337" s="23" t="str">
        <f t="shared" si="17"/>
        <v/>
      </c>
    </row>
    <row r="338" spans="1:8" x14ac:dyDescent="0.2">
      <c r="A338" s="26"/>
      <c r="B338" s="26"/>
      <c r="C338" s="25"/>
      <c r="D338" s="25"/>
      <c r="E338" s="25"/>
      <c r="F338" s="23" t="str">
        <f t="shared" si="15"/>
        <v/>
      </c>
      <c r="G338" s="23" t="str">
        <f t="shared" si="16"/>
        <v/>
      </c>
      <c r="H338" s="23" t="str">
        <f t="shared" si="17"/>
        <v/>
      </c>
    </row>
    <row r="339" spans="1:8" x14ac:dyDescent="0.2">
      <c r="A339" s="26"/>
      <c r="B339" s="26"/>
      <c r="C339" s="25"/>
      <c r="D339" s="25"/>
      <c r="E339" s="25"/>
      <c r="F339" s="23" t="str">
        <f t="shared" si="15"/>
        <v/>
      </c>
      <c r="G339" s="23" t="str">
        <f t="shared" si="16"/>
        <v/>
      </c>
      <c r="H339" s="23" t="str">
        <f t="shared" si="17"/>
        <v/>
      </c>
    </row>
    <row r="340" spans="1:8" x14ac:dyDescent="0.2">
      <c r="A340" s="26"/>
      <c r="B340" s="26"/>
      <c r="C340" s="25"/>
      <c r="D340" s="25"/>
      <c r="E340" s="25"/>
      <c r="F340" s="23" t="str">
        <f t="shared" si="15"/>
        <v/>
      </c>
      <c r="G340" s="23" t="str">
        <f t="shared" si="16"/>
        <v/>
      </c>
      <c r="H340" s="23" t="str">
        <f t="shared" si="17"/>
        <v/>
      </c>
    </row>
    <row r="341" spans="1:8" x14ac:dyDescent="0.2">
      <c r="A341" s="26"/>
      <c r="B341" s="26"/>
      <c r="C341" s="25"/>
      <c r="D341" s="25"/>
      <c r="E341" s="25"/>
      <c r="F341" s="23" t="str">
        <f t="shared" si="15"/>
        <v/>
      </c>
      <c r="G341" s="23" t="str">
        <f t="shared" si="16"/>
        <v/>
      </c>
      <c r="H341" s="23" t="str">
        <f t="shared" si="17"/>
        <v/>
      </c>
    </row>
    <row r="342" spans="1:8" x14ac:dyDescent="0.2">
      <c r="A342" s="26"/>
      <c r="B342" s="26"/>
      <c r="C342" s="25"/>
      <c r="D342" s="25"/>
      <c r="E342" s="25"/>
      <c r="F342" s="23" t="str">
        <f t="shared" si="15"/>
        <v/>
      </c>
      <c r="G342" s="23" t="str">
        <f t="shared" si="16"/>
        <v/>
      </c>
      <c r="H342" s="23" t="str">
        <f t="shared" si="17"/>
        <v/>
      </c>
    </row>
    <row r="343" spans="1:8" x14ac:dyDescent="0.2">
      <c r="A343" s="26"/>
      <c r="B343" s="26"/>
      <c r="C343" s="25"/>
      <c r="D343" s="25"/>
      <c r="E343" s="25"/>
      <c r="F343" s="23" t="str">
        <f t="shared" si="15"/>
        <v/>
      </c>
      <c r="G343" s="23" t="str">
        <f t="shared" si="16"/>
        <v/>
      </c>
      <c r="H343" s="23" t="str">
        <f t="shared" si="17"/>
        <v/>
      </c>
    </row>
    <row r="344" spans="1:8" x14ac:dyDescent="0.2">
      <c r="A344" s="26"/>
      <c r="B344" s="26"/>
      <c r="C344" s="25"/>
      <c r="D344" s="25"/>
      <c r="E344" s="25"/>
      <c r="F344" s="23" t="str">
        <f t="shared" si="15"/>
        <v/>
      </c>
      <c r="G344" s="23" t="str">
        <f t="shared" si="16"/>
        <v/>
      </c>
      <c r="H344" s="23" t="str">
        <f t="shared" si="17"/>
        <v/>
      </c>
    </row>
    <row r="345" spans="1:8" x14ac:dyDescent="0.2">
      <c r="A345" s="26"/>
      <c r="B345" s="26"/>
      <c r="C345" s="25"/>
      <c r="D345" s="25"/>
      <c r="E345" s="25"/>
      <c r="F345" s="23" t="str">
        <f t="shared" si="15"/>
        <v/>
      </c>
      <c r="G345" s="23" t="str">
        <f t="shared" si="16"/>
        <v/>
      </c>
      <c r="H345" s="23" t="str">
        <f t="shared" si="17"/>
        <v/>
      </c>
    </row>
    <row r="346" spans="1:8" x14ac:dyDescent="0.2">
      <c r="A346" s="26"/>
      <c r="B346" s="26"/>
      <c r="C346" s="25"/>
      <c r="D346" s="25"/>
      <c r="E346" s="25"/>
      <c r="F346" s="23" t="str">
        <f t="shared" si="15"/>
        <v/>
      </c>
      <c r="G346" s="23" t="str">
        <f t="shared" si="16"/>
        <v/>
      </c>
      <c r="H346" s="23" t="str">
        <f t="shared" si="17"/>
        <v/>
      </c>
    </row>
    <row r="347" spans="1:8" x14ac:dyDescent="0.2">
      <c r="A347" s="26"/>
      <c r="B347" s="26"/>
      <c r="C347" s="25"/>
      <c r="D347" s="25"/>
      <c r="E347" s="25"/>
      <c r="F347" s="23" t="str">
        <f t="shared" si="15"/>
        <v/>
      </c>
      <c r="G347" s="23" t="str">
        <f t="shared" si="16"/>
        <v/>
      </c>
      <c r="H347" s="23" t="str">
        <f t="shared" si="17"/>
        <v/>
      </c>
    </row>
    <row r="348" spans="1:8" x14ac:dyDescent="0.2">
      <c r="A348" s="26"/>
      <c r="B348" s="26"/>
      <c r="C348" s="25"/>
      <c r="D348" s="25"/>
      <c r="E348" s="25"/>
      <c r="F348" s="23" t="str">
        <f t="shared" si="15"/>
        <v/>
      </c>
      <c r="G348" s="23" t="str">
        <f t="shared" si="16"/>
        <v/>
      </c>
      <c r="H348" s="23" t="str">
        <f t="shared" si="17"/>
        <v/>
      </c>
    </row>
    <row r="349" spans="1:8" x14ac:dyDescent="0.2">
      <c r="A349" s="26"/>
      <c r="B349" s="26"/>
      <c r="C349" s="25"/>
      <c r="D349" s="25"/>
      <c r="E349" s="25"/>
      <c r="F349" s="23" t="str">
        <f t="shared" si="15"/>
        <v/>
      </c>
      <c r="G349" s="23" t="str">
        <f t="shared" si="16"/>
        <v/>
      </c>
      <c r="H349" s="23" t="str">
        <f t="shared" si="17"/>
        <v/>
      </c>
    </row>
    <row r="350" spans="1:8" x14ac:dyDescent="0.2">
      <c r="A350" s="26"/>
      <c r="B350" s="26"/>
      <c r="C350" s="25"/>
      <c r="D350" s="25"/>
      <c r="E350" s="25"/>
      <c r="F350" s="23" t="str">
        <f t="shared" si="15"/>
        <v/>
      </c>
      <c r="G350" s="23" t="str">
        <f t="shared" si="16"/>
        <v/>
      </c>
      <c r="H350" s="23" t="str">
        <f t="shared" si="17"/>
        <v/>
      </c>
    </row>
    <row r="351" spans="1:8" x14ac:dyDescent="0.2">
      <c r="A351" s="26"/>
      <c r="B351" s="26"/>
      <c r="C351" s="25"/>
      <c r="D351" s="25"/>
      <c r="E351" s="25"/>
      <c r="F351" s="23" t="str">
        <f t="shared" si="15"/>
        <v/>
      </c>
      <c r="G351" s="23" t="str">
        <f t="shared" si="16"/>
        <v/>
      </c>
      <c r="H351" s="23" t="str">
        <f t="shared" si="17"/>
        <v/>
      </c>
    </row>
    <row r="352" spans="1:8" x14ac:dyDescent="0.2">
      <c r="A352" s="26"/>
      <c r="B352" s="26"/>
      <c r="C352" s="25"/>
      <c r="D352" s="25"/>
      <c r="E352" s="25"/>
      <c r="F352" s="23" t="str">
        <f t="shared" si="15"/>
        <v/>
      </c>
      <c r="G352" s="23" t="str">
        <f t="shared" si="16"/>
        <v/>
      </c>
      <c r="H352" s="23" t="str">
        <f t="shared" si="17"/>
        <v/>
      </c>
    </row>
    <row r="353" spans="1:8" x14ac:dyDescent="0.2">
      <c r="A353" s="26"/>
      <c r="B353" s="26"/>
      <c r="C353" s="25"/>
      <c r="D353" s="25"/>
      <c r="E353" s="25"/>
      <c r="F353" s="23" t="str">
        <f t="shared" si="15"/>
        <v/>
      </c>
      <c r="G353" s="23" t="str">
        <f t="shared" si="16"/>
        <v/>
      </c>
      <c r="H353" s="23" t="str">
        <f t="shared" si="17"/>
        <v/>
      </c>
    </row>
    <row r="354" spans="1:8" x14ac:dyDescent="0.2">
      <c r="A354" s="26"/>
      <c r="B354" s="26"/>
      <c r="C354" s="25"/>
      <c r="D354" s="25"/>
      <c r="E354" s="25"/>
      <c r="F354" s="23" t="str">
        <f t="shared" si="15"/>
        <v/>
      </c>
      <c r="G354" s="23" t="str">
        <f t="shared" si="16"/>
        <v/>
      </c>
      <c r="H354" s="23" t="str">
        <f t="shared" si="17"/>
        <v/>
      </c>
    </row>
    <row r="355" spans="1:8" x14ac:dyDescent="0.2">
      <c r="A355" s="26"/>
      <c r="B355" s="26"/>
      <c r="C355" s="25"/>
      <c r="D355" s="25"/>
      <c r="E355" s="25"/>
      <c r="F355" s="23" t="str">
        <f t="shared" si="15"/>
        <v/>
      </c>
      <c r="G355" s="23" t="str">
        <f t="shared" si="16"/>
        <v/>
      </c>
      <c r="H355" s="23" t="str">
        <f t="shared" si="17"/>
        <v/>
      </c>
    </row>
    <row r="356" spans="1:8" x14ac:dyDescent="0.2">
      <c r="A356" s="26"/>
      <c r="B356" s="26"/>
      <c r="C356" s="25"/>
      <c r="D356" s="25"/>
      <c r="E356" s="25"/>
      <c r="F356" s="23" t="str">
        <f t="shared" si="15"/>
        <v/>
      </c>
      <c r="G356" s="23" t="str">
        <f t="shared" si="16"/>
        <v/>
      </c>
      <c r="H356" s="23" t="str">
        <f t="shared" si="17"/>
        <v/>
      </c>
    </row>
    <row r="357" spans="1:8" x14ac:dyDescent="0.2">
      <c r="A357" s="26"/>
      <c r="B357" s="26"/>
      <c r="C357" s="25"/>
      <c r="D357" s="25"/>
      <c r="E357" s="25"/>
      <c r="F357" s="23" t="str">
        <f t="shared" si="15"/>
        <v/>
      </c>
      <c r="G357" s="23" t="str">
        <f t="shared" si="16"/>
        <v/>
      </c>
      <c r="H357" s="23" t="str">
        <f t="shared" si="17"/>
        <v/>
      </c>
    </row>
    <row r="358" spans="1:8" x14ac:dyDescent="0.2">
      <c r="A358" s="26"/>
      <c r="B358" s="26"/>
      <c r="C358" s="25"/>
      <c r="D358" s="25"/>
      <c r="E358" s="25"/>
      <c r="F358" s="23" t="str">
        <f t="shared" si="15"/>
        <v/>
      </c>
      <c r="G358" s="23" t="str">
        <f t="shared" si="16"/>
        <v/>
      </c>
      <c r="H358" s="23" t="str">
        <f t="shared" si="17"/>
        <v/>
      </c>
    </row>
    <row r="359" spans="1:8" x14ac:dyDescent="0.2">
      <c r="A359" s="26"/>
      <c r="B359" s="26"/>
      <c r="C359" s="25"/>
      <c r="D359" s="25"/>
      <c r="E359" s="25"/>
      <c r="F359" s="23" t="str">
        <f t="shared" si="15"/>
        <v/>
      </c>
      <c r="G359" s="23" t="str">
        <f t="shared" si="16"/>
        <v/>
      </c>
      <c r="H359" s="23" t="str">
        <f t="shared" si="17"/>
        <v/>
      </c>
    </row>
    <row r="360" spans="1:8" x14ac:dyDescent="0.2">
      <c r="A360" s="26"/>
      <c r="B360" s="26"/>
      <c r="C360" s="25"/>
      <c r="D360" s="25"/>
      <c r="E360" s="25"/>
      <c r="F360" s="23" t="str">
        <f t="shared" si="15"/>
        <v/>
      </c>
      <c r="G360" s="23" t="str">
        <f t="shared" si="16"/>
        <v/>
      </c>
      <c r="H360" s="23" t="str">
        <f t="shared" si="17"/>
        <v/>
      </c>
    </row>
    <row r="361" spans="1:8" x14ac:dyDescent="0.2">
      <c r="A361" s="26"/>
      <c r="B361" s="26"/>
      <c r="C361" s="25"/>
      <c r="D361" s="25"/>
      <c r="E361" s="25"/>
      <c r="F361" s="23" t="str">
        <f t="shared" si="15"/>
        <v/>
      </c>
      <c r="G361" s="23" t="str">
        <f t="shared" si="16"/>
        <v/>
      </c>
      <c r="H361" s="23" t="str">
        <f t="shared" si="17"/>
        <v/>
      </c>
    </row>
    <row r="362" spans="1:8" x14ac:dyDescent="0.2">
      <c r="A362" s="26"/>
      <c r="B362" s="26"/>
      <c r="C362" s="25"/>
      <c r="D362" s="25"/>
      <c r="E362" s="25"/>
      <c r="F362" s="23" t="str">
        <f t="shared" si="15"/>
        <v/>
      </c>
      <c r="G362" s="23" t="str">
        <f t="shared" si="16"/>
        <v/>
      </c>
      <c r="H362" s="23" t="str">
        <f t="shared" si="17"/>
        <v/>
      </c>
    </row>
    <row r="363" spans="1:8" x14ac:dyDescent="0.2">
      <c r="A363" s="26"/>
      <c r="B363" s="26"/>
      <c r="C363" s="25"/>
      <c r="D363" s="25"/>
      <c r="E363" s="25"/>
      <c r="F363" s="23" t="str">
        <f t="shared" si="15"/>
        <v/>
      </c>
      <c r="G363" s="23" t="str">
        <f t="shared" si="16"/>
        <v/>
      </c>
      <c r="H363" s="23" t="str">
        <f t="shared" si="17"/>
        <v/>
      </c>
    </row>
    <row r="364" spans="1:8" x14ac:dyDescent="0.2">
      <c r="A364" s="26"/>
      <c r="B364" s="26"/>
      <c r="C364" s="25"/>
      <c r="D364" s="25"/>
      <c r="E364" s="25"/>
      <c r="F364" s="23" t="str">
        <f t="shared" si="15"/>
        <v/>
      </c>
      <c r="G364" s="23" t="str">
        <f t="shared" si="16"/>
        <v/>
      </c>
      <c r="H364" s="23" t="str">
        <f t="shared" si="17"/>
        <v/>
      </c>
    </row>
    <row r="365" spans="1:8" x14ac:dyDescent="0.2">
      <c r="A365" s="26"/>
      <c r="B365" s="26"/>
      <c r="C365" s="25"/>
      <c r="D365" s="25"/>
      <c r="E365" s="25"/>
      <c r="F365" s="23" t="str">
        <f t="shared" si="15"/>
        <v/>
      </c>
      <c r="G365" s="23" t="str">
        <f t="shared" si="16"/>
        <v/>
      </c>
      <c r="H365" s="23" t="str">
        <f t="shared" si="17"/>
        <v/>
      </c>
    </row>
    <row r="366" spans="1:8" x14ac:dyDescent="0.2">
      <c r="A366" s="26"/>
      <c r="B366" s="26"/>
      <c r="C366" s="25"/>
      <c r="D366" s="25"/>
      <c r="E366" s="25"/>
      <c r="F366" s="23" t="str">
        <f t="shared" si="15"/>
        <v/>
      </c>
      <c r="G366" s="23" t="str">
        <f t="shared" si="16"/>
        <v/>
      </c>
      <c r="H366" s="23" t="str">
        <f t="shared" si="17"/>
        <v/>
      </c>
    </row>
    <row r="367" spans="1:8" x14ac:dyDescent="0.2">
      <c r="A367" s="26"/>
      <c r="B367" s="26"/>
      <c r="C367" s="25"/>
      <c r="D367" s="25"/>
      <c r="E367" s="25"/>
      <c r="F367" s="23" t="str">
        <f t="shared" si="15"/>
        <v/>
      </c>
      <c r="G367" s="23" t="str">
        <f t="shared" si="16"/>
        <v/>
      </c>
      <c r="H367" s="23" t="str">
        <f t="shared" si="17"/>
        <v/>
      </c>
    </row>
    <row r="368" spans="1:8" x14ac:dyDescent="0.2">
      <c r="A368" s="26"/>
      <c r="B368" s="26"/>
      <c r="C368" s="25"/>
      <c r="D368" s="25"/>
      <c r="E368" s="25"/>
      <c r="F368" s="23" t="str">
        <f t="shared" si="15"/>
        <v/>
      </c>
      <c r="G368" s="23" t="str">
        <f t="shared" si="16"/>
        <v/>
      </c>
      <c r="H368" s="23" t="str">
        <f t="shared" si="17"/>
        <v/>
      </c>
    </row>
    <row r="369" spans="1:8" x14ac:dyDescent="0.2">
      <c r="A369" s="26"/>
      <c r="B369" s="26"/>
      <c r="C369" s="25"/>
      <c r="D369" s="25"/>
      <c r="E369" s="25"/>
      <c r="F369" s="23" t="str">
        <f t="shared" si="15"/>
        <v/>
      </c>
      <c r="G369" s="23" t="str">
        <f t="shared" si="16"/>
        <v/>
      </c>
      <c r="H369" s="23" t="str">
        <f t="shared" si="17"/>
        <v/>
      </c>
    </row>
    <row r="370" spans="1:8" x14ac:dyDescent="0.2">
      <c r="A370" s="26"/>
      <c r="B370" s="26"/>
      <c r="C370" s="25"/>
      <c r="D370" s="25"/>
      <c r="E370" s="25"/>
      <c r="F370" s="23" t="str">
        <f t="shared" si="15"/>
        <v/>
      </c>
      <c r="G370" s="23" t="str">
        <f t="shared" si="16"/>
        <v/>
      </c>
      <c r="H370" s="23" t="str">
        <f t="shared" si="17"/>
        <v/>
      </c>
    </row>
    <row r="371" spans="1:8" x14ac:dyDescent="0.2">
      <c r="A371" s="26"/>
      <c r="B371" s="26"/>
      <c r="C371" s="25"/>
      <c r="D371" s="25"/>
      <c r="E371" s="25"/>
      <c r="F371" s="23" t="str">
        <f t="shared" si="15"/>
        <v/>
      </c>
      <c r="G371" s="23" t="str">
        <f t="shared" si="16"/>
        <v/>
      </c>
      <c r="H371" s="23" t="str">
        <f t="shared" si="17"/>
        <v/>
      </c>
    </row>
    <row r="372" spans="1:8" x14ac:dyDescent="0.2">
      <c r="A372" s="26"/>
      <c r="B372" s="26"/>
      <c r="C372" s="25"/>
      <c r="D372" s="25"/>
      <c r="E372" s="25"/>
      <c r="F372" s="23" t="str">
        <f t="shared" si="15"/>
        <v/>
      </c>
      <c r="G372" s="23" t="str">
        <f t="shared" si="16"/>
        <v/>
      </c>
      <c r="H372" s="23" t="str">
        <f t="shared" si="17"/>
        <v/>
      </c>
    </row>
    <row r="373" spans="1:8" x14ac:dyDescent="0.2">
      <c r="A373" s="26"/>
      <c r="B373" s="26"/>
      <c r="C373" s="25"/>
      <c r="D373" s="25"/>
      <c r="E373" s="25"/>
      <c r="F373" s="23" t="str">
        <f t="shared" si="15"/>
        <v/>
      </c>
      <c r="G373" s="23" t="str">
        <f t="shared" si="16"/>
        <v/>
      </c>
      <c r="H373" s="23" t="str">
        <f t="shared" si="17"/>
        <v/>
      </c>
    </row>
    <row r="374" spans="1:8" x14ac:dyDescent="0.2">
      <c r="A374" s="26"/>
      <c r="B374" s="26"/>
      <c r="C374" s="25"/>
      <c r="D374" s="25"/>
      <c r="E374" s="25"/>
      <c r="F374" s="23" t="str">
        <f t="shared" si="15"/>
        <v/>
      </c>
      <c r="G374" s="23" t="str">
        <f t="shared" si="16"/>
        <v/>
      </c>
      <c r="H374" s="23" t="str">
        <f t="shared" si="17"/>
        <v/>
      </c>
    </row>
    <row r="375" spans="1:8" x14ac:dyDescent="0.2">
      <c r="A375" s="26"/>
      <c r="B375" s="26"/>
      <c r="C375" s="25"/>
      <c r="D375" s="25"/>
      <c r="E375" s="25"/>
      <c r="F375" s="23" t="str">
        <f t="shared" si="15"/>
        <v/>
      </c>
      <c r="G375" s="23" t="str">
        <f t="shared" si="16"/>
        <v/>
      </c>
      <c r="H375" s="23" t="str">
        <f t="shared" si="17"/>
        <v/>
      </c>
    </row>
    <row r="376" spans="1:8" x14ac:dyDescent="0.2">
      <c r="A376" s="26"/>
      <c r="B376" s="26"/>
      <c r="C376" s="25"/>
      <c r="D376" s="25"/>
      <c r="E376" s="25"/>
      <c r="F376" s="23" t="str">
        <f t="shared" si="15"/>
        <v/>
      </c>
      <c r="G376" s="23" t="str">
        <f t="shared" si="16"/>
        <v/>
      </c>
      <c r="H376" s="23" t="str">
        <f t="shared" si="17"/>
        <v/>
      </c>
    </row>
    <row r="377" spans="1:8" x14ac:dyDescent="0.2">
      <c r="A377" s="26"/>
      <c r="B377" s="26"/>
      <c r="C377" s="25"/>
      <c r="D377" s="25"/>
      <c r="E377" s="25"/>
      <c r="F377" s="23" t="str">
        <f t="shared" si="15"/>
        <v/>
      </c>
      <c r="G377" s="23" t="str">
        <f t="shared" si="16"/>
        <v/>
      </c>
      <c r="H377" s="23" t="str">
        <f t="shared" si="17"/>
        <v/>
      </c>
    </row>
    <row r="378" spans="1:8" x14ac:dyDescent="0.2">
      <c r="A378" s="26"/>
      <c r="B378" s="26"/>
      <c r="C378" s="25"/>
      <c r="D378" s="25"/>
      <c r="E378" s="25"/>
      <c r="F378" s="23" t="str">
        <f t="shared" si="15"/>
        <v/>
      </c>
      <c r="G378" s="23" t="str">
        <f t="shared" si="16"/>
        <v/>
      </c>
      <c r="H378" s="23" t="str">
        <f t="shared" si="17"/>
        <v/>
      </c>
    </row>
    <row r="379" spans="1:8" x14ac:dyDescent="0.2">
      <c r="A379" s="26"/>
      <c r="B379" s="26"/>
      <c r="C379" s="25"/>
      <c r="D379" s="25"/>
      <c r="E379" s="25"/>
      <c r="F379" s="23" t="str">
        <f t="shared" si="15"/>
        <v/>
      </c>
      <c r="G379" s="23" t="str">
        <f t="shared" si="16"/>
        <v/>
      </c>
      <c r="H379" s="23" t="str">
        <f t="shared" si="17"/>
        <v/>
      </c>
    </row>
    <row r="380" spans="1:8" x14ac:dyDescent="0.2">
      <c r="A380" s="26"/>
      <c r="B380" s="26"/>
      <c r="C380" s="25"/>
      <c r="D380" s="25"/>
      <c r="E380" s="25"/>
      <c r="F380" s="23" t="str">
        <f t="shared" si="15"/>
        <v/>
      </c>
      <c r="G380" s="23" t="str">
        <f t="shared" si="16"/>
        <v/>
      </c>
      <c r="H380" s="23" t="str">
        <f t="shared" si="17"/>
        <v/>
      </c>
    </row>
    <row r="381" spans="1:8" x14ac:dyDescent="0.2">
      <c r="A381" s="26"/>
      <c r="B381" s="26"/>
      <c r="C381" s="25"/>
      <c r="D381" s="25"/>
      <c r="E381" s="25"/>
      <c r="F381" s="23" t="str">
        <f t="shared" si="15"/>
        <v/>
      </c>
      <c r="G381" s="23" t="str">
        <f t="shared" si="16"/>
        <v/>
      </c>
      <c r="H381" s="23" t="str">
        <f t="shared" si="17"/>
        <v/>
      </c>
    </row>
    <row r="382" spans="1:8" x14ac:dyDescent="0.2">
      <c r="A382" s="26"/>
      <c r="B382" s="26"/>
      <c r="C382" s="25"/>
      <c r="D382" s="25"/>
      <c r="E382" s="25"/>
      <c r="F382" s="23" t="str">
        <f t="shared" si="15"/>
        <v/>
      </c>
      <c r="G382" s="23" t="str">
        <f t="shared" si="16"/>
        <v/>
      </c>
      <c r="H382" s="23" t="str">
        <f t="shared" si="17"/>
        <v/>
      </c>
    </row>
    <row r="383" spans="1:8" x14ac:dyDescent="0.2">
      <c r="A383" s="26"/>
      <c r="B383" s="26"/>
      <c r="C383" s="25"/>
      <c r="D383" s="25"/>
      <c r="E383" s="25"/>
      <c r="F383" s="23" t="str">
        <f t="shared" si="15"/>
        <v/>
      </c>
      <c r="G383" s="23" t="str">
        <f t="shared" si="16"/>
        <v/>
      </c>
      <c r="H383" s="23" t="str">
        <f t="shared" si="17"/>
        <v/>
      </c>
    </row>
    <row r="384" spans="1:8" x14ac:dyDescent="0.2">
      <c r="A384" s="26"/>
      <c r="B384" s="26"/>
      <c r="C384" s="25"/>
      <c r="D384" s="25"/>
      <c r="E384" s="25"/>
      <c r="F384" s="23" t="str">
        <f t="shared" si="15"/>
        <v/>
      </c>
      <c r="G384" s="23" t="str">
        <f t="shared" si="16"/>
        <v/>
      </c>
      <c r="H384" s="23" t="str">
        <f t="shared" si="17"/>
        <v/>
      </c>
    </row>
    <row r="385" spans="1:8" x14ac:dyDescent="0.2">
      <c r="A385" s="26"/>
      <c r="B385" s="26"/>
      <c r="C385" s="25"/>
      <c r="D385" s="25"/>
      <c r="E385" s="25"/>
      <c r="F385" s="23" t="str">
        <f t="shared" si="15"/>
        <v/>
      </c>
      <c r="G385" s="23" t="str">
        <f t="shared" si="16"/>
        <v/>
      </c>
      <c r="H385" s="23" t="str">
        <f t="shared" si="17"/>
        <v/>
      </c>
    </row>
    <row r="386" spans="1:8" x14ac:dyDescent="0.2">
      <c r="A386" s="26"/>
      <c r="B386" s="26"/>
      <c r="C386" s="25"/>
      <c r="D386" s="25"/>
      <c r="E386" s="25"/>
      <c r="F386" s="23" t="str">
        <f t="shared" si="15"/>
        <v/>
      </c>
      <c r="G386" s="23" t="str">
        <f t="shared" si="16"/>
        <v/>
      </c>
      <c r="H386" s="23" t="str">
        <f t="shared" si="17"/>
        <v/>
      </c>
    </row>
    <row r="387" spans="1:8" x14ac:dyDescent="0.2">
      <c r="A387" s="26"/>
      <c r="B387" s="26"/>
      <c r="C387" s="25"/>
      <c r="D387" s="25"/>
      <c r="E387" s="25"/>
      <c r="F387" s="23" t="str">
        <f t="shared" si="15"/>
        <v/>
      </c>
      <c r="G387" s="23" t="str">
        <f t="shared" si="16"/>
        <v/>
      </c>
      <c r="H387" s="23" t="str">
        <f t="shared" si="17"/>
        <v/>
      </c>
    </row>
    <row r="388" spans="1:8" x14ac:dyDescent="0.2">
      <c r="A388" s="26"/>
      <c r="B388" s="26"/>
      <c r="C388" s="25"/>
      <c r="D388" s="25"/>
      <c r="E388" s="25"/>
      <c r="F388" s="23" t="str">
        <f t="shared" ref="F388:F451" si="18">IF(C388&lt;&gt;"",($J$23*C388+$K$23*D388+$L$23*E388)+$K$7,"")</f>
        <v/>
      </c>
      <c r="G388" s="23" t="str">
        <f t="shared" ref="G388:G451" si="19">IF(D388&lt;&gt;"",($J$24*C388+$K$24*D388+$L$24*E388)+$K$8,"")</f>
        <v/>
      </c>
      <c r="H388" s="23" t="str">
        <f t="shared" ref="H388:H451" si="20">IF(E388&lt;&gt;"",($J$25*C388+$K$25*D388+$L$25*E388)+$K$9,"")</f>
        <v/>
      </c>
    </row>
    <row r="389" spans="1:8" x14ac:dyDescent="0.2">
      <c r="A389" s="26"/>
      <c r="B389" s="26"/>
      <c r="C389" s="25"/>
      <c r="D389" s="25"/>
      <c r="E389" s="25"/>
      <c r="F389" s="23" t="str">
        <f t="shared" si="18"/>
        <v/>
      </c>
      <c r="G389" s="23" t="str">
        <f t="shared" si="19"/>
        <v/>
      </c>
      <c r="H389" s="23" t="str">
        <f t="shared" si="20"/>
        <v/>
      </c>
    </row>
    <row r="390" spans="1:8" x14ac:dyDescent="0.2">
      <c r="A390" s="26"/>
      <c r="B390" s="26"/>
      <c r="C390" s="25"/>
      <c r="D390" s="25"/>
      <c r="E390" s="25"/>
      <c r="F390" s="23" t="str">
        <f t="shared" si="18"/>
        <v/>
      </c>
      <c r="G390" s="23" t="str">
        <f t="shared" si="19"/>
        <v/>
      </c>
      <c r="H390" s="23" t="str">
        <f t="shared" si="20"/>
        <v/>
      </c>
    </row>
    <row r="391" spans="1:8" x14ac:dyDescent="0.2">
      <c r="A391" s="26"/>
      <c r="B391" s="26"/>
      <c r="C391" s="25"/>
      <c r="D391" s="25"/>
      <c r="E391" s="25"/>
      <c r="F391" s="23" t="str">
        <f t="shared" si="18"/>
        <v/>
      </c>
      <c r="G391" s="23" t="str">
        <f t="shared" si="19"/>
        <v/>
      </c>
      <c r="H391" s="23" t="str">
        <f t="shared" si="20"/>
        <v/>
      </c>
    </row>
    <row r="392" spans="1:8" x14ac:dyDescent="0.2">
      <c r="A392" s="26"/>
      <c r="B392" s="26"/>
      <c r="C392" s="25"/>
      <c r="D392" s="25"/>
      <c r="E392" s="25"/>
      <c r="F392" s="23" t="str">
        <f t="shared" si="18"/>
        <v/>
      </c>
      <c r="G392" s="23" t="str">
        <f t="shared" si="19"/>
        <v/>
      </c>
      <c r="H392" s="23" t="str">
        <f t="shared" si="20"/>
        <v/>
      </c>
    </row>
    <row r="393" spans="1:8" x14ac:dyDescent="0.2">
      <c r="A393" s="26"/>
      <c r="B393" s="26"/>
      <c r="C393" s="25"/>
      <c r="D393" s="25"/>
      <c r="E393" s="25"/>
      <c r="F393" s="23" t="str">
        <f t="shared" si="18"/>
        <v/>
      </c>
      <c r="G393" s="23" t="str">
        <f t="shared" si="19"/>
        <v/>
      </c>
      <c r="H393" s="23" t="str">
        <f t="shared" si="20"/>
        <v/>
      </c>
    </row>
    <row r="394" spans="1:8" x14ac:dyDescent="0.2">
      <c r="A394" s="26"/>
      <c r="B394" s="26"/>
      <c r="C394" s="25"/>
      <c r="D394" s="25"/>
      <c r="E394" s="25"/>
      <c r="F394" s="23" t="str">
        <f t="shared" si="18"/>
        <v/>
      </c>
      <c r="G394" s="23" t="str">
        <f t="shared" si="19"/>
        <v/>
      </c>
      <c r="H394" s="23" t="str">
        <f t="shared" si="20"/>
        <v/>
      </c>
    </row>
    <row r="395" spans="1:8" x14ac:dyDescent="0.2">
      <c r="A395" s="26"/>
      <c r="B395" s="26"/>
      <c r="C395" s="25"/>
      <c r="D395" s="25"/>
      <c r="E395" s="25"/>
      <c r="F395" s="23" t="str">
        <f t="shared" si="18"/>
        <v/>
      </c>
      <c r="G395" s="23" t="str">
        <f t="shared" si="19"/>
        <v/>
      </c>
      <c r="H395" s="23" t="str">
        <f t="shared" si="20"/>
        <v/>
      </c>
    </row>
    <row r="396" spans="1:8" x14ac:dyDescent="0.2">
      <c r="A396" s="26"/>
      <c r="B396" s="26"/>
      <c r="C396" s="25"/>
      <c r="D396" s="25"/>
      <c r="E396" s="25"/>
      <c r="F396" s="23" t="str">
        <f t="shared" si="18"/>
        <v/>
      </c>
      <c r="G396" s="23" t="str">
        <f t="shared" si="19"/>
        <v/>
      </c>
      <c r="H396" s="23" t="str">
        <f t="shared" si="20"/>
        <v/>
      </c>
    </row>
    <row r="397" spans="1:8" x14ac:dyDescent="0.2">
      <c r="A397" s="26"/>
      <c r="B397" s="26"/>
      <c r="C397" s="25"/>
      <c r="D397" s="25"/>
      <c r="E397" s="25"/>
      <c r="F397" s="23" t="str">
        <f t="shared" si="18"/>
        <v/>
      </c>
      <c r="G397" s="23" t="str">
        <f t="shared" si="19"/>
        <v/>
      </c>
      <c r="H397" s="23" t="str">
        <f t="shared" si="20"/>
        <v/>
      </c>
    </row>
    <row r="398" spans="1:8" x14ac:dyDescent="0.2">
      <c r="A398" s="26"/>
      <c r="B398" s="26"/>
      <c r="C398" s="25"/>
      <c r="D398" s="25"/>
      <c r="E398" s="25"/>
      <c r="F398" s="23" t="str">
        <f t="shared" si="18"/>
        <v/>
      </c>
      <c r="G398" s="23" t="str">
        <f t="shared" si="19"/>
        <v/>
      </c>
      <c r="H398" s="23" t="str">
        <f t="shared" si="20"/>
        <v/>
      </c>
    </row>
    <row r="399" spans="1:8" x14ac:dyDescent="0.2">
      <c r="A399" s="26"/>
      <c r="B399" s="26"/>
      <c r="C399" s="25"/>
      <c r="D399" s="25"/>
      <c r="E399" s="25"/>
      <c r="F399" s="23" t="str">
        <f t="shared" si="18"/>
        <v/>
      </c>
      <c r="G399" s="23" t="str">
        <f t="shared" si="19"/>
        <v/>
      </c>
      <c r="H399" s="23" t="str">
        <f t="shared" si="20"/>
        <v/>
      </c>
    </row>
    <row r="400" spans="1:8" x14ac:dyDescent="0.2">
      <c r="A400" s="26"/>
      <c r="B400" s="26"/>
      <c r="C400" s="25"/>
      <c r="D400" s="25"/>
      <c r="E400" s="25"/>
      <c r="F400" s="23" t="str">
        <f t="shared" si="18"/>
        <v/>
      </c>
      <c r="G400" s="23" t="str">
        <f t="shared" si="19"/>
        <v/>
      </c>
      <c r="H400" s="23" t="str">
        <f t="shared" si="20"/>
        <v/>
      </c>
    </row>
    <row r="401" spans="1:8" x14ac:dyDescent="0.2">
      <c r="A401" s="26"/>
      <c r="B401" s="26"/>
      <c r="C401" s="25"/>
      <c r="D401" s="25"/>
      <c r="E401" s="25"/>
      <c r="F401" s="23" t="str">
        <f t="shared" si="18"/>
        <v/>
      </c>
      <c r="G401" s="23" t="str">
        <f t="shared" si="19"/>
        <v/>
      </c>
      <c r="H401" s="23" t="str">
        <f t="shared" si="20"/>
        <v/>
      </c>
    </row>
    <row r="402" spans="1:8" x14ac:dyDescent="0.2">
      <c r="A402" s="26"/>
      <c r="B402" s="26"/>
      <c r="C402" s="25"/>
      <c r="D402" s="25"/>
      <c r="E402" s="25"/>
      <c r="F402" s="23" t="str">
        <f t="shared" si="18"/>
        <v/>
      </c>
      <c r="G402" s="23" t="str">
        <f t="shared" si="19"/>
        <v/>
      </c>
      <c r="H402" s="23" t="str">
        <f t="shared" si="20"/>
        <v/>
      </c>
    </row>
    <row r="403" spans="1:8" x14ac:dyDescent="0.2">
      <c r="A403" s="26"/>
      <c r="B403" s="26"/>
      <c r="C403" s="25"/>
      <c r="D403" s="25"/>
      <c r="E403" s="25"/>
      <c r="F403" s="23" t="str">
        <f t="shared" si="18"/>
        <v/>
      </c>
      <c r="G403" s="23" t="str">
        <f t="shared" si="19"/>
        <v/>
      </c>
      <c r="H403" s="23" t="str">
        <f t="shared" si="20"/>
        <v/>
      </c>
    </row>
    <row r="404" spans="1:8" x14ac:dyDescent="0.2">
      <c r="A404" s="26"/>
      <c r="B404" s="26"/>
      <c r="C404" s="25"/>
      <c r="D404" s="25"/>
      <c r="E404" s="25"/>
      <c r="F404" s="23" t="str">
        <f t="shared" si="18"/>
        <v/>
      </c>
      <c r="G404" s="23" t="str">
        <f t="shared" si="19"/>
        <v/>
      </c>
      <c r="H404" s="23" t="str">
        <f t="shared" si="20"/>
        <v/>
      </c>
    </row>
    <row r="405" spans="1:8" x14ac:dyDescent="0.2">
      <c r="A405" s="26"/>
      <c r="B405" s="26"/>
      <c r="C405" s="25"/>
      <c r="D405" s="25"/>
      <c r="E405" s="25"/>
      <c r="F405" s="23" t="str">
        <f t="shared" si="18"/>
        <v/>
      </c>
      <c r="G405" s="23" t="str">
        <f t="shared" si="19"/>
        <v/>
      </c>
      <c r="H405" s="23" t="str">
        <f t="shared" si="20"/>
        <v/>
      </c>
    </row>
    <row r="406" spans="1:8" x14ac:dyDescent="0.2">
      <c r="A406" s="26"/>
      <c r="B406" s="26"/>
      <c r="C406" s="25"/>
      <c r="D406" s="25"/>
      <c r="E406" s="25"/>
      <c r="F406" s="23" t="str">
        <f t="shared" si="18"/>
        <v/>
      </c>
      <c r="G406" s="23" t="str">
        <f t="shared" si="19"/>
        <v/>
      </c>
      <c r="H406" s="23" t="str">
        <f t="shared" si="20"/>
        <v/>
      </c>
    </row>
    <row r="407" spans="1:8" x14ac:dyDescent="0.2">
      <c r="A407" s="26"/>
      <c r="B407" s="26"/>
      <c r="C407" s="25"/>
      <c r="D407" s="25"/>
      <c r="E407" s="25"/>
      <c r="F407" s="23" t="str">
        <f t="shared" si="18"/>
        <v/>
      </c>
      <c r="G407" s="23" t="str">
        <f t="shared" si="19"/>
        <v/>
      </c>
      <c r="H407" s="23" t="str">
        <f t="shared" si="20"/>
        <v/>
      </c>
    </row>
    <row r="408" spans="1:8" x14ac:dyDescent="0.2">
      <c r="A408" s="26"/>
      <c r="B408" s="26"/>
      <c r="C408" s="25"/>
      <c r="D408" s="25"/>
      <c r="E408" s="25"/>
      <c r="F408" s="23" t="str">
        <f t="shared" si="18"/>
        <v/>
      </c>
      <c r="G408" s="23" t="str">
        <f t="shared" si="19"/>
        <v/>
      </c>
      <c r="H408" s="23" t="str">
        <f t="shared" si="20"/>
        <v/>
      </c>
    </row>
    <row r="409" spans="1:8" x14ac:dyDescent="0.2">
      <c r="A409" s="26"/>
      <c r="B409" s="26"/>
      <c r="C409" s="25"/>
      <c r="D409" s="25"/>
      <c r="E409" s="25"/>
      <c r="F409" s="23" t="str">
        <f t="shared" si="18"/>
        <v/>
      </c>
      <c r="G409" s="23" t="str">
        <f t="shared" si="19"/>
        <v/>
      </c>
      <c r="H409" s="23" t="str">
        <f t="shared" si="20"/>
        <v/>
      </c>
    </row>
    <row r="410" spans="1:8" x14ac:dyDescent="0.2">
      <c r="A410" s="26"/>
      <c r="B410" s="26"/>
      <c r="C410" s="25"/>
      <c r="D410" s="25"/>
      <c r="E410" s="25"/>
      <c r="F410" s="23" t="str">
        <f t="shared" si="18"/>
        <v/>
      </c>
      <c r="G410" s="23" t="str">
        <f t="shared" si="19"/>
        <v/>
      </c>
      <c r="H410" s="23" t="str">
        <f t="shared" si="20"/>
        <v/>
      </c>
    </row>
    <row r="411" spans="1:8" x14ac:dyDescent="0.2">
      <c r="A411" s="26"/>
      <c r="B411" s="26"/>
      <c r="C411" s="25"/>
      <c r="D411" s="25"/>
      <c r="E411" s="25"/>
      <c r="F411" s="23" t="str">
        <f t="shared" si="18"/>
        <v/>
      </c>
      <c r="G411" s="23" t="str">
        <f t="shared" si="19"/>
        <v/>
      </c>
      <c r="H411" s="23" t="str">
        <f t="shared" si="20"/>
        <v/>
      </c>
    </row>
    <row r="412" spans="1:8" x14ac:dyDescent="0.2">
      <c r="A412" s="26"/>
      <c r="B412" s="26"/>
      <c r="C412" s="25"/>
      <c r="D412" s="25"/>
      <c r="E412" s="25"/>
      <c r="F412" s="23" t="str">
        <f t="shared" si="18"/>
        <v/>
      </c>
      <c r="G412" s="23" t="str">
        <f t="shared" si="19"/>
        <v/>
      </c>
      <c r="H412" s="23" t="str">
        <f t="shared" si="20"/>
        <v/>
      </c>
    </row>
    <row r="413" spans="1:8" x14ac:dyDescent="0.2">
      <c r="A413" s="26"/>
      <c r="B413" s="26"/>
      <c r="C413" s="25"/>
      <c r="D413" s="25"/>
      <c r="E413" s="25"/>
      <c r="F413" s="23" t="str">
        <f t="shared" si="18"/>
        <v/>
      </c>
      <c r="G413" s="23" t="str">
        <f t="shared" si="19"/>
        <v/>
      </c>
      <c r="H413" s="23" t="str">
        <f t="shared" si="20"/>
        <v/>
      </c>
    </row>
    <row r="414" spans="1:8" x14ac:dyDescent="0.2">
      <c r="A414" s="26"/>
      <c r="B414" s="26"/>
      <c r="C414" s="25"/>
      <c r="D414" s="25"/>
      <c r="E414" s="25"/>
      <c r="F414" s="23" t="str">
        <f t="shared" si="18"/>
        <v/>
      </c>
      <c r="G414" s="23" t="str">
        <f t="shared" si="19"/>
        <v/>
      </c>
      <c r="H414" s="23" t="str">
        <f t="shared" si="20"/>
        <v/>
      </c>
    </row>
    <row r="415" spans="1:8" x14ac:dyDescent="0.2">
      <c r="A415" s="26"/>
      <c r="B415" s="26"/>
      <c r="C415" s="25"/>
      <c r="D415" s="25"/>
      <c r="E415" s="25"/>
      <c r="F415" s="23" t="str">
        <f t="shared" si="18"/>
        <v/>
      </c>
      <c r="G415" s="23" t="str">
        <f t="shared" si="19"/>
        <v/>
      </c>
      <c r="H415" s="23" t="str">
        <f t="shared" si="20"/>
        <v/>
      </c>
    </row>
    <row r="416" spans="1:8" x14ac:dyDescent="0.2">
      <c r="A416" s="26"/>
      <c r="B416" s="26"/>
      <c r="C416" s="25"/>
      <c r="D416" s="25"/>
      <c r="E416" s="25"/>
      <c r="F416" s="23" t="str">
        <f t="shared" si="18"/>
        <v/>
      </c>
      <c r="G416" s="23" t="str">
        <f t="shared" si="19"/>
        <v/>
      </c>
      <c r="H416" s="23" t="str">
        <f t="shared" si="20"/>
        <v/>
      </c>
    </row>
    <row r="417" spans="1:8" x14ac:dyDescent="0.2">
      <c r="A417" s="26"/>
      <c r="B417" s="26"/>
      <c r="C417" s="25"/>
      <c r="D417" s="25"/>
      <c r="E417" s="25"/>
      <c r="F417" s="23" t="str">
        <f t="shared" si="18"/>
        <v/>
      </c>
      <c r="G417" s="23" t="str">
        <f t="shared" si="19"/>
        <v/>
      </c>
      <c r="H417" s="23" t="str">
        <f t="shared" si="20"/>
        <v/>
      </c>
    </row>
    <row r="418" spans="1:8" x14ac:dyDescent="0.2">
      <c r="A418" s="26"/>
      <c r="B418" s="26"/>
      <c r="C418" s="25"/>
      <c r="D418" s="25"/>
      <c r="E418" s="25"/>
      <c r="F418" s="23" t="str">
        <f t="shared" si="18"/>
        <v/>
      </c>
      <c r="G418" s="23" t="str">
        <f t="shared" si="19"/>
        <v/>
      </c>
      <c r="H418" s="23" t="str">
        <f t="shared" si="20"/>
        <v/>
      </c>
    </row>
    <row r="419" spans="1:8" x14ac:dyDescent="0.2">
      <c r="A419" s="26"/>
      <c r="B419" s="26"/>
      <c r="C419" s="25"/>
      <c r="D419" s="25"/>
      <c r="E419" s="25"/>
      <c r="F419" s="23" t="str">
        <f t="shared" si="18"/>
        <v/>
      </c>
      <c r="G419" s="23" t="str">
        <f t="shared" si="19"/>
        <v/>
      </c>
      <c r="H419" s="23" t="str">
        <f t="shared" si="20"/>
        <v/>
      </c>
    </row>
    <row r="420" spans="1:8" x14ac:dyDescent="0.2">
      <c r="A420" s="26"/>
      <c r="B420" s="26"/>
      <c r="C420" s="25"/>
      <c r="D420" s="25"/>
      <c r="E420" s="25"/>
      <c r="F420" s="23" t="str">
        <f t="shared" si="18"/>
        <v/>
      </c>
      <c r="G420" s="23" t="str">
        <f t="shared" si="19"/>
        <v/>
      </c>
      <c r="H420" s="23" t="str">
        <f t="shared" si="20"/>
        <v/>
      </c>
    </row>
    <row r="421" spans="1:8" x14ac:dyDescent="0.2">
      <c r="A421" s="26"/>
      <c r="B421" s="26"/>
      <c r="C421" s="25"/>
      <c r="D421" s="25"/>
      <c r="E421" s="25"/>
      <c r="F421" s="23" t="str">
        <f t="shared" si="18"/>
        <v/>
      </c>
      <c r="G421" s="23" t="str">
        <f t="shared" si="19"/>
        <v/>
      </c>
      <c r="H421" s="23" t="str">
        <f t="shared" si="20"/>
        <v/>
      </c>
    </row>
    <row r="422" spans="1:8" x14ac:dyDescent="0.2">
      <c r="A422" s="26"/>
      <c r="B422" s="26"/>
      <c r="C422" s="25"/>
      <c r="D422" s="25"/>
      <c r="E422" s="25"/>
      <c r="F422" s="23" t="str">
        <f t="shared" si="18"/>
        <v/>
      </c>
      <c r="G422" s="23" t="str">
        <f t="shared" si="19"/>
        <v/>
      </c>
      <c r="H422" s="23" t="str">
        <f t="shared" si="20"/>
        <v/>
      </c>
    </row>
    <row r="423" spans="1:8" x14ac:dyDescent="0.2">
      <c r="A423" s="26"/>
      <c r="B423" s="26"/>
      <c r="C423" s="25"/>
      <c r="D423" s="25"/>
      <c r="E423" s="25"/>
      <c r="F423" s="23" t="str">
        <f t="shared" si="18"/>
        <v/>
      </c>
      <c r="G423" s="23" t="str">
        <f t="shared" si="19"/>
        <v/>
      </c>
      <c r="H423" s="23" t="str">
        <f t="shared" si="20"/>
        <v/>
      </c>
    </row>
    <row r="424" spans="1:8" x14ac:dyDescent="0.2">
      <c r="A424" s="26"/>
      <c r="B424" s="26"/>
      <c r="C424" s="25"/>
      <c r="D424" s="25"/>
      <c r="E424" s="25"/>
      <c r="F424" s="23" t="str">
        <f t="shared" si="18"/>
        <v/>
      </c>
      <c r="G424" s="23" t="str">
        <f t="shared" si="19"/>
        <v/>
      </c>
      <c r="H424" s="23" t="str">
        <f t="shared" si="20"/>
        <v/>
      </c>
    </row>
    <row r="425" spans="1:8" x14ac:dyDescent="0.2">
      <c r="A425" s="26"/>
      <c r="B425" s="26"/>
      <c r="C425" s="25"/>
      <c r="D425" s="25"/>
      <c r="E425" s="25"/>
      <c r="F425" s="23" t="str">
        <f t="shared" si="18"/>
        <v/>
      </c>
      <c r="G425" s="23" t="str">
        <f t="shared" si="19"/>
        <v/>
      </c>
      <c r="H425" s="23" t="str">
        <f t="shared" si="20"/>
        <v/>
      </c>
    </row>
    <row r="426" spans="1:8" x14ac:dyDescent="0.2">
      <c r="A426" s="26"/>
      <c r="B426" s="26"/>
      <c r="C426" s="25"/>
      <c r="D426" s="25"/>
      <c r="E426" s="25"/>
      <c r="F426" s="23" t="str">
        <f t="shared" si="18"/>
        <v/>
      </c>
      <c r="G426" s="23" t="str">
        <f t="shared" si="19"/>
        <v/>
      </c>
      <c r="H426" s="23" t="str">
        <f t="shared" si="20"/>
        <v/>
      </c>
    </row>
    <row r="427" spans="1:8" x14ac:dyDescent="0.2">
      <c r="A427" s="26"/>
      <c r="B427" s="26"/>
      <c r="C427" s="25"/>
      <c r="D427" s="25"/>
      <c r="E427" s="25"/>
      <c r="F427" s="23" t="str">
        <f t="shared" si="18"/>
        <v/>
      </c>
      <c r="G427" s="23" t="str">
        <f t="shared" si="19"/>
        <v/>
      </c>
      <c r="H427" s="23" t="str">
        <f t="shared" si="20"/>
        <v/>
      </c>
    </row>
    <row r="428" spans="1:8" x14ac:dyDescent="0.2">
      <c r="A428" s="26"/>
      <c r="B428" s="26"/>
      <c r="C428" s="25"/>
      <c r="D428" s="25"/>
      <c r="E428" s="25"/>
      <c r="F428" s="23" t="str">
        <f t="shared" si="18"/>
        <v/>
      </c>
      <c r="G428" s="23" t="str">
        <f t="shared" si="19"/>
        <v/>
      </c>
      <c r="H428" s="23" t="str">
        <f t="shared" si="20"/>
        <v/>
      </c>
    </row>
    <row r="429" spans="1:8" x14ac:dyDescent="0.2">
      <c r="A429" s="26"/>
      <c r="B429" s="26"/>
      <c r="C429" s="25"/>
      <c r="D429" s="25"/>
      <c r="E429" s="25"/>
      <c r="F429" s="23" t="str">
        <f t="shared" si="18"/>
        <v/>
      </c>
      <c r="G429" s="23" t="str">
        <f t="shared" si="19"/>
        <v/>
      </c>
      <c r="H429" s="23" t="str">
        <f t="shared" si="20"/>
        <v/>
      </c>
    </row>
    <row r="430" spans="1:8" x14ac:dyDescent="0.2">
      <c r="A430" s="26"/>
      <c r="B430" s="26"/>
      <c r="C430" s="25"/>
      <c r="D430" s="25"/>
      <c r="E430" s="25"/>
      <c r="F430" s="23" t="str">
        <f t="shared" si="18"/>
        <v/>
      </c>
      <c r="G430" s="23" t="str">
        <f t="shared" si="19"/>
        <v/>
      </c>
      <c r="H430" s="23" t="str">
        <f t="shared" si="20"/>
        <v/>
      </c>
    </row>
    <row r="431" spans="1:8" x14ac:dyDescent="0.2">
      <c r="A431" s="26"/>
      <c r="B431" s="26"/>
      <c r="C431" s="25"/>
      <c r="D431" s="25"/>
      <c r="E431" s="25"/>
      <c r="F431" s="23" t="str">
        <f t="shared" si="18"/>
        <v/>
      </c>
      <c r="G431" s="23" t="str">
        <f t="shared" si="19"/>
        <v/>
      </c>
      <c r="H431" s="23" t="str">
        <f t="shared" si="20"/>
        <v/>
      </c>
    </row>
    <row r="432" spans="1:8" x14ac:dyDescent="0.2">
      <c r="A432" s="26"/>
      <c r="B432" s="26"/>
      <c r="C432" s="25"/>
      <c r="D432" s="25"/>
      <c r="E432" s="25"/>
      <c r="F432" s="23" t="str">
        <f t="shared" si="18"/>
        <v/>
      </c>
      <c r="G432" s="23" t="str">
        <f t="shared" si="19"/>
        <v/>
      </c>
      <c r="H432" s="23" t="str">
        <f t="shared" si="20"/>
        <v/>
      </c>
    </row>
    <row r="433" spans="1:8" x14ac:dyDescent="0.2">
      <c r="A433" s="26"/>
      <c r="B433" s="26"/>
      <c r="C433" s="25"/>
      <c r="D433" s="25"/>
      <c r="E433" s="25"/>
      <c r="F433" s="23" t="str">
        <f t="shared" si="18"/>
        <v/>
      </c>
      <c r="G433" s="23" t="str">
        <f t="shared" si="19"/>
        <v/>
      </c>
      <c r="H433" s="23" t="str">
        <f t="shared" si="20"/>
        <v/>
      </c>
    </row>
    <row r="434" spans="1:8" x14ac:dyDescent="0.2">
      <c r="A434" s="26"/>
      <c r="B434" s="26"/>
      <c r="C434" s="25"/>
      <c r="D434" s="25"/>
      <c r="E434" s="25"/>
      <c r="F434" s="23" t="str">
        <f t="shared" si="18"/>
        <v/>
      </c>
      <c r="G434" s="23" t="str">
        <f t="shared" si="19"/>
        <v/>
      </c>
      <c r="H434" s="23" t="str">
        <f t="shared" si="20"/>
        <v/>
      </c>
    </row>
    <row r="435" spans="1:8" x14ac:dyDescent="0.2">
      <c r="A435" s="26"/>
      <c r="B435" s="26"/>
      <c r="C435" s="25"/>
      <c r="D435" s="25"/>
      <c r="E435" s="25"/>
      <c r="F435" s="23" t="str">
        <f t="shared" si="18"/>
        <v/>
      </c>
      <c r="G435" s="23" t="str">
        <f t="shared" si="19"/>
        <v/>
      </c>
      <c r="H435" s="23" t="str">
        <f t="shared" si="20"/>
        <v/>
      </c>
    </row>
    <row r="436" spans="1:8" x14ac:dyDescent="0.2">
      <c r="A436" s="26"/>
      <c r="B436" s="26"/>
      <c r="C436" s="25"/>
      <c r="D436" s="25"/>
      <c r="E436" s="25"/>
      <c r="F436" s="23" t="str">
        <f t="shared" si="18"/>
        <v/>
      </c>
      <c r="G436" s="23" t="str">
        <f t="shared" si="19"/>
        <v/>
      </c>
      <c r="H436" s="23" t="str">
        <f t="shared" si="20"/>
        <v/>
      </c>
    </row>
    <row r="437" spans="1:8" x14ac:dyDescent="0.2">
      <c r="A437" s="26"/>
      <c r="B437" s="26"/>
      <c r="C437" s="25"/>
      <c r="D437" s="25"/>
      <c r="E437" s="25"/>
      <c r="F437" s="23" t="str">
        <f t="shared" si="18"/>
        <v/>
      </c>
      <c r="G437" s="23" t="str">
        <f t="shared" si="19"/>
        <v/>
      </c>
      <c r="H437" s="23" t="str">
        <f t="shared" si="20"/>
        <v/>
      </c>
    </row>
    <row r="438" spans="1:8" x14ac:dyDescent="0.2">
      <c r="A438" s="26"/>
      <c r="B438" s="26"/>
      <c r="C438" s="25"/>
      <c r="D438" s="25"/>
      <c r="E438" s="25"/>
      <c r="F438" s="23" t="str">
        <f t="shared" si="18"/>
        <v/>
      </c>
      <c r="G438" s="23" t="str">
        <f t="shared" si="19"/>
        <v/>
      </c>
      <c r="H438" s="23" t="str">
        <f t="shared" si="20"/>
        <v/>
      </c>
    </row>
    <row r="439" spans="1:8" x14ac:dyDescent="0.2">
      <c r="A439" s="26"/>
      <c r="B439" s="26"/>
      <c r="C439" s="25"/>
      <c r="D439" s="25"/>
      <c r="E439" s="25"/>
      <c r="F439" s="23" t="str">
        <f t="shared" si="18"/>
        <v/>
      </c>
      <c r="G439" s="23" t="str">
        <f t="shared" si="19"/>
        <v/>
      </c>
      <c r="H439" s="23" t="str">
        <f t="shared" si="20"/>
        <v/>
      </c>
    </row>
    <row r="440" spans="1:8" x14ac:dyDescent="0.2">
      <c r="A440" s="26"/>
      <c r="B440" s="26"/>
      <c r="C440" s="25"/>
      <c r="D440" s="25"/>
      <c r="E440" s="25"/>
      <c r="F440" s="23" t="str">
        <f t="shared" si="18"/>
        <v/>
      </c>
      <c r="G440" s="23" t="str">
        <f t="shared" si="19"/>
        <v/>
      </c>
      <c r="H440" s="23" t="str">
        <f t="shared" si="20"/>
        <v/>
      </c>
    </row>
    <row r="441" spans="1:8" x14ac:dyDescent="0.2">
      <c r="A441" s="26"/>
      <c r="B441" s="26"/>
      <c r="C441" s="25"/>
      <c r="D441" s="25"/>
      <c r="E441" s="25"/>
      <c r="F441" s="23" t="str">
        <f t="shared" si="18"/>
        <v/>
      </c>
      <c r="G441" s="23" t="str">
        <f t="shared" si="19"/>
        <v/>
      </c>
      <c r="H441" s="23" t="str">
        <f t="shared" si="20"/>
        <v/>
      </c>
    </row>
    <row r="442" spans="1:8" x14ac:dyDescent="0.2">
      <c r="A442" s="26"/>
      <c r="B442" s="26"/>
      <c r="C442" s="25"/>
      <c r="D442" s="25"/>
      <c r="E442" s="25"/>
      <c r="F442" s="23" t="str">
        <f t="shared" si="18"/>
        <v/>
      </c>
      <c r="G442" s="23" t="str">
        <f t="shared" si="19"/>
        <v/>
      </c>
      <c r="H442" s="23" t="str">
        <f t="shared" si="20"/>
        <v/>
      </c>
    </row>
    <row r="443" spans="1:8" x14ac:dyDescent="0.2">
      <c r="A443" s="26"/>
      <c r="B443" s="26"/>
      <c r="C443" s="25"/>
      <c r="D443" s="25"/>
      <c r="E443" s="25"/>
      <c r="F443" s="23" t="str">
        <f t="shared" si="18"/>
        <v/>
      </c>
      <c r="G443" s="23" t="str">
        <f t="shared" si="19"/>
        <v/>
      </c>
      <c r="H443" s="23" t="str">
        <f t="shared" si="20"/>
        <v/>
      </c>
    </row>
    <row r="444" spans="1:8" x14ac:dyDescent="0.2">
      <c r="A444" s="26"/>
      <c r="B444" s="26"/>
      <c r="C444" s="25"/>
      <c r="D444" s="25"/>
      <c r="E444" s="25"/>
      <c r="F444" s="23" t="str">
        <f t="shared" si="18"/>
        <v/>
      </c>
      <c r="G444" s="23" t="str">
        <f t="shared" si="19"/>
        <v/>
      </c>
      <c r="H444" s="23" t="str">
        <f t="shared" si="20"/>
        <v/>
      </c>
    </row>
    <row r="445" spans="1:8" x14ac:dyDescent="0.2">
      <c r="A445" s="26"/>
      <c r="B445" s="26"/>
      <c r="C445" s="25"/>
      <c r="D445" s="25"/>
      <c r="E445" s="25"/>
      <c r="F445" s="23" t="str">
        <f t="shared" si="18"/>
        <v/>
      </c>
      <c r="G445" s="23" t="str">
        <f t="shared" si="19"/>
        <v/>
      </c>
      <c r="H445" s="23" t="str">
        <f t="shared" si="20"/>
        <v/>
      </c>
    </row>
    <row r="446" spans="1:8" x14ac:dyDescent="0.2">
      <c r="A446" s="26"/>
      <c r="B446" s="26"/>
      <c r="C446" s="25"/>
      <c r="D446" s="25"/>
      <c r="E446" s="25"/>
      <c r="F446" s="23" t="str">
        <f t="shared" si="18"/>
        <v/>
      </c>
      <c r="G446" s="23" t="str">
        <f t="shared" si="19"/>
        <v/>
      </c>
      <c r="H446" s="23" t="str">
        <f t="shared" si="20"/>
        <v/>
      </c>
    </row>
    <row r="447" spans="1:8" x14ac:dyDescent="0.2">
      <c r="A447" s="26"/>
      <c r="B447" s="26"/>
      <c r="C447" s="25"/>
      <c r="D447" s="25"/>
      <c r="E447" s="25"/>
      <c r="F447" s="23" t="str">
        <f t="shared" si="18"/>
        <v/>
      </c>
      <c r="G447" s="23" t="str">
        <f t="shared" si="19"/>
        <v/>
      </c>
      <c r="H447" s="23" t="str">
        <f t="shared" si="20"/>
        <v/>
      </c>
    </row>
    <row r="448" spans="1:8" x14ac:dyDescent="0.2">
      <c r="A448" s="26"/>
      <c r="B448" s="26"/>
      <c r="C448" s="25"/>
      <c r="D448" s="25"/>
      <c r="E448" s="25"/>
      <c r="F448" s="23" t="str">
        <f t="shared" si="18"/>
        <v/>
      </c>
      <c r="G448" s="23" t="str">
        <f t="shared" si="19"/>
        <v/>
      </c>
      <c r="H448" s="23" t="str">
        <f t="shared" si="20"/>
        <v/>
      </c>
    </row>
    <row r="449" spans="1:8" x14ac:dyDescent="0.2">
      <c r="A449" s="26"/>
      <c r="B449" s="26"/>
      <c r="C449" s="25"/>
      <c r="D449" s="25"/>
      <c r="E449" s="25"/>
      <c r="F449" s="23" t="str">
        <f t="shared" si="18"/>
        <v/>
      </c>
      <c r="G449" s="23" t="str">
        <f t="shared" si="19"/>
        <v/>
      </c>
      <c r="H449" s="23" t="str">
        <f t="shared" si="20"/>
        <v/>
      </c>
    </row>
    <row r="450" spans="1:8" x14ac:dyDescent="0.2">
      <c r="A450" s="26"/>
      <c r="B450" s="26"/>
      <c r="C450" s="25"/>
      <c r="D450" s="25"/>
      <c r="E450" s="25"/>
      <c r="F450" s="23" t="str">
        <f t="shared" si="18"/>
        <v/>
      </c>
      <c r="G450" s="23" t="str">
        <f t="shared" si="19"/>
        <v/>
      </c>
      <c r="H450" s="23" t="str">
        <f t="shared" si="20"/>
        <v/>
      </c>
    </row>
    <row r="451" spans="1:8" x14ac:dyDescent="0.2">
      <c r="A451" s="26"/>
      <c r="B451" s="26"/>
      <c r="C451" s="25"/>
      <c r="D451" s="25"/>
      <c r="E451" s="25"/>
      <c r="F451" s="23" t="str">
        <f t="shared" si="18"/>
        <v/>
      </c>
      <c r="G451" s="23" t="str">
        <f t="shared" si="19"/>
        <v/>
      </c>
      <c r="H451" s="23" t="str">
        <f t="shared" si="20"/>
        <v/>
      </c>
    </row>
    <row r="452" spans="1:8" x14ac:dyDescent="0.2">
      <c r="A452" s="26"/>
      <c r="B452" s="26"/>
      <c r="C452" s="25"/>
      <c r="D452" s="25"/>
      <c r="E452" s="25"/>
      <c r="F452" s="23" t="str">
        <f t="shared" ref="F452:F500" si="21">IF(C452&lt;&gt;"",($J$23*C452+$K$23*D452+$L$23*E452)+$K$7,"")</f>
        <v/>
      </c>
      <c r="G452" s="23" t="str">
        <f t="shared" ref="G452:G500" si="22">IF(D452&lt;&gt;"",($J$24*C452+$K$24*D452+$L$24*E452)+$K$8,"")</f>
        <v/>
      </c>
      <c r="H452" s="23" t="str">
        <f t="shared" ref="H452:H500" si="23">IF(E452&lt;&gt;"",($J$25*C452+$K$25*D452+$L$25*E452)+$K$9,"")</f>
        <v/>
      </c>
    </row>
    <row r="453" spans="1:8" x14ac:dyDescent="0.2">
      <c r="A453" s="26"/>
      <c r="B453" s="26"/>
      <c r="C453" s="25"/>
      <c r="D453" s="25"/>
      <c r="E453" s="25"/>
      <c r="F453" s="23" t="str">
        <f t="shared" si="21"/>
        <v/>
      </c>
      <c r="G453" s="23" t="str">
        <f t="shared" si="22"/>
        <v/>
      </c>
      <c r="H453" s="23" t="str">
        <f t="shared" si="23"/>
        <v/>
      </c>
    </row>
    <row r="454" spans="1:8" x14ac:dyDescent="0.2">
      <c r="A454" s="26"/>
      <c r="B454" s="26"/>
      <c r="C454" s="25"/>
      <c r="D454" s="25"/>
      <c r="E454" s="25"/>
      <c r="F454" s="23" t="str">
        <f t="shared" si="21"/>
        <v/>
      </c>
      <c r="G454" s="23" t="str">
        <f t="shared" si="22"/>
        <v/>
      </c>
      <c r="H454" s="23" t="str">
        <f t="shared" si="23"/>
        <v/>
      </c>
    </row>
    <row r="455" spans="1:8" x14ac:dyDescent="0.2">
      <c r="A455" s="26"/>
      <c r="B455" s="26"/>
      <c r="C455" s="25"/>
      <c r="D455" s="25"/>
      <c r="E455" s="25"/>
      <c r="F455" s="23" t="str">
        <f t="shared" si="21"/>
        <v/>
      </c>
      <c r="G455" s="23" t="str">
        <f t="shared" si="22"/>
        <v/>
      </c>
      <c r="H455" s="23" t="str">
        <f t="shared" si="23"/>
        <v/>
      </c>
    </row>
    <row r="456" spans="1:8" x14ac:dyDescent="0.2">
      <c r="A456" s="26"/>
      <c r="B456" s="26"/>
      <c r="C456" s="25"/>
      <c r="D456" s="25"/>
      <c r="E456" s="25"/>
      <c r="F456" s="23" t="str">
        <f t="shared" si="21"/>
        <v/>
      </c>
      <c r="G456" s="23" t="str">
        <f t="shared" si="22"/>
        <v/>
      </c>
      <c r="H456" s="23" t="str">
        <f t="shared" si="23"/>
        <v/>
      </c>
    </row>
    <row r="457" spans="1:8" x14ac:dyDescent="0.2">
      <c r="A457" s="26"/>
      <c r="B457" s="26"/>
      <c r="C457" s="25"/>
      <c r="D457" s="25"/>
      <c r="E457" s="25"/>
      <c r="F457" s="23" t="str">
        <f t="shared" si="21"/>
        <v/>
      </c>
      <c r="G457" s="23" t="str">
        <f t="shared" si="22"/>
        <v/>
      </c>
      <c r="H457" s="23" t="str">
        <f t="shared" si="23"/>
        <v/>
      </c>
    </row>
    <row r="458" spans="1:8" x14ac:dyDescent="0.2">
      <c r="A458" s="26"/>
      <c r="B458" s="26"/>
      <c r="C458" s="25"/>
      <c r="D458" s="25"/>
      <c r="E458" s="25"/>
      <c r="F458" s="23" t="str">
        <f t="shared" si="21"/>
        <v/>
      </c>
      <c r="G458" s="23" t="str">
        <f t="shared" si="22"/>
        <v/>
      </c>
      <c r="H458" s="23" t="str">
        <f t="shared" si="23"/>
        <v/>
      </c>
    </row>
    <row r="459" spans="1:8" x14ac:dyDescent="0.2">
      <c r="A459" s="26"/>
      <c r="B459" s="26"/>
      <c r="C459" s="25"/>
      <c r="D459" s="25"/>
      <c r="E459" s="25"/>
      <c r="F459" s="23" t="str">
        <f t="shared" si="21"/>
        <v/>
      </c>
      <c r="G459" s="23" t="str">
        <f t="shared" si="22"/>
        <v/>
      </c>
      <c r="H459" s="23" t="str">
        <f t="shared" si="23"/>
        <v/>
      </c>
    </row>
    <row r="460" spans="1:8" x14ac:dyDescent="0.2">
      <c r="A460" s="26"/>
      <c r="B460" s="26"/>
      <c r="C460" s="25"/>
      <c r="D460" s="25"/>
      <c r="E460" s="25"/>
      <c r="F460" s="23" t="str">
        <f t="shared" si="21"/>
        <v/>
      </c>
      <c r="G460" s="23" t="str">
        <f t="shared" si="22"/>
        <v/>
      </c>
      <c r="H460" s="23" t="str">
        <f t="shared" si="23"/>
        <v/>
      </c>
    </row>
    <row r="461" spans="1:8" x14ac:dyDescent="0.2">
      <c r="A461" s="26"/>
      <c r="B461" s="26"/>
      <c r="C461" s="25"/>
      <c r="D461" s="25"/>
      <c r="E461" s="25"/>
      <c r="F461" s="23" t="str">
        <f t="shared" si="21"/>
        <v/>
      </c>
      <c r="G461" s="23" t="str">
        <f t="shared" si="22"/>
        <v/>
      </c>
      <c r="H461" s="23" t="str">
        <f t="shared" si="23"/>
        <v/>
      </c>
    </row>
    <row r="462" spans="1:8" x14ac:dyDescent="0.2">
      <c r="A462" s="26"/>
      <c r="B462" s="26"/>
      <c r="C462" s="25"/>
      <c r="D462" s="25"/>
      <c r="E462" s="25"/>
      <c r="F462" s="23" t="str">
        <f t="shared" si="21"/>
        <v/>
      </c>
      <c r="G462" s="23" t="str">
        <f t="shared" si="22"/>
        <v/>
      </c>
      <c r="H462" s="23" t="str">
        <f t="shared" si="23"/>
        <v/>
      </c>
    </row>
    <row r="463" spans="1:8" x14ac:dyDescent="0.2">
      <c r="A463" s="26"/>
      <c r="B463" s="26"/>
      <c r="C463" s="25"/>
      <c r="D463" s="25"/>
      <c r="E463" s="25"/>
      <c r="F463" s="23" t="str">
        <f t="shared" si="21"/>
        <v/>
      </c>
      <c r="G463" s="23" t="str">
        <f t="shared" si="22"/>
        <v/>
      </c>
      <c r="H463" s="23" t="str">
        <f t="shared" si="23"/>
        <v/>
      </c>
    </row>
    <row r="464" spans="1:8" x14ac:dyDescent="0.2">
      <c r="A464" s="26"/>
      <c r="B464" s="26"/>
      <c r="C464" s="25"/>
      <c r="D464" s="25"/>
      <c r="E464" s="25"/>
      <c r="F464" s="23" t="str">
        <f t="shared" si="21"/>
        <v/>
      </c>
      <c r="G464" s="23" t="str">
        <f t="shared" si="22"/>
        <v/>
      </c>
      <c r="H464" s="23" t="str">
        <f t="shared" si="23"/>
        <v/>
      </c>
    </row>
    <row r="465" spans="1:8" x14ac:dyDescent="0.2">
      <c r="A465" s="26"/>
      <c r="B465" s="26"/>
      <c r="C465" s="25"/>
      <c r="D465" s="25"/>
      <c r="E465" s="25"/>
      <c r="F465" s="23" t="str">
        <f t="shared" si="21"/>
        <v/>
      </c>
      <c r="G465" s="23" t="str">
        <f t="shared" si="22"/>
        <v/>
      </c>
      <c r="H465" s="23" t="str">
        <f t="shared" si="23"/>
        <v/>
      </c>
    </row>
    <row r="466" spans="1:8" x14ac:dyDescent="0.2">
      <c r="A466" s="26"/>
      <c r="B466" s="26"/>
      <c r="C466" s="25"/>
      <c r="D466" s="25"/>
      <c r="E466" s="25"/>
      <c r="F466" s="23" t="str">
        <f t="shared" si="21"/>
        <v/>
      </c>
      <c r="G466" s="23" t="str">
        <f t="shared" si="22"/>
        <v/>
      </c>
      <c r="H466" s="23" t="str">
        <f t="shared" si="23"/>
        <v/>
      </c>
    </row>
    <row r="467" spans="1:8" x14ac:dyDescent="0.2">
      <c r="A467" s="26"/>
      <c r="B467" s="26"/>
      <c r="C467" s="25"/>
      <c r="D467" s="25"/>
      <c r="E467" s="25"/>
      <c r="F467" s="23" t="str">
        <f t="shared" si="21"/>
        <v/>
      </c>
      <c r="G467" s="23" t="str">
        <f t="shared" si="22"/>
        <v/>
      </c>
      <c r="H467" s="23" t="str">
        <f t="shared" si="23"/>
        <v/>
      </c>
    </row>
    <row r="468" spans="1:8" x14ac:dyDescent="0.2">
      <c r="A468" s="26"/>
      <c r="B468" s="26"/>
      <c r="C468" s="25"/>
      <c r="D468" s="25"/>
      <c r="E468" s="25"/>
      <c r="F468" s="23" t="str">
        <f t="shared" si="21"/>
        <v/>
      </c>
      <c r="G468" s="23" t="str">
        <f t="shared" si="22"/>
        <v/>
      </c>
      <c r="H468" s="23" t="str">
        <f t="shared" si="23"/>
        <v/>
      </c>
    </row>
    <row r="469" spans="1:8" x14ac:dyDescent="0.2">
      <c r="A469" s="26"/>
      <c r="B469" s="26"/>
      <c r="C469" s="25"/>
      <c r="D469" s="25"/>
      <c r="E469" s="25"/>
      <c r="F469" s="23" t="str">
        <f t="shared" si="21"/>
        <v/>
      </c>
      <c r="G469" s="23" t="str">
        <f t="shared" si="22"/>
        <v/>
      </c>
      <c r="H469" s="23" t="str">
        <f t="shared" si="23"/>
        <v/>
      </c>
    </row>
    <row r="470" spans="1:8" x14ac:dyDescent="0.2">
      <c r="A470" s="26"/>
      <c r="B470" s="26"/>
      <c r="C470" s="25"/>
      <c r="D470" s="25"/>
      <c r="E470" s="25"/>
      <c r="F470" s="23" t="str">
        <f t="shared" si="21"/>
        <v/>
      </c>
      <c r="G470" s="23" t="str">
        <f t="shared" si="22"/>
        <v/>
      </c>
      <c r="H470" s="23" t="str">
        <f t="shared" si="23"/>
        <v/>
      </c>
    </row>
    <row r="471" spans="1:8" x14ac:dyDescent="0.2">
      <c r="A471" s="26"/>
      <c r="B471" s="26"/>
      <c r="C471" s="25"/>
      <c r="D471" s="25"/>
      <c r="E471" s="25"/>
      <c r="F471" s="23" t="str">
        <f t="shared" si="21"/>
        <v/>
      </c>
      <c r="G471" s="23" t="str">
        <f t="shared" si="22"/>
        <v/>
      </c>
      <c r="H471" s="23" t="str">
        <f t="shared" si="23"/>
        <v/>
      </c>
    </row>
    <row r="472" spans="1:8" x14ac:dyDescent="0.2">
      <c r="A472" s="26"/>
      <c r="B472" s="26"/>
      <c r="C472" s="25"/>
      <c r="D472" s="25"/>
      <c r="E472" s="25"/>
      <c r="F472" s="23" t="str">
        <f t="shared" si="21"/>
        <v/>
      </c>
      <c r="G472" s="23" t="str">
        <f t="shared" si="22"/>
        <v/>
      </c>
      <c r="H472" s="23" t="str">
        <f t="shared" si="23"/>
        <v/>
      </c>
    </row>
    <row r="473" spans="1:8" x14ac:dyDescent="0.2">
      <c r="A473" s="26"/>
      <c r="B473" s="26"/>
      <c r="C473" s="25"/>
      <c r="D473" s="25"/>
      <c r="E473" s="25"/>
      <c r="F473" s="23" t="str">
        <f t="shared" si="21"/>
        <v/>
      </c>
      <c r="G473" s="23" t="str">
        <f t="shared" si="22"/>
        <v/>
      </c>
      <c r="H473" s="23" t="str">
        <f t="shared" si="23"/>
        <v/>
      </c>
    </row>
    <row r="474" spans="1:8" x14ac:dyDescent="0.2">
      <c r="A474" s="26"/>
      <c r="B474" s="26"/>
      <c r="C474" s="25"/>
      <c r="D474" s="25"/>
      <c r="E474" s="25"/>
      <c r="F474" s="23" t="str">
        <f t="shared" si="21"/>
        <v/>
      </c>
      <c r="G474" s="23" t="str">
        <f t="shared" si="22"/>
        <v/>
      </c>
      <c r="H474" s="23" t="str">
        <f t="shared" si="23"/>
        <v/>
      </c>
    </row>
    <row r="475" spans="1:8" x14ac:dyDescent="0.2">
      <c r="A475" s="26"/>
      <c r="B475" s="26"/>
      <c r="C475" s="25"/>
      <c r="D475" s="25"/>
      <c r="E475" s="25"/>
      <c r="F475" s="23" t="str">
        <f t="shared" si="21"/>
        <v/>
      </c>
      <c r="G475" s="23" t="str">
        <f t="shared" si="22"/>
        <v/>
      </c>
      <c r="H475" s="23" t="str">
        <f t="shared" si="23"/>
        <v/>
      </c>
    </row>
    <row r="476" spans="1:8" x14ac:dyDescent="0.2">
      <c r="A476" s="26"/>
      <c r="B476" s="26"/>
      <c r="C476" s="25"/>
      <c r="D476" s="25"/>
      <c r="E476" s="25"/>
      <c r="F476" s="23" t="str">
        <f t="shared" si="21"/>
        <v/>
      </c>
      <c r="G476" s="23" t="str">
        <f t="shared" si="22"/>
        <v/>
      </c>
      <c r="H476" s="23" t="str">
        <f t="shared" si="23"/>
        <v/>
      </c>
    </row>
    <row r="477" spans="1:8" x14ac:dyDescent="0.2">
      <c r="A477" s="26"/>
      <c r="B477" s="26"/>
      <c r="C477" s="25"/>
      <c r="D477" s="25"/>
      <c r="E477" s="25"/>
      <c r="F477" s="23" t="str">
        <f t="shared" si="21"/>
        <v/>
      </c>
      <c r="G477" s="23" t="str">
        <f t="shared" si="22"/>
        <v/>
      </c>
      <c r="H477" s="23" t="str">
        <f t="shared" si="23"/>
        <v/>
      </c>
    </row>
    <row r="478" spans="1:8" x14ac:dyDescent="0.2">
      <c r="A478" s="26"/>
      <c r="B478" s="26"/>
      <c r="C478" s="25"/>
      <c r="D478" s="25"/>
      <c r="E478" s="25"/>
      <c r="F478" s="23" t="str">
        <f t="shared" si="21"/>
        <v/>
      </c>
      <c r="G478" s="23" t="str">
        <f t="shared" si="22"/>
        <v/>
      </c>
      <c r="H478" s="23" t="str">
        <f t="shared" si="23"/>
        <v/>
      </c>
    </row>
    <row r="479" spans="1:8" x14ac:dyDescent="0.2">
      <c r="A479" s="26"/>
      <c r="B479" s="26"/>
      <c r="C479" s="25"/>
      <c r="D479" s="25"/>
      <c r="E479" s="25"/>
      <c r="F479" s="23" t="str">
        <f t="shared" si="21"/>
        <v/>
      </c>
      <c r="G479" s="23" t="str">
        <f t="shared" si="22"/>
        <v/>
      </c>
      <c r="H479" s="23" t="str">
        <f t="shared" si="23"/>
        <v/>
      </c>
    </row>
    <row r="480" spans="1:8" x14ac:dyDescent="0.2">
      <c r="A480" s="26"/>
      <c r="B480" s="26"/>
      <c r="C480" s="25"/>
      <c r="D480" s="25"/>
      <c r="E480" s="25"/>
      <c r="F480" s="23" t="str">
        <f t="shared" si="21"/>
        <v/>
      </c>
      <c r="G480" s="23" t="str">
        <f t="shared" si="22"/>
        <v/>
      </c>
      <c r="H480" s="23" t="str">
        <f t="shared" si="23"/>
        <v/>
      </c>
    </row>
    <row r="481" spans="1:8" x14ac:dyDescent="0.2">
      <c r="A481" s="26"/>
      <c r="B481" s="26"/>
      <c r="C481" s="25"/>
      <c r="D481" s="25"/>
      <c r="E481" s="25"/>
      <c r="F481" s="23" t="str">
        <f t="shared" si="21"/>
        <v/>
      </c>
      <c r="G481" s="23" t="str">
        <f t="shared" si="22"/>
        <v/>
      </c>
      <c r="H481" s="23" t="str">
        <f t="shared" si="23"/>
        <v/>
      </c>
    </row>
    <row r="482" spans="1:8" x14ac:dyDescent="0.2">
      <c r="A482" s="26"/>
      <c r="B482" s="26"/>
      <c r="C482" s="25"/>
      <c r="D482" s="25"/>
      <c r="E482" s="25"/>
      <c r="F482" s="23" t="str">
        <f t="shared" si="21"/>
        <v/>
      </c>
      <c r="G482" s="23" t="str">
        <f t="shared" si="22"/>
        <v/>
      </c>
      <c r="H482" s="23" t="str">
        <f t="shared" si="23"/>
        <v/>
      </c>
    </row>
    <row r="483" spans="1:8" x14ac:dyDescent="0.2">
      <c r="A483" s="26"/>
      <c r="B483" s="26"/>
      <c r="C483" s="25"/>
      <c r="D483" s="25"/>
      <c r="E483" s="25"/>
      <c r="F483" s="23" t="str">
        <f t="shared" si="21"/>
        <v/>
      </c>
      <c r="G483" s="23" t="str">
        <f t="shared" si="22"/>
        <v/>
      </c>
      <c r="H483" s="23" t="str">
        <f t="shared" si="23"/>
        <v/>
      </c>
    </row>
    <row r="484" spans="1:8" x14ac:dyDescent="0.2">
      <c r="A484" s="26"/>
      <c r="B484" s="26"/>
      <c r="C484" s="25"/>
      <c r="D484" s="25"/>
      <c r="E484" s="25"/>
      <c r="F484" s="23" t="str">
        <f t="shared" si="21"/>
        <v/>
      </c>
      <c r="G484" s="23" t="str">
        <f t="shared" si="22"/>
        <v/>
      </c>
      <c r="H484" s="23" t="str">
        <f t="shared" si="23"/>
        <v/>
      </c>
    </row>
    <row r="485" spans="1:8" x14ac:dyDescent="0.2">
      <c r="A485" s="26"/>
      <c r="B485" s="26"/>
      <c r="C485" s="25"/>
      <c r="D485" s="25"/>
      <c r="E485" s="25"/>
      <c r="F485" s="23" t="str">
        <f t="shared" si="21"/>
        <v/>
      </c>
      <c r="G485" s="23" t="str">
        <f t="shared" si="22"/>
        <v/>
      </c>
      <c r="H485" s="23" t="str">
        <f t="shared" si="23"/>
        <v/>
      </c>
    </row>
    <row r="486" spans="1:8" x14ac:dyDescent="0.2">
      <c r="A486" s="26"/>
      <c r="B486" s="26"/>
      <c r="C486" s="25"/>
      <c r="D486" s="25"/>
      <c r="E486" s="25"/>
      <c r="F486" s="23" t="str">
        <f t="shared" si="21"/>
        <v/>
      </c>
      <c r="G486" s="23" t="str">
        <f t="shared" si="22"/>
        <v/>
      </c>
      <c r="H486" s="23" t="str">
        <f t="shared" si="23"/>
        <v/>
      </c>
    </row>
    <row r="487" spans="1:8" x14ac:dyDescent="0.2">
      <c r="A487" s="26"/>
      <c r="B487" s="26"/>
      <c r="C487" s="25"/>
      <c r="D487" s="25"/>
      <c r="E487" s="25"/>
      <c r="F487" s="23" t="str">
        <f t="shared" si="21"/>
        <v/>
      </c>
      <c r="G487" s="23" t="str">
        <f t="shared" si="22"/>
        <v/>
      </c>
      <c r="H487" s="23" t="str">
        <f t="shared" si="23"/>
        <v/>
      </c>
    </row>
    <row r="488" spans="1:8" x14ac:dyDescent="0.2">
      <c r="A488" s="26"/>
      <c r="B488" s="26"/>
      <c r="C488" s="25"/>
      <c r="D488" s="25"/>
      <c r="E488" s="25"/>
      <c r="F488" s="23" t="str">
        <f t="shared" si="21"/>
        <v/>
      </c>
      <c r="G488" s="23" t="str">
        <f t="shared" si="22"/>
        <v/>
      </c>
      <c r="H488" s="23" t="str">
        <f t="shared" si="23"/>
        <v/>
      </c>
    </row>
    <row r="489" spans="1:8" x14ac:dyDescent="0.2">
      <c r="A489" s="26"/>
      <c r="B489" s="26"/>
      <c r="C489" s="25"/>
      <c r="D489" s="25"/>
      <c r="E489" s="25"/>
      <c r="F489" s="23" t="str">
        <f t="shared" si="21"/>
        <v/>
      </c>
      <c r="G489" s="23" t="str">
        <f t="shared" si="22"/>
        <v/>
      </c>
      <c r="H489" s="23" t="str">
        <f t="shared" si="23"/>
        <v/>
      </c>
    </row>
    <row r="490" spans="1:8" x14ac:dyDescent="0.2">
      <c r="A490" s="26"/>
      <c r="B490" s="26"/>
      <c r="C490" s="25"/>
      <c r="D490" s="25"/>
      <c r="E490" s="25"/>
      <c r="F490" s="23" t="str">
        <f t="shared" si="21"/>
        <v/>
      </c>
      <c r="G490" s="23" t="str">
        <f t="shared" si="22"/>
        <v/>
      </c>
      <c r="H490" s="23" t="str">
        <f t="shared" si="23"/>
        <v/>
      </c>
    </row>
    <row r="491" spans="1:8" x14ac:dyDescent="0.2">
      <c r="A491" s="26"/>
      <c r="B491" s="26"/>
      <c r="C491" s="25"/>
      <c r="D491" s="25"/>
      <c r="E491" s="25"/>
      <c r="F491" s="23" t="str">
        <f t="shared" si="21"/>
        <v/>
      </c>
      <c r="G491" s="23" t="str">
        <f t="shared" si="22"/>
        <v/>
      </c>
      <c r="H491" s="23" t="str">
        <f t="shared" si="23"/>
        <v/>
      </c>
    </row>
    <row r="492" spans="1:8" x14ac:dyDescent="0.2">
      <c r="A492" s="26"/>
      <c r="B492" s="26"/>
      <c r="C492" s="25"/>
      <c r="D492" s="25"/>
      <c r="E492" s="25"/>
      <c r="F492" s="23" t="str">
        <f t="shared" si="21"/>
        <v/>
      </c>
      <c r="G492" s="23" t="str">
        <f t="shared" si="22"/>
        <v/>
      </c>
      <c r="H492" s="23" t="str">
        <f t="shared" si="23"/>
        <v/>
      </c>
    </row>
    <row r="493" spans="1:8" x14ac:dyDescent="0.2">
      <c r="A493" s="26"/>
      <c r="B493" s="26"/>
      <c r="C493" s="25"/>
      <c r="D493" s="25"/>
      <c r="E493" s="25"/>
      <c r="F493" s="23" t="str">
        <f t="shared" si="21"/>
        <v/>
      </c>
      <c r="G493" s="23" t="str">
        <f t="shared" si="22"/>
        <v/>
      </c>
      <c r="H493" s="23" t="str">
        <f t="shared" si="23"/>
        <v/>
      </c>
    </row>
    <row r="494" spans="1:8" x14ac:dyDescent="0.2">
      <c r="A494" s="26"/>
      <c r="B494" s="26"/>
      <c r="C494" s="25"/>
      <c r="D494" s="25"/>
      <c r="E494" s="25"/>
      <c r="F494" s="23" t="str">
        <f t="shared" si="21"/>
        <v/>
      </c>
      <c r="G494" s="23" t="str">
        <f t="shared" si="22"/>
        <v/>
      </c>
      <c r="H494" s="23" t="str">
        <f t="shared" si="23"/>
        <v/>
      </c>
    </row>
    <row r="495" spans="1:8" x14ac:dyDescent="0.2">
      <c r="A495" s="26"/>
      <c r="B495" s="26"/>
      <c r="C495" s="25"/>
      <c r="D495" s="25"/>
      <c r="E495" s="25"/>
      <c r="F495" s="23" t="str">
        <f t="shared" si="21"/>
        <v/>
      </c>
      <c r="G495" s="23" t="str">
        <f t="shared" si="22"/>
        <v/>
      </c>
      <c r="H495" s="23" t="str">
        <f t="shared" si="23"/>
        <v/>
      </c>
    </row>
    <row r="496" spans="1:8" x14ac:dyDescent="0.2">
      <c r="A496" s="26"/>
      <c r="B496" s="26"/>
      <c r="C496" s="25"/>
      <c r="D496" s="25"/>
      <c r="E496" s="25"/>
      <c r="F496" s="23" t="str">
        <f t="shared" si="21"/>
        <v/>
      </c>
      <c r="G496" s="23" t="str">
        <f t="shared" si="22"/>
        <v/>
      </c>
      <c r="H496" s="23" t="str">
        <f t="shared" si="23"/>
        <v/>
      </c>
    </row>
    <row r="497" spans="1:8" x14ac:dyDescent="0.2">
      <c r="A497" s="26"/>
      <c r="B497" s="26"/>
      <c r="C497" s="25"/>
      <c r="D497" s="25"/>
      <c r="E497" s="25"/>
      <c r="F497" s="23" t="str">
        <f t="shared" si="21"/>
        <v/>
      </c>
      <c r="G497" s="23" t="str">
        <f t="shared" si="22"/>
        <v/>
      </c>
      <c r="H497" s="23" t="str">
        <f t="shared" si="23"/>
        <v/>
      </c>
    </row>
    <row r="498" spans="1:8" x14ac:dyDescent="0.2">
      <c r="A498" s="26"/>
      <c r="B498" s="26"/>
      <c r="C498" s="25"/>
      <c r="D498" s="25"/>
      <c r="E498" s="25"/>
      <c r="F498" s="23" t="str">
        <f t="shared" si="21"/>
        <v/>
      </c>
      <c r="G498" s="23" t="str">
        <f t="shared" si="22"/>
        <v/>
      </c>
      <c r="H498" s="23" t="str">
        <f t="shared" si="23"/>
        <v/>
      </c>
    </row>
    <row r="499" spans="1:8" x14ac:dyDescent="0.2">
      <c r="A499" s="26"/>
      <c r="B499" s="26"/>
      <c r="C499" s="25"/>
      <c r="D499" s="25"/>
      <c r="E499" s="25"/>
      <c r="F499" s="23" t="str">
        <f t="shared" si="21"/>
        <v/>
      </c>
      <c r="G499" s="23" t="str">
        <f t="shared" si="22"/>
        <v/>
      </c>
      <c r="H499" s="23" t="str">
        <f t="shared" si="23"/>
        <v/>
      </c>
    </row>
    <row r="500" spans="1:8" x14ac:dyDescent="0.2">
      <c r="A500" s="26"/>
      <c r="B500" s="26"/>
      <c r="C500" s="25"/>
      <c r="D500" s="25"/>
      <c r="E500" s="25"/>
      <c r="F500" s="23" t="str">
        <f t="shared" si="21"/>
        <v/>
      </c>
      <c r="G500" s="23" t="str">
        <f t="shared" si="22"/>
        <v/>
      </c>
      <c r="H500" s="23" t="str">
        <f t="shared" si="23"/>
        <v/>
      </c>
    </row>
    <row r="501" spans="1:8" x14ac:dyDescent="0.2">
      <c r="A501" s="22"/>
      <c r="B501" s="26"/>
      <c r="C501" s="25"/>
      <c r="D501" s="25"/>
      <c r="E501" s="25"/>
      <c r="F501" s="23" t="str">
        <f t="shared" ref="F501:F564" si="24">IF(C501&lt;&gt;"",($J$23*C501+$K$23*D501+$L$23*E501)+$K$7,"")</f>
        <v/>
      </c>
      <c r="G501" s="23" t="str">
        <f t="shared" ref="G501:G564" si="25">IF(D501&lt;&gt;"",($J$24*C501+$K$24*D501+$L$24*E501)+$K$8,"")</f>
        <v/>
      </c>
      <c r="H501" s="23" t="str">
        <f t="shared" ref="H501:H564" si="26">IF(E501&lt;&gt;"",($J$25*C501+$K$25*D501+$L$25*E501)+$K$9,"")</f>
        <v/>
      </c>
    </row>
    <row r="502" spans="1:8" x14ac:dyDescent="0.2">
      <c r="A502" s="22"/>
      <c r="B502" s="26"/>
      <c r="C502" s="25"/>
      <c r="D502" s="25"/>
      <c r="E502" s="25"/>
      <c r="F502" s="23" t="str">
        <f t="shared" si="24"/>
        <v/>
      </c>
      <c r="G502" s="23" t="str">
        <f t="shared" si="25"/>
        <v/>
      </c>
      <c r="H502" s="23" t="str">
        <f t="shared" si="26"/>
        <v/>
      </c>
    </row>
    <row r="503" spans="1:8" x14ac:dyDescent="0.2">
      <c r="A503" s="22"/>
      <c r="B503" s="26"/>
      <c r="C503" s="25"/>
      <c r="D503" s="25"/>
      <c r="E503" s="25"/>
      <c r="F503" s="23" t="str">
        <f t="shared" si="24"/>
        <v/>
      </c>
      <c r="G503" s="23" t="str">
        <f t="shared" si="25"/>
        <v/>
      </c>
      <c r="H503" s="23" t="str">
        <f t="shared" si="26"/>
        <v/>
      </c>
    </row>
    <row r="504" spans="1:8" x14ac:dyDescent="0.2">
      <c r="A504" s="22"/>
      <c r="B504" s="26"/>
      <c r="C504" s="25"/>
      <c r="D504" s="25"/>
      <c r="E504" s="25"/>
      <c r="F504" s="23" t="str">
        <f t="shared" si="24"/>
        <v/>
      </c>
      <c r="G504" s="23" t="str">
        <f t="shared" si="25"/>
        <v/>
      </c>
      <c r="H504" s="23" t="str">
        <f t="shared" si="26"/>
        <v/>
      </c>
    </row>
    <row r="505" spans="1:8" x14ac:dyDescent="0.2">
      <c r="A505" s="22"/>
      <c r="B505" s="26"/>
      <c r="C505" s="25"/>
      <c r="D505" s="25"/>
      <c r="E505" s="25"/>
      <c r="F505" s="23" t="str">
        <f t="shared" si="24"/>
        <v/>
      </c>
      <c r="G505" s="23" t="str">
        <f t="shared" si="25"/>
        <v/>
      </c>
      <c r="H505" s="23" t="str">
        <f t="shared" si="26"/>
        <v/>
      </c>
    </row>
    <row r="506" spans="1:8" x14ac:dyDescent="0.2">
      <c r="A506" s="22"/>
      <c r="B506" s="26"/>
      <c r="C506" s="25"/>
      <c r="D506" s="25"/>
      <c r="E506" s="25"/>
      <c r="F506" s="23" t="str">
        <f t="shared" si="24"/>
        <v/>
      </c>
      <c r="G506" s="23" t="str">
        <f t="shared" si="25"/>
        <v/>
      </c>
      <c r="H506" s="23" t="str">
        <f t="shared" si="26"/>
        <v/>
      </c>
    </row>
    <row r="507" spans="1:8" x14ac:dyDescent="0.2">
      <c r="A507" s="22"/>
      <c r="B507" s="26"/>
      <c r="C507" s="25"/>
      <c r="D507" s="25"/>
      <c r="E507" s="25"/>
      <c r="F507" s="23" t="str">
        <f t="shared" si="24"/>
        <v/>
      </c>
      <c r="G507" s="23" t="str">
        <f t="shared" si="25"/>
        <v/>
      </c>
      <c r="H507" s="23" t="str">
        <f t="shared" si="26"/>
        <v/>
      </c>
    </row>
    <row r="508" spans="1:8" x14ac:dyDescent="0.2">
      <c r="A508" s="22"/>
      <c r="B508" s="26"/>
      <c r="C508" s="25"/>
      <c r="D508" s="25"/>
      <c r="E508" s="25"/>
      <c r="F508" s="23" t="str">
        <f t="shared" si="24"/>
        <v/>
      </c>
      <c r="G508" s="23" t="str">
        <f t="shared" si="25"/>
        <v/>
      </c>
      <c r="H508" s="23" t="str">
        <f t="shared" si="26"/>
        <v/>
      </c>
    </row>
    <row r="509" spans="1:8" x14ac:dyDescent="0.2">
      <c r="A509" s="22"/>
      <c r="B509" s="26"/>
      <c r="C509" s="25"/>
      <c r="D509" s="25"/>
      <c r="E509" s="25"/>
      <c r="F509" s="23" t="str">
        <f t="shared" si="24"/>
        <v/>
      </c>
      <c r="G509" s="23" t="str">
        <f t="shared" si="25"/>
        <v/>
      </c>
      <c r="H509" s="23" t="str">
        <f t="shared" si="26"/>
        <v/>
      </c>
    </row>
    <row r="510" spans="1:8" x14ac:dyDescent="0.2">
      <c r="A510" s="22"/>
      <c r="B510" s="26"/>
      <c r="C510" s="25"/>
      <c r="D510" s="25"/>
      <c r="E510" s="25"/>
      <c r="F510" s="23" t="str">
        <f t="shared" si="24"/>
        <v/>
      </c>
      <c r="G510" s="23" t="str">
        <f t="shared" si="25"/>
        <v/>
      </c>
      <c r="H510" s="23" t="str">
        <f t="shared" si="26"/>
        <v/>
      </c>
    </row>
    <row r="511" spans="1:8" x14ac:dyDescent="0.2">
      <c r="A511" s="22"/>
      <c r="B511" s="26"/>
      <c r="C511" s="25"/>
      <c r="D511" s="25"/>
      <c r="E511" s="25"/>
      <c r="F511" s="23" t="str">
        <f t="shared" si="24"/>
        <v/>
      </c>
      <c r="G511" s="23" t="str">
        <f t="shared" si="25"/>
        <v/>
      </c>
      <c r="H511" s="23" t="str">
        <f t="shared" si="26"/>
        <v/>
      </c>
    </row>
    <row r="512" spans="1:8" x14ac:dyDescent="0.2">
      <c r="A512" s="22"/>
      <c r="B512" s="26"/>
      <c r="C512" s="25"/>
      <c r="D512" s="25"/>
      <c r="E512" s="25"/>
      <c r="F512" s="23" t="str">
        <f t="shared" si="24"/>
        <v/>
      </c>
      <c r="G512" s="23" t="str">
        <f t="shared" si="25"/>
        <v/>
      </c>
      <c r="H512" s="23" t="str">
        <f t="shared" si="26"/>
        <v/>
      </c>
    </row>
    <row r="513" spans="1:8" x14ac:dyDescent="0.2">
      <c r="A513" s="22"/>
      <c r="B513" s="26"/>
      <c r="C513" s="25"/>
      <c r="D513" s="25"/>
      <c r="E513" s="25"/>
      <c r="F513" s="23" t="str">
        <f t="shared" si="24"/>
        <v/>
      </c>
      <c r="G513" s="23" t="str">
        <f t="shared" si="25"/>
        <v/>
      </c>
      <c r="H513" s="23" t="str">
        <f t="shared" si="26"/>
        <v/>
      </c>
    </row>
    <row r="514" spans="1:8" x14ac:dyDescent="0.2">
      <c r="A514" s="22"/>
      <c r="B514" s="26"/>
      <c r="C514" s="25"/>
      <c r="D514" s="25"/>
      <c r="E514" s="25"/>
      <c r="F514" s="23" t="str">
        <f t="shared" si="24"/>
        <v/>
      </c>
      <c r="G514" s="23" t="str">
        <f t="shared" si="25"/>
        <v/>
      </c>
      <c r="H514" s="23" t="str">
        <f t="shared" si="26"/>
        <v/>
      </c>
    </row>
    <row r="515" spans="1:8" x14ac:dyDescent="0.2">
      <c r="A515" s="22"/>
      <c r="B515" s="26"/>
      <c r="C515" s="25"/>
      <c r="D515" s="25"/>
      <c r="E515" s="25"/>
      <c r="F515" s="23" t="str">
        <f t="shared" si="24"/>
        <v/>
      </c>
      <c r="G515" s="23" t="str">
        <f t="shared" si="25"/>
        <v/>
      </c>
      <c r="H515" s="23" t="str">
        <f t="shared" si="26"/>
        <v/>
      </c>
    </row>
    <row r="516" spans="1:8" x14ac:dyDescent="0.2">
      <c r="A516" s="22"/>
      <c r="B516" s="26"/>
      <c r="C516" s="25"/>
      <c r="D516" s="25"/>
      <c r="E516" s="25"/>
      <c r="F516" s="23" t="str">
        <f t="shared" si="24"/>
        <v/>
      </c>
      <c r="G516" s="23" t="str">
        <f t="shared" si="25"/>
        <v/>
      </c>
      <c r="H516" s="23" t="str">
        <f t="shared" si="26"/>
        <v/>
      </c>
    </row>
    <row r="517" spans="1:8" x14ac:dyDescent="0.2">
      <c r="A517" s="22"/>
      <c r="B517" s="26"/>
      <c r="C517" s="25"/>
      <c r="D517" s="25"/>
      <c r="E517" s="25"/>
      <c r="F517" s="23" t="str">
        <f t="shared" si="24"/>
        <v/>
      </c>
      <c r="G517" s="23" t="str">
        <f t="shared" si="25"/>
        <v/>
      </c>
      <c r="H517" s="23" t="str">
        <f t="shared" si="26"/>
        <v/>
      </c>
    </row>
    <row r="518" spans="1:8" x14ac:dyDescent="0.2">
      <c r="A518" s="22"/>
      <c r="B518" s="26"/>
      <c r="C518" s="25"/>
      <c r="D518" s="25"/>
      <c r="E518" s="25"/>
      <c r="F518" s="23" t="str">
        <f t="shared" si="24"/>
        <v/>
      </c>
      <c r="G518" s="23" t="str">
        <f t="shared" si="25"/>
        <v/>
      </c>
      <c r="H518" s="23" t="str">
        <f t="shared" si="26"/>
        <v/>
      </c>
    </row>
    <row r="519" spans="1:8" x14ac:dyDescent="0.2">
      <c r="A519" s="22"/>
      <c r="B519" s="26"/>
      <c r="C519" s="25"/>
      <c r="D519" s="25"/>
      <c r="E519" s="25"/>
      <c r="F519" s="23" t="str">
        <f t="shared" si="24"/>
        <v/>
      </c>
      <c r="G519" s="23" t="str">
        <f t="shared" si="25"/>
        <v/>
      </c>
      <c r="H519" s="23" t="str">
        <f t="shared" si="26"/>
        <v/>
      </c>
    </row>
    <row r="520" spans="1:8" x14ac:dyDescent="0.2">
      <c r="A520" s="22"/>
      <c r="B520" s="26"/>
      <c r="C520" s="25"/>
      <c r="D520" s="25"/>
      <c r="E520" s="25"/>
      <c r="F520" s="23" t="str">
        <f t="shared" si="24"/>
        <v/>
      </c>
      <c r="G520" s="23" t="str">
        <f t="shared" si="25"/>
        <v/>
      </c>
      <c r="H520" s="23" t="str">
        <f t="shared" si="26"/>
        <v/>
      </c>
    </row>
    <row r="521" spans="1:8" x14ac:dyDescent="0.2">
      <c r="A521" s="22"/>
      <c r="B521" s="26"/>
      <c r="C521" s="25"/>
      <c r="D521" s="25"/>
      <c r="E521" s="25"/>
      <c r="F521" s="23" t="str">
        <f t="shared" si="24"/>
        <v/>
      </c>
      <c r="G521" s="23" t="str">
        <f t="shared" si="25"/>
        <v/>
      </c>
      <c r="H521" s="23" t="str">
        <f t="shared" si="26"/>
        <v/>
      </c>
    </row>
    <row r="522" spans="1:8" x14ac:dyDescent="0.2">
      <c r="A522" s="22"/>
      <c r="B522" s="26"/>
      <c r="C522" s="25"/>
      <c r="D522" s="25"/>
      <c r="E522" s="25"/>
      <c r="F522" s="23" t="str">
        <f t="shared" si="24"/>
        <v/>
      </c>
      <c r="G522" s="23" t="str">
        <f t="shared" si="25"/>
        <v/>
      </c>
      <c r="H522" s="23" t="str">
        <f t="shared" si="26"/>
        <v/>
      </c>
    </row>
    <row r="523" spans="1:8" x14ac:dyDescent="0.2">
      <c r="A523" s="22"/>
      <c r="B523" s="26"/>
      <c r="C523" s="25"/>
      <c r="D523" s="25"/>
      <c r="E523" s="25"/>
      <c r="F523" s="23" t="str">
        <f t="shared" si="24"/>
        <v/>
      </c>
      <c r="G523" s="23" t="str">
        <f t="shared" si="25"/>
        <v/>
      </c>
      <c r="H523" s="23" t="str">
        <f t="shared" si="26"/>
        <v/>
      </c>
    </row>
    <row r="524" spans="1:8" x14ac:dyDescent="0.2">
      <c r="A524" s="22"/>
      <c r="B524" s="26"/>
      <c r="C524" s="25"/>
      <c r="D524" s="25"/>
      <c r="E524" s="25"/>
      <c r="F524" s="23" t="str">
        <f t="shared" si="24"/>
        <v/>
      </c>
      <c r="G524" s="23" t="str">
        <f t="shared" si="25"/>
        <v/>
      </c>
      <c r="H524" s="23" t="str">
        <f t="shared" si="26"/>
        <v/>
      </c>
    </row>
    <row r="525" spans="1:8" x14ac:dyDescent="0.2">
      <c r="A525" s="22"/>
      <c r="B525" s="26"/>
      <c r="C525" s="25"/>
      <c r="D525" s="25"/>
      <c r="E525" s="25"/>
      <c r="F525" s="23" t="str">
        <f t="shared" si="24"/>
        <v/>
      </c>
      <c r="G525" s="23" t="str">
        <f t="shared" si="25"/>
        <v/>
      </c>
      <c r="H525" s="23" t="str">
        <f t="shared" si="26"/>
        <v/>
      </c>
    </row>
    <row r="526" spans="1:8" x14ac:dyDescent="0.2">
      <c r="A526" s="22"/>
      <c r="B526" s="26"/>
      <c r="C526" s="25"/>
      <c r="D526" s="25"/>
      <c r="E526" s="25"/>
      <c r="F526" s="23" t="str">
        <f t="shared" si="24"/>
        <v/>
      </c>
      <c r="G526" s="23" t="str">
        <f t="shared" si="25"/>
        <v/>
      </c>
      <c r="H526" s="23" t="str">
        <f t="shared" si="26"/>
        <v/>
      </c>
    </row>
    <row r="527" spans="1:8" x14ac:dyDescent="0.2">
      <c r="A527" s="22"/>
      <c r="B527" s="26"/>
      <c r="C527" s="25"/>
      <c r="D527" s="25"/>
      <c r="E527" s="25"/>
      <c r="F527" s="23" t="str">
        <f t="shared" si="24"/>
        <v/>
      </c>
      <c r="G527" s="23" t="str">
        <f t="shared" si="25"/>
        <v/>
      </c>
      <c r="H527" s="23" t="str">
        <f t="shared" si="26"/>
        <v/>
      </c>
    </row>
    <row r="528" spans="1:8" x14ac:dyDescent="0.2">
      <c r="A528" s="22"/>
      <c r="B528" s="26"/>
      <c r="C528" s="25"/>
      <c r="D528" s="25"/>
      <c r="E528" s="25"/>
      <c r="F528" s="23" t="str">
        <f t="shared" si="24"/>
        <v/>
      </c>
      <c r="G528" s="23" t="str">
        <f t="shared" si="25"/>
        <v/>
      </c>
      <c r="H528" s="23" t="str">
        <f t="shared" si="26"/>
        <v/>
      </c>
    </row>
    <row r="529" spans="1:8" x14ac:dyDescent="0.2">
      <c r="A529" s="22"/>
      <c r="B529" s="26"/>
      <c r="C529" s="25"/>
      <c r="D529" s="25"/>
      <c r="E529" s="25"/>
      <c r="F529" s="23" t="str">
        <f t="shared" si="24"/>
        <v/>
      </c>
      <c r="G529" s="23" t="str">
        <f t="shared" si="25"/>
        <v/>
      </c>
      <c r="H529" s="23" t="str">
        <f t="shared" si="26"/>
        <v/>
      </c>
    </row>
    <row r="530" spans="1:8" x14ac:dyDescent="0.2">
      <c r="A530" s="22"/>
      <c r="B530" s="26"/>
      <c r="C530" s="25"/>
      <c r="D530" s="25"/>
      <c r="E530" s="25"/>
      <c r="F530" s="23" t="str">
        <f t="shared" si="24"/>
        <v/>
      </c>
      <c r="G530" s="23" t="str">
        <f t="shared" si="25"/>
        <v/>
      </c>
      <c r="H530" s="23" t="str">
        <f t="shared" si="26"/>
        <v/>
      </c>
    </row>
    <row r="531" spans="1:8" x14ac:dyDescent="0.2">
      <c r="A531" s="22"/>
      <c r="B531" s="26"/>
      <c r="C531" s="25"/>
      <c r="D531" s="25"/>
      <c r="E531" s="25"/>
      <c r="F531" s="23" t="str">
        <f t="shared" si="24"/>
        <v/>
      </c>
      <c r="G531" s="23" t="str">
        <f t="shared" si="25"/>
        <v/>
      </c>
      <c r="H531" s="23" t="str">
        <f t="shared" si="26"/>
        <v/>
      </c>
    </row>
    <row r="532" spans="1:8" x14ac:dyDescent="0.2">
      <c r="A532" s="22"/>
      <c r="B532" s="26"/>
      <c r="C532" s="25"/>
      <c r="D532" s="25"/>
      <c r="E532" s="25"/>
      <c r="F532" s="23" t="str">
        <f t="shared" si="24"/>
        <v/>
      </c>
      <c r="G532" s="23" t="str">
        <f t="shared" si="25"/>
        <v/>
      </c>
      <c r="H532" s="23" t="str">
        <f t="shared" si="26"/>
        <v/>
      </c>
    </row>
    <row r="533" spans="1:8" x14ac:dyDescent="0.2">
      <c r="A533" s="22"/>
      <c r="B533" s="26"/>
      <c r="C533" s="25"/>
      <c r="D533" s="25"/>
      <c r="E533" s="25"/>
      <c r="F533" s="23" t="str">
        <f t="shared" si="24"/>
        <v/>
      </c>
      <c r="G533" s="23" t="str">
        <f t="shared" si="25"/>
        <v/>
      </c>
      <c r="H533" s="23" t="str">
        <f t="shared" si="26"/>
        <v/>
      </c>
    </row>
    <row r="534" spans="1:8" x14ac:dyDescent="0.2">
      <c r="A534" s="22"/>
      <c r="B534" s="26"/>
      <c r="C534" s="25"/>
      <c r="D534" s="25"/>
      <c r="E534" s="25"/>
      <c r="F534" s="23" t="str">
        <f t="shared" si="24"/>
        <v/>
      </c>
      <c r="G534" s="23" t="str">
        <f t="shared" si="25"/>
        <v/>
      </c>
      <c r="H534" s="23" t="str">
        <f t="shared" si="26"/>
        <v/>
      </c>
    </row>
    <row r="535" spans="1:8" x14ac:dyDescent="0.2">
      <c r="A535" s="22"/>
      <c r="B535" s="26"/>
      <c r="C535" s="25"/>
      <c r="D535" s="25"/>
      <c r="E535" s="25"/>
      <c r="F535" s="23" t="str">
        <f t="shared" si="24"/>
        <v/>
      </c>
      <c r="G535" s="23" t="str">
        <f t="shared" si="25"/>
        <v/>
      </c>
      <c r="H535" s="23" t="str">
        <f t="shared" si="26"/>
        <v/>
      </c>
    </row>
    <row r="536" spans="1:8" x14ac:dyDescent="0.2">
      <c r="A536" s="22"/>
      <c r="B536" s="26"/>
      <c r="C536" s="25"/>
      <c r="D536" s="25"/>
      <c r="E536" s="25"/>
      <c r="F536" s="23" t="str">
        <f t="shared" si="24"/>
        <v/>
      </c>
      <c r="G536" s="23" t="str">
        <f t="shared" si="25"/>
        <v/>
      </c>
      <c r="H536" s="23" t="str">
        <f t="shared" si="26"/>
        <v/>
      </c>
    </row>
    <row r="537" spans="1:8" x14ac:dyDescent="0.2">
      <c r="A537" s="22"/>
      <c r="B537" s="26"/>
      <c r="C537" s="25"/>
      <c r="D537" s="25"/>
      <c r="E537" s="25"/>
      <c r="F537" s="23" t="str">
        <f t="shared" si="24"/>
        <v/>
      </c>
      <c r="G537" s="23" t="str">
        <f t="shared" si="25"/>
        <v/>
      </c>
      <c r="H537" s="23" t="str">
        <f t="shared" si="26"/>
        <v/>
      </c>
    </row>
    <row r="538" spans="1:8" x14ac:dyDescent="0.2">
      <c r="A538" s="22"/>
      <c r="B538" s="26"/>
      <c r="C538" s="25"/>
      <c r="D538" s="25"/>
      <c r="E538" s="25"/>
      <c r="F538" s="23" t="str">
        <f t="shared" si="24"/>
        <v/>
      </c>
      <c r="G538" s="23" t="str">
        <f t="shared" si="25"/>
        <v/>
      </c>
      <c r="H538" s="23" t="str">
        <f t="shared" si="26"/>
        <v/>
      </c>
    </row>
    <row r="539" spans="1:8" x14ac:dyDescent="0.2">
      <c r="A539" s="22"/>
      <c r="B539" s="26"/>
      <c r="C539" s="25"/>
      <c r="D539" s="25"/>
      <c r="E539" s="25"/>
      <c r="F539" s="23" t="str">
        <f t="shared" si="24"/>
        <v/>
      </c>
      <c r="G539" s="23" t="str">
        <f t="shared" si="25"/>
        <v/>
      </c>
      <c r="H539" s="23" t="str">
        <f t="shared" si="26"/>
        <v/>
      </c>
    </row>
    <row r="540" spans="1:8" x14ac:dyDescent="0.2">
      <c r="A540" s="22"/>
      <c r="B540" s="26"/>
      <c r="C540" s="25"/>
      <c r="D540" s="25"/>
      <c r="E540" s="25"/>
      <c r="F540" s="23" t="str">
        <f t="shared" si="24"/>
        <v/>
      </c>
      <c r="G540" s="23" t="str">
        <f t="shared" si="25"/>
        <v/>
      </c>
      <c r="H540" s="23" t="str">
        <f t="shared" si="26"/>
        <v/>
      </c>
    </row>
    <row r="541" spans="1:8" x14ac:dyDescent="0.2">
      <c r="A541" s="22"/>
      <c r="B541" s="26"/>
      <c r="C541" s="25"/>
      <c r="D541" s="25"/>
      <c r="E541" s="25"/>
      <c r="F541" s="23" t="str">
        <f t="shared" si="24"/>
        <v/>
      </c>
      <c r="G541" s="23" t="str">
        <f t="shared" si="25"/>
        <v/>
      </c>
      <c r="H541" s="23" t="str">
        <f t="shared" si="26"/>
        <v/>
      </c>
    </row>
    <row r="542" spans="1:8" x14ac:dyDescent="0.2">
      <c r="A542" s="22"/>
      <c r="B542" s="26"/>
      <c r="C542" s="25"/>
      <c r="D542" s="25"/>
      <c r="E542" s="25"/>
      <c r="F542" s="23" t="str">
        <f t="shared" si="24"/>
        <v/>
      </c>
      <c r="G542" s="23" t="str">
        <f t="shared" si="25"/>
        <v/>
      </c>
      <c r="H542" s="23" t="str">
        <f t="shared" si="26"/>
        <v/>
      </c>
    </row>
    <row r="543" spans="1:8" x14ac:dyDescent="0.2">
      <c r="A543" s="22"/>
      <c r="B543" s="26"/>
      <c r="C543" s="25"/>
      <c r="D543" s="25"/>
      <c r="E543" s="25"/>
      <c r="F543" s="23" t="str">
        <f t="shared" si="24"/>
        <v/>
      </c>
      <c r="G543" s="23" t="str">
        <f t="shared" si="25"/>
        <v/>
      </c>
      <c r="H543" s="23" t="str">
        <f t="shared" si="26"/>
        <v/>
      </c>
    </row>
    <row r="544" spans="1:8" x14ac:dyDescent="0.2">
      <c r="A544" s="22"/>
      <c r="B544" s="26"/>
      <c r="C544" s="25"/>
      <c r="D544" s="25"/>
      <c r="E544" s="25"/>
      <c r="F544" s="23" t="str">
        <f t="shared" si="24"/>
        <v/>
      </c>
      <c r="G544" s="23" t="str">
        <f t="shared" si="25"/>
        <v/>
      </c>
      <c r="H544" s="23" t="str">
        <f t="shared" si="26"/>
        <v/>
      </c>
    </row>
    <row r="545" spans="1:8" x14ac:dyDescent="0.2">
      <c r="A545" s="22"/>
      <c r="B545" s="26"/>
      <c r="C545" s="25"/>
      <c r="D545" s="25"/>
      <c r="E545" s="25"/>
      <c r="F545" s="23" t="str">
        <f t="shared" si="24"/>
        <v/>
      </c>
      <c r="G545" s="23" t="str">
        <f t="shared" si="25"/>
        <v/>
      </c>
      <c r="H545" s="23" t="str">
        <f t="shared" si="26"/>
        <v/>
      </c>
    </row>
    <row r="546" spans="1:8" x14ac:dyDescent="0.2">
      <c r="A546" s="22"/>
      <c r="B546" s="26"/>
      <c r="C546" s="25"/>
      <c r="D546" s="25"/>
      <c r="E546" s="25"/>
      <c r="F546" s="23" t="str">
        <f t="shared" si="24"/>
        <v/>
      </c>
      <c r="G546" s="23" t="str">
        <f t="shared" si="25"/>
        <v/>
      </c>
      <c r="H546" s="23" t="str">
        <f t="shared" si="26"/>
        <v/>
      </c>
    </row>
    <row r="547" spans="1:8" x14ac:dyDescent="0.2">
      <c r="A547" s="22"/>
      <c r="B547" s="26"/>
      <c r="C547" s="25"/>
      <c r="D547" s="25"/>
      <c r="E547" s="25"/>
      <c r="F547" s="23" t="str">
        <f t="shared" si="24"/>
        <v/>
      </c>
      <c r="G547" s="23" t="str">
        <f t="shared" si="25"/>
        <v/>
      </c>
      <c r="H547" s="23" t="str">
        <f t="shared" si="26"/>
        <v/>
      </c>
    </row>
    <row r="548" spans="1:8" x14ac:dyDescent="0.2">
      <c r="A548" s="22"/>
      <c r="B548" s="26"/>
      <c r="C548" s="25"/>
      <c r="D548" s="25"/>
      <c r="E548" s="25"/>
      <c r="F548" s="23" t="str">
        <f t="shared" si="24"/>
        <v/>
      </c>
      <c r="G548" s="23" t="str">
        <f t="shared" si="25"/>
        <v/>
      </c>
      <c r="H548" s="23" t="str">
        <f t="shared" si="26"/>
        <v/>
      </c>
    </row>
    <row r="549" spans="1:8" x14ac:dyDescent="0.2">
      <c r="A549" s="22"/>
      <c r="B549" s="26"/>
      <c r="C549" s="25"/>
      <c r="D549" s="25"/>
      <c r="E549" s="25"/>
      <c r="F549" s="23" t="str">
        <f t="shared" si="24"/>
        <v/>
      </c>
      <c r="G549" s="23" t="str">
        <f t="shared" si="25"/>
        <v/>
      </c>
      <c r="H549" s="23" t="str">
        <f t="shared" si="26"/>
        <v/>
      </c>
    </row>
    <row r="550" spans="1:8" x14ac:dyDescent="0.2">
      <c r="A550" s="22"/>
      <c r="B550" s="26"/>
      <c r="C550" s="25"/>
      <c r="D550" s="25"/>
      <c r="E550" s="25"/>
      <c r="F550" s="23" t="str">
        <f t="shared" si="24"/>
        <v/>
      </c>
      <c r="G550" s="23" t="str">
        <f t="shared" si="25"/>
        <v/>
      </c>
      <c r="H550" s="23" t="str">
        <f t="shared" si="26"/>
        <v/>
      </c>
    </row>
    <row r="551" spans="1:8" x14ac:dyDescent="0.2">
      <c r="A551" s="22"/>
      <c r="B551" s="26"/>
      <c r="C551" s="25"/>
      <c r="D551" s="25"/>
      <c r="E551" s="25"/>
      <c r="F551" s="23" t="str">
        <f t="shared" si="24"/>
        <v/>
      </c>
      <c r="G551" s="23" t="str">
        <f t="shared" si="25"/>
        <v/>
      </c>
      <c r="H551" s="23" t="str">
        <f t="shared" si="26"/>
        <v/>
      </c>
    </row>
    <row r="552" spans="1:8" x14ac:dyDescent="0.2">
      <c r="A552" s="22"/>
      <c r="B552" s="26"/>
      <c r="C552" s="25"/>
      <c r="D552" s="25"/>
      <c r="E552" s="25"/>
      <c r="F552" s="23" t="str">
        <f t="shared" si="24"/>
        <v/>
      </c>
      <c r="G552" s="23" t="str">
        <f t="shared" si="25"/>
        <v/>
      </c>
      <c r="H552" s="23" t="str">
        <f t="shared" si="26"/>
        <v/>
      </c>
    </row>
    <row r="553" spans="1:8" x14ac:dyDescent="0.2">
      <c r="A553" s="22"/>
      <c r="B553" s="26"/>
      <c r="C553" s="25"/>
      <c r="D553" s="25"/>
      <c r="E553" s="25"/>
      <c r="F553" s="23" t="str">
        <f t="shared" si="24"/>
        <v/>
      </c>
      <c r="G553" s="23" t="str">
        <f t="shared" si="25"/>
        <v/>
      </c>
      <c r="H553" s="23" t="str">
        <f t="shared" si="26"/>
        <v/>
      </c>
    </row>
    <row r="554" spans="1:8" x14ac:dyDescent="0.2">
      <c r="A554" s="22"/>
      <c r="B554" s="26"/>
      <c r="C554" s="25"/>
      <c r="D554" s="25"/>
      <c r="E554" s="25"/>
      <c r="F554" s="23" t="str">
        <f t="shared" si="24"/>
        <v/>
      </c>
      <c r="G554" s="23" t="str">
        <f t="shared" si="25"/>
        <v/>
      </c>
      <c r="H554" s="23" t="str">
        <f t="shared" si="26"/>
        <v/>
      </c>
    </row>
    <row r="555" spans="1:8" x14ac:dyDescent="0.2">
      <c r="A555" s="22"/>
      <c r="B555" s="26"/>
      <c r="C555" s="25"/>
      <c r="D555" s="25"/>
      <c r="E555" s="25"/>
      <c r="F555" s="23" t="str">
        <f t="shared" si="24"/>
        <v/>
      </c>
      <c r="G555" s="23" t="str">
        <f t="shared" si="25"/>
        <v/>
      </c>
      <c r="H555" s="23" t="str">
        <f t="shared" si="26"/>
        <v/>
      </c>
    </row>
    <row r="556" spans="1:8" x14ac:dyDescent="0.2">
      <c r="A556" s="22"/>
      <c r="B556" s="26"/>
      <c r="C556" s="25"/>
      <c r="D556" s="25"/>
      <c r="E556" s="25"/>
      <c r="F556" s="23" t="str">
        <f t="shared" si="24"/>
        <v/>
      </c>
      <c r="G556" s="23" t="str">
        <f t="shared" si="25"/>
        <v/>
      </c>
      <c r="H556" s="23" t="str">
        <f t="shared" si="26"/>
        <v/>
      </c>
    </row>
    <row r="557" spans="1:8" x14ac:dyDescent="0.2">
      <c r="A557" s="22"/>
      <c r="B557" s="26"/>
      <c r="C557" s="25"/>
      <c r="D557" s="25"/>
      <c r="E557" s="25"/>
      <c r="F557" s="23" t="str">
        <f t="shared" si="24"/>
        <v/>
      </c>
      <c r="G557" s="23" t="str">
        <f t="shared" si="25"/>
        <v/>
      </c>
      <c r="H557" s="23" t="str">
        <f t="shared" si="26"/>
        <v/>
      </c>
    </row>
    <row r="558" spans="1:8" x14ac:dyDescent="0.2">
      <c r="A558" s="22"/>
      <c r="B558" s="26"/>
      <c r="C558" s="25"/>
      <c r="D558" s="25"/>
      <c r="E558" s="25"/>
      <c r="F558" s="23" t="str">
        <f t="shared" si="24"/>
        <v/>
      </c>
      <c r="G558" s="23" t="str">
        <f t="shared" si="25"/>
        <v/>
      </c>
      <c r="H558" s="23" t="str">
        <f t="shared" si="26"/>
        <v/>
      </c>
    </row>
    <row r="559" spans="1:8" x14ac:dyDescent="0.2">
      <c r="A559" s="22"/>
      <c r="B559" s="26"/>
      <c r="C559" s="25"/>
      <c r="D559" s="25"/>
      <c r="E559" s="25"/>
      <c r="F559" s="23" t="str">
        <f t="shared" si="24"/>
        <v/>
      </c>
      <c r="G559" s="23" t="str">
        <f t="shared" si="25"/>
        <v/>
      </c>
      <c r="H559" s="23" t="str">
        <f t="shared" si="26"/>
        <v/>
      </c>
    </row>
    <row r="560" spans="1:8" x14ac:dyDescent="0.2">
      <c r="A560" s="22"/>
      <c r="B560" s="26"/>
      <c r="C560" s="25"/>
      <c r="D560" s="25"/>
      <c r="E560" s="25"/>
      <c r="F560" s="23" t="str">
        <f t="shared" si="24"/>
        <v/>
      </c>
      <c r="G560" s="23" t="str">
        <f t="shared" si="25"/>
        <v/>
      </c>
      <c r="H560" s="23" t="str">
        <f t="shared" si="26"/>
        <v/>
      </c>
    </row>
    <row r="561" spans="1:8" x14ac:dyDescent="0.2">
      <c r="A561" s="22"/>
      <c r="B561" s="26"/>
      <c r="C561" s="25"/>
      <c r="D561" s="25"/>
      <c r="E561" s="25"/>
      <c r="F561" s="23" t="str">
        <f t="shared" si="24"/>
        <v/>
      </c>
      <c r="G561" s="23" t="str">
        <f t="shared" si="25"/>
        <v/>
      </c>
      <c r="H561" s="23" t="str">
        <f t="shared" si="26"/>
        <v/>
      </c>
    </row>
    <row r="562" spans="1:8" x14ac:dyDescent="0.2">
      <c r="A562" s="22"/>
      <c r="B562" s="26"/>
      <c r="C562" s="25"/>
      <c r="D562" s="25"/>
      <c r="E562" s="25"/>
      <c r="F562" s="23" t="str">
        <f t="shared" si="24"/>
        <v/>
      </c>
      <c r="G562" s="23" t="str">
        <f t="shared" si="25"/>
        <v/>
      </c>
      <c r="H562" s="23" t="str">
        <f t="shared" si="26"/>
        <v/>
      </c>
    </row>
    <row r="563" spans="1:8" x14ac:dyDescent="0.2">
      <c r="A563" s="22"/>
      <c r="B563" s="26"/>
      <c r="C563" s="25"/>
      <c r="D563" s="25"/>
      <c r="E563" s="25"/>
      <c r="F563" s="23" t="str">
        <f t="shared" si="24"/>
        <v/>
      </c>
      <c r="G563" s="23" t="str">
        <f t="shared" si="25"/>
        <v/>
      </c>
      <c r="H563" s="23" t="str">
        <f t="shared" si="26"/>
        <v/>
      </c>
    </row>
    <row r="564" spans="1:8" x14ac:dyDescent="0.2">
      <c r="A564" s="22"/>
      <c r="B564" s="26"/>
      <c r="C564" s="25"/>
      <c r="D564" s="25"/>
      <c r="E564" s="25"/>
      <c r="F564" s="23" t="str">
        <f t="shared" si="24"/>
        <v/>
      </c>
      <c r="G564" s="23" t="str">
        <f t="shared" si="25"/>
        <v/>
      </c>
      <c r="H564" s="23" t="str">
        <f t="shared" si="26"/>
        <v/>
      </c>
    </row>
    <row r="565" spans="1:8" x14ac:dyDescent="0.2">
      <c r="A565" s="22"/>
      <c r="B565" s="26"/>
      <c r="C565" s="25"/>
      <c r="D565" s="25"/>
      <c r="E565" s="25"/>
      <c r="F565" s="23" t="str">
        <f t="shared" ref="F565:F628" si="27">IF(C565&lt;&gt;"",($J$23*C565+$K$23*D565+$L$23*E565)+$K$7,"")</f>
        <v/>
      </c>
      <c r="G565" s="23" t="str">
        <f t="shared" ref="G565:G628" si="28">IF(D565&lt;&gt;"",($J$24*C565+$K$24*D565+$L$24*E565)+$K$8,"")</f>
        <v/>
      </c>
      <c r="H565" s="23" t="str">
        <f t="shared" ref="H565:H628" si="29">IF(E565&lt;&gt;"",($J$25*C565+$K$25*D565+$L$25*E565)+$K$9,"")</f>
        <v/>
      </c>
    </row>
    <row r="566" spans="1:8" x14ac:dyDescent="0.2">
      <c r="A566" s="22"/>
      <c r="B566" s="26"/>
      <c r="C566" s="25"/>
      <c r="D566" s="25"/>
      <c r="E566" s="25"/>
      <c r="F566" s="23" t="str">
        <f t="shared" si="27"/>
        <v/>
      </c>
      <c r="G566" s="23" t="str">
        <f t="shared" si="28"/>
        <v/>
      </c>
      <c r="H566" s="23" t="str">
        <f t="shared" si="29"/>
        <v/>
      </c>
    </row>
    <row r="567" spans="1:8" x14ac:dyDescent="0.2">
      <c r="A567" s="22"/>
      <c r="B567" s="26"/>
      <c r="C567" s="25"/>
      <c r="D567" s="25"/>
      <c r="E567" s="25"/>
      <c r="F567" s="23" t="str">
        <f t="shared" si="27"/>
        <v/>
      </c>
      <c r="G567" s="23" t="str">
        <f t="shared" si="28"/>
        <v/>
      </c>
      <c r="H567" s="23" t="str">
        <f t="shared" si="29"/>
        <v/>
      </c>
    </row>
    <row r="568" spans="1:8" x14ac:dyDescent="0.2">
      <c r="A568" s="22"/>
      <c r="B568" s="26"/>
      <c r="C568" s="25"/>
      <c r="D568" s="25"/>
      <c r="E568" s="25"/>
      <c r="F568" s="23" t="str">
        <f t="shared" si="27"/>
        <v/>
      </c>
      <c r="G568" s="23" t="str">
        <f t="shared" si="28"/>
        <v/>
      </c>
      <c r="H568" s="23" t="str">
        <f t="shared" si="29"/>
        <v/>
      </c>
    </row>
    <row r="569" spans="1:8" x14ac:dyDescent="0.2">
      <c r="A569" s="22"/>
      <c r="B569" s="26"/>
      <c r="C569" s="25"/>
      <c r="D569" s="25"/>
      <c r="E569" s="25"/>
      <c r="F569" s="23" t="str">
        <f t="shared" si="27"/>
        <v/>
      </c>
      <c r="G569" s="23" t="str">
        <f t="shared" si="28"/>
        <v/>
      </c>
      <c r="H569" s="23" t="str">
        <f t="shared" si="29"/>
        <v/>
      </c>
    </row>
    <row r="570" spans="1:8" x14ac:dyDescent="0.2">
      <c r="A570" s="22"/>
      <c r="B570" s="26"/>
      <c r="C570" s="25"/>
      <c r="D570" s="25"/>
      <c r="E570" s="25"/>
      <c r="F570" s="23" t="str">
        <f t="shared" si="27"/>
        <v/>
      </c>
      <c r="G570" s="23" t="str">
        <f t="shared" si="28"/>
        <v/>
      </c>
      <c r="H570" s="23" t="str">
        <f t="shared" si="29"/>
        <v/>
      </c>
    </row>
    <row r="571" spans="1:8" x14ac:dyDescent="0.2">
      <c r="A571" s="22"/>
      <c r="B571" s="26"/>
      <c r="C571" s="25"/>
      <c r="D571" s="25"/>
      <c r="E571" s="25"/>
      <c r="F571" s="23" t="str">
        <f t="shared" si="27"/>
        <v/>
      </c>
      <c r="G571" s="23" t="str">
        <f t="shared" si="28"/>
        <v/>
      </c>
      <c r="H571" s="23" t="str">
        <f t="shared" si="29"/>
        <v/>
      </c>
    </row>
    <row r="572" spans="1:8" x14ac:dyDescent="0.2">
      <c r="A572" s="22"/>
      <c r="B572" s="26"/>
      <c r="C572" s="25"/>
      <c r="D572" s="25"/>
      <c r="E572" s="25"/>
      <c r="F572" s="23" t="str">
        <f t="shared" si="27"/>
        <v/>
      </c>
      <c r="G572" s="23" t="str">
        <f t="shared" si="28"/>
        <v/>
      </c>
      <c r="H572" s="23" t="str">
        <f t="shared" si="29"/>
        <v/>
      </c>
    </row>
    <row r="573" spans="1:8" x14ac:dyDescent="0.2">
      <c r="A573" s="22"/>
      <c r="B573" s="26"/>
      <c r="C573" s="25"/>
      <c r="D573" s="25"/>
      <c r="E573" s="25"/>
      <c r="F573" s="23" t="str">
        <f t="shared" si="27"/>
        <v/>
      </c>
      <c r="G573" s="23" t="str">
        <f t="shared" si="28"/>
        <v/>
      </c>
      <c r="H573" s="23" t="str">
        <f t="shared" si="29"/>
        <v/>
      </c>
    </row>
    <row r="574" spans="1:8" x14ac:dyDescent="0.2">
      <c r="A574" s="22"/>
      <c r="B574" s="26"/>
      <c r="C574" s="25"/>
      <c r="D574" s="25"/>
      <c r="E574" s="25"/>
      <c r="F574" s="23" t="str">
        <f t="shared" si="27"/>
        <v/>
      </c>
      <c r="G574" s="23" t="str">
        <f t="shared" si="28"/>
        <v/>
      </c>
      <c r="H574" s="23" t="str">
        <f t="shared" si="29"/>
        <v/>
      </c>
    </row>
    <row r="575" spans="1:8" x14ac:dyDescent="0.2">
      <c r="A575" s="22"/>
      <c r="B575" s="26"/>
      <c r="C575" s="25"/>
      <c r="D575" s="25"/>
      <c r="E575" s="25"/>
      <c r="F575" s="23" t="str">
        <f t="shared" si="27"/>
        <v/>
      </c>
      <c r="G575" s="23" t="str">
        <f t="shared" si="28"/>
        <v/>
      </c>
      <c r="H575" s="23" t="str">
        <f t="shared" si="29"/>
        <v/>
      </c>
    </row>
    <row r="576" spans="1:8" x14ac:dyDescent="0.2">
      <c r="A576" s="22"/>
      <c r="B576" s="26"/>
      <c r="C576" s="25"/>
      <c r="D576" s="25"/>
      <c r="E576" s="25"/>
      <c r="F576" s="23" t="str">
        <f t="shared" si="27"/>
        <v/>
      </c>
      <c r="G576" s="23" t="str">
        <f t="shared" si="28"/>
        <v/>
      </c>
      <c r="H576" s="23" t="str">
        <f t="shared" si="29"/>
        <v/>
      </c>
    </row>
    <row r="577" spans="1:8" x14ac:dyDescent="0.2">
      <c r="A577" s="22"/>
      <c r="B577" s="26"/>
      <c r="C577" s="25"/>
      <c r="D577" s="25"/>
      <c r="E577" s="25"/>
      <c r="F577" s="23" t="str">
        <f t="shared" si="27"/>
        <v/>
      </c>
      <c r="G577" s="23" t="str">
        <f t="shared" si="28"/>
        <v/>
      </c>
      <c r="H577" s="23" t="str">
        <f t="shared" si="29"/>
        <v/>
      </c>
    </row>
    <row r="578" spans="1:8" x14ac:dyDescent="0.2">
      <c r="A578" s="22"/>
      <c r="B578" s="26"/>
      <c r="C578" s="25"/>
      <c r="D578" s="25"/>
      <c r="E578" s="25"/>
      <c r="F578" s="23" t="str">
        <f t="shared" si="27"/>
        <v/>
      </c>
      <c r="G578" s="23" t="str">
        <f t="shared" si="28"/>
        <v/>
      </c>
      <c r="H578" s="23" t="str">
        <f t="shared" si="29"/>
        <v/>
      </c>
    </row>
    <row r="579" spans="1:8" x14ac:dyDescent="0.2">
      <c r="A579" s="22"/>
      <c r="B579" s="26"/>
      <c r="C579" s="25"/>
      <c r="D579" s="25"/>
      <c r="E579" s="25"/>
      <c r="F579" s="23" t="str">
        <f t="shared" si="27"/>
        <v/>
      </c>
      <c r="G579" s="23" t="str">
        <f t="shared" si="28"/>
        <v/>
      </c>
      <c r="H579" s="23" t="str">
        <f t="shared" si="29"/>
        <v/>
      </c>
    </row>
    <row r="580" spans="1:8" x14ac:dyDescent="0.2">
      <c r="A580" s="22"/>
      <c r="B580" s="26"/>
      <c r="C580" s="25"/>
      <c r="D580" s="25"/>
      <c r="E580" s="25"/>
      <c r="F580" s="23" t="str">
        <f t="shared" si="27"/>
        <v/>
      </c>
      <c r="G580" s="23" t="str">
        <f t="shared" si="28"/>
        <v/>
      </c>
      <c r="H580" s="23" t="str">
        <f t="shared" si="29"/>
        <v/>
      </c>
    </row>
    <row r="581" spans="1:8" x14ac:dyDescent="0.2">
      <c r="A581" s="22"/>
      <c r="B581" s="26"/>
      <c r="C581" s="25"/>
      <c r="D581" s="25"/>
      <c r="E581" s="25"/>
      <c r="F581" s="23" t="str">
        <f t="shared" si="27"/>
        <v/>
      </c>
      <c r="G581" s="23" t="str">
        <f t="shared" si="28"/>
        <v/>
      </c>
      <c r="H581" s="23" t="str">
        <f t="shared" si="29"/>
        <v/>
      </c>
    </row>
    <row r="582" spans="1:8" x14ac:dyDescent="0.2">
      <c r="A582" s="22"/>
      <c r="B582" s="26"/>
      <c r="C582" s="25"/>
      <c r="D582" s="25"/>
      <c r="E582" s="25"/>
      <c r="F582" s="23" t="str">
        <f t="shared" si="27"/>
        <v/>
      </c>
      <c r="G582" s="23" t="str">
        <f t="shared" si="28"/>
        <v/>
      </c>
      <c r="H582" s="23" t="str">
        <f t="shared" si="29"/>
        <v/>
      </c>
    </row>
    <row r="583" spans="1:8" x14ac:dyDescent="0.2">
      <c r="A583" s="22"/>
      <c r="B583" s="26"/>
      <c r="C583" s="25"/>
      <c r="D583" s="25"/>
      <c r="E583" s="25"/>
      <c r="F583" s="23" t="str">
        <f t="shared" si="27"/>
        <v/>
      </c>
      <c r="G583" s="23" t="str">
        <f t="shared" si="28"/>
        <v/>
      </c>
      <c r="H583" s="23" t="str">
        <f t="shared" si="29"/>
        <v/>
      </c>
    </row>
    <row r="584" spans="1:8" x14ac:dyDescent="0.2">
      <c r="A584" s="22"/>
      <c r="B584" s="26"/>
      <c r="C584" s="25"/>
      <c r="D584" s="25"/>
      <c r="E584" s="25"/>
      <c r="F584" s="23" t="str">
        <f t="shared" si="27"/>
        <v/>
      </c>
      <c r="G584" s="23" t="str">
        <f t="shared" si="28"/>
        <v/>
      </c>
      <c r="H584" s="23" t="str">
        <f t="shared" si="29"/>
        <v/>
      </c>
    </row>
    <row r="585" spans="1:8" x14ac:dyDescent="0.2">
      <c r="A585" s="22"/>
      <c r="B585" s="26"/>
      <c r="C585" s="25"/>
      <c r="D585" s="25"/>
      <c r="E585" s="25"/>
      <c r="F585" s="23" t="str">
        <f t="shared" si="27"/>
        <v/>
      </c>
      <c r="G585" s="23" t="str">
        <f t="shared" si="28"/>
        <v/>
      </c>
      <c r="H585" s="23" t="str">
        <f t="shared" si="29"/>
        <v/>
      </c>
    </row>
    <row r="586" spans="1:8" x14ac:dyDescent="0.2">
      <c r="A586" s="22"/>
      <c r="B586" s="26"/>
      <c r="C586" s="25"/>
      <c r="D586" s="25"/>
      <c r="E586" s="25"/>
      <c r="F586" s="23" t="str">
        <f t="shared" si="27"/>
        <v/>
      </c>
      <c r="G586" s="23" t="str">
        <f t="shared" si="28"/>
        <v/>
      </c>
      <c r="H586" s="23" t="str">
        <f t="shared" si="29"/>
        <v/>
      </c>
    </row>
    <row r="587" spans="1:8" x14ac:dyDescent="0.2">
      <c r="A587" s="22"/>
      <c r="B587" s="26"/>
      <c r="C587" s="25"/>
      <c r="D587" s="25"/>
      <c r="E587" s="25"/>
      <c r="F587" s="23" t="str">
        <f t="shared" si="27"/>
        <v/>
      </c>
      <c r="G587" s="23" t="str">
        <f t="shared" si="28"/>
        <v/>
      </c>
      <c r="H587" s="23" t="str">
        <f t="shared" si="29"/>
        <v/>
      </c>
    </row>
    <row r="588" spans="1:8" x14ac:dyDescent="0.2">
      <c r="A588" s="22"/>
      <c r="B588" s="26"/>
      <c r="C588" s="25"/>
      <c r="D588" s="25"/>
      <c r="E588" s="25"/>
      <c r="F588" s="23" t="str">
        <f t="shared" si="27"/>
        <v/>
      </c>
      <c r="G588" s="23" t="str">
        <f t="shared" si="28"/>
        <v/>
      </c>
      <c r="H588" s="23" t="str">
        <f t="shared" si="29"/>
        <v/>
      </c>
    </row>
    <row r="589" spans="1:8" x14ac:dyDescent="0.2">
      <c r="A589" s="22"/>
      <c r="B589" s="26"/>
      <c r="C589" s="25"/>
      <c r="D589" s="25"/>
      <c r="E589" s="25"/>
      <c r="F589" s="23" t="str">
        <f t="shared" si="27"/>
        <v/>
      </c>
      <c r="G589" s="23" t="str">
        <f t="shared" si="28"/>
        <v/>
      </c>
      <c r="H589" s="23" t="str">
        <f t="shared" si="29"/>
        <v/>
      </c>
    </row>
    <row r="590" spans="1:8" x14ac:dyDescent="0.2">
      <c r="A590" s="22"/>
      <c r="B590" s="26"/>
      <c r="C590" s="25"/>
      <c r="D590" s="25"/>
      <c r="E590" s="25"/>
      <c r="F590" s="23" t="str">
        <f t="shared" si="27"/>
        <v/>
      </c>
      <c r="G590" s="23" t="str">
        <f t="shared" si="28"/>
        <v/>
      </c>
      <c r="H590" s="23" t="str">
        <f t="shared" si="29"/>
        <v/>
      </c>
    </row>
    <row r="591" spans="1:8" x14ac:dyDescent="0.2">
      <c r="A591" s="22"/>
      <c r="B591" s="26"/>
      <c r="C591" s="25"/>
      <c r="D591" s="25"/>
      <c r="E591" s="25"/>
      <c r="F591" s="23" t="str">
        <f t="shared" si="27"/>
        <v/>
      </c>
      <c r="G591" s="23" t="str">
        <f t="shared" si="28"/>
        <v/>
      </c>
      <c r="H591" s="23" t="str">
        <f t="shared" si="29"/>
        <v/>
      </c>
    </row>
    <row r="592" spans="1:8" x14ac:dyDescent="0.2">
      <c r="A592" s="22"/>
      <c r="B592" s="26"/>
      <c r="C592" s="25"/>
      <c r="D592" s="25"/>
      <c r="E592" s="25"/>
      <c r="F592" s="23" t="str">
        <f t="shared" si="27"/>
        <v/>
      </c>
      <c r="G592" s="23" t="str">
        <f t="shared" si="28"/>
        <v/>
      </c>
      <c r="H592" s="23" t="str">
        <f t="shared" si="29"/>
        <v/>
      </c>
    </row>
    <row r="593" spans="1:8" x14ac:dyDescent="0.2">
      <c r="A593" s="22"/>
      <c r="B593" s="26"/>
      <c r="C593" s="25"/>
      <c r="D593" s="25"/>
      <c r="E593" s="25"/>
      <c r="F593" s="23" t="str">
        <f t="shared" si="27"/>
        <v/>
      </c>
      <c r="G593" s="23" t="str">
        <f t="shared" si="28"/>
        <v/>
      </c>
      <c r="H593" s="23" t="str">
        <f t="shared" si="29"/>
        <v/>
      </c>
    </row>
    <row r="594" spans="1:8" x14ac:dyDescent="0.2">
      <c r="A594" s="22"/>
      <c r="B594" s="26"/>
      <c r="C594" s="25"/>
      <c r="D594" s="25"/>
      <c r="E594" s="25"/>
      <c r="F594" s="23" t="str">
        <f t="shared" si="27"/>
        <v/>
      </c>
      <c r="G594" s="23" t="str">
        <f t="shared" si="28"/>
        <v/>
      </c>
      <c r="H594" s="23" t="str">
        <f t="shared" si="29"/>
        <v/>
      </c>
    </row>
    <row r="595" spans="1:8" x14ac:dyDescent="0.2">
      <c r="A595" s="22"/>
      <c r="B595" s="26"/>
      <c r="C595" s="25"/>
      <c r="D595" s="25"/>
      <c r="E595" s="25"/>
      <c r="F595" s="23" t="str">
        <f t="shared" si="27"/>
        <v/>
      </c>
      <c r="G595" s="23" t="str">
        <f t="shared" si="28"/>
        <v/>
      </c>
      <c r="H595" s="23" t="str">
        <f t="shared" si="29"/>
        <v/>
      </c>
    </row>
    <row r="596" spans="1:8" x14ac:dyDescent="0.2">
      <c r="A596" s="22"/>
      <c r="B596" s="26"/>
      <c r="C596" s="25"/>
      <c r="D596" s="25"/>
      <c r="E596" s="25"/>
      <c r="F596" s="23" t="str">
        <f t="shared" si="27"/>
        <v/>
      </c>
      <c r="G596" s="23" t="str">
        <f t="shared" si="28"/>
        <v/>
      </c>
      <c r="H596" s="23" t="str">
        <f t="shared" si="29"/>
        <v/>
      </c>
    </row>
    <row r="597" spans="1:8" x14ac:dyDescent="0.2">
      <c r="A597" s="22"/>
      <c r="B597" s="26"/>
      <c r="C597" s="25"/>
      <c r="D597" s="25"/>
      <c r="E597" s="25"/>
      <c r="F597" s="23" t="str">
        <f t="shared" si="27"/>
        <v/>
      </c>
      <c r="G597" s="23" t="str">
        <f t="shared" si="28"/>
        <v/>
      </c>
      <c r="H597" s="23" t="str">
        <f t="shared" si="29"/>
        <v/>
      </c>
    </row>
    <row r="598" spans="1:8" x14ac:dyDescent="0.2">
      <c r="A598" s="22"/>
      <c r="B598" s="26"/>
      <c r="C598" s="25"/>
      <c r="D598" s="25"/>
      <c r="E598" s="25"/>
      <c r="F598" s="23" t="str">
        <f t="shared" si="27"/>
        <v/>
      </c>
      <c r="G598" s="23" t="str">
        <f t="shared" si="28"/>
        <v/>
      </c>
      <c r="H598" s="23" t="str">
        <f t="shared" si="29"/>
        <v/>
      </c>
    </row>
    <row r="599" spans="1:8" x14ac:dyDescent="0.2">
      <c r="A599" s="22"/>
      <c r="B599" s="26"/>
      <c r="C599" s="25"/>
      <c r="D599" s="25"/>
      <c r="E599" s="25"/>
      <c r="F599" s="23" t="str">
        <f t="shared" si="27"/>
        <v/>
      </c>
      <c r="G599" s="23" t="str">
        <f t="shared" si="28"/>
        <v/>
      </c>
      <c r="H599" s="23" t="str">
        <f t="shared" si="29"/>
        <v/>
      </c>
    </row>
    <row r="600" spans="1:8" x14ac:dyDescent="0.2">
      <c r="A600" s="22"/>
      <c r="B600" s="26"/>
      <c r="C600" s="25"/>
      <c r="D600" s="25"/>
      <c r="E600" s="25"/>
      <c r="F600" s="23" t="str">
        <f t="shared" si="27"/>
        <v/>
      </c>
      <c r="G600" s="23" t="str">
        <f t="shared" si="28"/>
        <v/>
      </c>
      <c r="H600" s="23" t="str">
        <f t="shared" si="29"/>
        <v/>
      </c>
    </row>
    <row r="601" spans="1:8" x14ac:dyDescent="0.2">
      <c r="A601" s="22"/>
      <c r="B601" s="26"/>
      <c r="C601" s="25"/>
      <c r="D601" s="25"/>
      <c r="E601" s="25"/>
      <c r="F601" s="23" t="str">
        <f t="shared" si="27"/>
        <v/>
      </c>
      <c r="G601" s="23" t="str">
        <f t="shared" si="28"/>
        <v/>
      </c>
      <c r="H601" s="23" t="str">
        <f t="shared" si="29"/>
        <v/>
      </c>
    </row>
    <row r="602" spans="1:8" x14ac:dyDescent="0.2">
      <c r="A602" s="22"/>
      <c r="B602" s="26"/>
      <c r="C602" s="25"/>
      <c r="D602" s="25"/>
      <c r="E602" s="25"/>
      <c r="F602" s="23" t="str">
        <f t="shared" si="27"/>
        <v/>
      </c>
      <c r="G602" s="23" t="str">
        <f t="shared" si="28"/>
        <v/>
      </c>
      <c r="H602" s="23" t="str">
        <f t="shared" si="29"/>
        <v/>
      </c>
    </row>
    <row r="603" spans="1:8" x14ac:dyDescent="0.2">
      <c r="A603" s="22"/>
      <c r="B603" s="26"/>
      <c r="C603" s="25"/>
      <c r="D603" s="25"/>
      <c r="E603" s="25"/>
      <c r="F603" s="23" t="str">
        <f t="shared" si="27"/>
        <v/>
      </c>
      <c r="G603" s="23" t="str">
        <f t="shared" si="28"/>
        <v/>
      </c>
      <c r="H603" s="23" t="str">
        <f t="shared" si="29"/>
        <v/>
      </c>
    </row>
    <row r="604" spans="1:8" x14ac:dyDescent="0.2">
      <c r="A604" s="22"/>
      <c r="B604" s="26"/>
      <c r="C604" s="25"/>
      <c r="D604" s="25"/>
      <c r="E604" s="25"/>
      <c r="F604" s="23" t="str">
        <f t="shared" si="27"/>
        <v/>
      </c>
      <c r="G604" s="23" t="str">
        <f t="shared" si="28"/>
        <v/>
      </c>
      <c r="H604" s="23" t="str">
        <f t="shared" si="29"/>
        <v/>
      </c>
    </row>
    <row r="605" spans="1:8" x14ac:dyDescent="0.2">
      <c r="A605" s="22"/>
      <c r="B605" s="26"/>
      <c r="C605" s="25"/>
      <c r="D605" s="25"/>
      <c r="E605" s="25"/>
      <c r="F605" s="23" t="str">
        <f t="shared" si="27"/>
        <v/>
      </c>
      <c r="G605" s="23" t="str">
        <f t="shared" si="28"/>
        <v/>
      </c>
      <c r="H605" s="23" t="str">
        <f t="shared" si="29"/>
        <v/>
      </c>
    </row>
    <row r="606" spans="1:8" x14ac:dyDescent="0.2">
      <c r="A606" s="22"/>
      <c r="B606" s="26"/>
      <c r="C606" s="25"/>
      <c r="D606" s="25"/>
      <c r="E606" s="25"/>
      <c r="F606" s="23" t="str">
        <f t="shared" si="27"/>
        <v/>
      </c>
      <c r="G606" s="23" t="str">
        <f t="shared" si="28"/>
        <v/>
      </c>
      <c r="H606" s="23" t="str">
        <f t="shared" si="29"/>
        <v/>
      </c>
    </row>
    <row r="607" spans="1:8" x14ac:dyDescent="0.2">
      <c r="A607" s="22"/>
      <c r="B607" s="26"/>
      <c r="C607" s="25"/>
      <c r="D607" s="25"/>
      <c r="E607" s="25"/>
      <c r="F607" s="23" t="str">
        <f t="shared" si="27"/>
        <v/>
      </c>
      <c r="G607" s="23" t="str">
        <f t="shared" si="28"/>
        <v/>
      </c>
      <c r="H607" s="23" t="str">
        <f t="shared" si="29"/>
        <v/>
      </c>
    </row>
    <row r="608" spans="1:8" x14ac:dyDescent="0.2">
      <c r="A608" s="22"/>
      <c r="B608" s="26"/>
      <c r="C608" s="25"/>
      <c r="D608" s="25"/>
      <c r="E608" s="25"/>
      <c r="F608" s="23" t="str">
        <f t="shared" si="27"/>
        <v/>
      </c>
      <c r="G608" s="23" t="str">
        <f t="shared" si="28"/>
        <v/>
      </c>
      <c r="H608" s="23" t="str">
        <f t="shared" si="29"/>
        <v/>
      </c>
    </row>
    <row r="609" spans="1:8" x14ac:dyDescent="0.2">
      <c r="A609" s="22"/>
      <c r="B609" s="26"/>
      <c r="C609" s="25"/>
      <c r="D609" s="25"/>
      <c r="E609" s="25"/>
      <c r="F609" s="23" t="str">
        <f t="shared" si="27"/>
        <v/>
      </c>
      <c r="G609" s="23" t="str">
        <f t="shared" si="28"/>
        <v/>
      </c>
      <c r="H609" s="23" t="str">
        <f t="shared" si="29"/>
        <v/>
      </c>
    </row>
    <row r="610" spans="1:8" x14ac:dyDescent="0.2">
      <c r="A610" s="22"/>
      <c r="B610" s="26"/>
      <c r="C610" s="25"/>
      <c r="D610" s="25"/>
      <c r="E610" s="25"/>
      <c r="F610" s="23" t="str">
        <f t="shared" si="27"/>
        <v/>
      </c>
      <c r="G610" s="23" t="str">
        <f t="shared" si="28"/>
        <v/>
      </c>
      <c r="H610" s="23" t="str">
        <f t="shared" si="29"/>
        <v/>
      </c>
    </row>
    <row r="611" spans="1:8" x14ac:dyDescent="0.2">
      <c r="A611" s="22"/>
      <c r="B611" s="26"/>
      <c r="C611" s="25"/>
      <c r="D611" s="25"/>
      <c r="E611" s="25"/>
      <c r="F611" s="23" t="str">
        <f t="shared" si="27"/>
        <v/>
      </c>
      <c r="G611" s="23" t="str">
        <f t="shared" si="28"/>
        <v/>
      </c>
      <c r="H611" s="23" t="str">
        <f t="shared" si="29"/>
        <v/>
      </c>
    </row>
    <row r="612" spans="1:8" x14ac:dyDescent="0.2">
      <c r="A612" s="22"/>
      <c r="B612" s="26"/>
      <c r="C612" s="25"/>
      <c r="D612" s="25"/>
      <c r="E612" s="25"/>
      <c r="F612" s="23" t="str">
        <f t="shared" si="27"/>
        <v/>
      </c>
      <c r="G612" s="23" t="str">
        <f t="shared" si="28"/>
        <v/>
      </c>
      <c r="H612" s="23" t="str">
        <f t="shared" si="29"/>
        <v/>
      </c>
    </row>
    <row r="613" spans="1:8" x14ac:dyDescent="0.2">
      <c r="A613" s="22"/>
      <c r="B613" s="26"/>
      <c r="C613" s="25"/>
      <c r="D613" s="25"/>
      <c r="E613" s="25"/>
      <c r="F613" s="23" t="str">
        <f t="shared" si="27"/>
        <v/>
      </c>
      <c r="G613" s="23" t="str">
        <f t="shared" si="28"/>
        <v/>
      </c>
      <c r="H613" s="23" t="str">
        <f t="shared" si="29"/>
        <v/>
      </c>
    </row>
    <row r="614" spans="1:8" x14ac:dyDescent="0.2">
      <c r="A614" s="22"/>
      <c r="B614" s="26"/>
      <c r="C614" s="25"/>
      <c r="D614" s="25"/>
      <c r="E614" s="25"/>
      <c r="F614" s="23" t="str">
        <f t="shared" si="27"/>
        <v/>
      </c>
      <c r="G614" s="23" t="str">
        <f t="shared" si="28"/>
        <v/>
      </c>
      <c r="H614" s="23" t="str">
        <f t="shared" si="29"/>
        <v/>
      </c>
    </row>
    <row r="615" spans="1:8" x14ac:dyDescent="0.2">
      <c r="A615" s="22"/>
      <c r="B615" s="26"/>
      <c r="C615" s="25"/>
      <c r="D615" s="25"/>
      <c r="E615" s="25"/>
      <c r="F615" s="23" t="str">
        <f t="shared" si="27"/>
        <v/>
      </c>
      <c r="G615" s="23" t="str">
        <f t="shared" si="28"/>
        <v/>
      </c>
      <c r="H615" s="23" t="str">
        <f t="shared" si="29"/>
        <v/>
      </c>
    </row>
    <row r="616" spans="1:8" x14ac:dyDescent="0.2">
      <c r="A616" s="22"/>
      <c r="B616" s="26"/>
      <c r="C616" s="25"/>
      <c r="D616" s="25"/>
      <c r="E616" s="25"/>
      <c r="F616" s="23" t="str">
        <f t="shared" si="27"/>
        <v/>
      </c>
      <c r="G616" s="23" t="str">
        <f t="shared" si="28"/>
        <v/>
      </c>
      <c r="H616" s="23" t="str">
        <f t="shared" si="29"/>
        <v/>
      </c>
    </row>
    <row r="617" spans="1:8" x14ac:dyDescent="0.2">
      <c r="A617" s="22"/>
      <c r="B617" s="26"/>
      <c r="C617" s="25"/>
      <c r="D617" s="25"/>
      <c r="E617" s="25"/>
      <c r="F617" s="23" t="str">
        <f t="shared" si="27"/>
        <v/>
      </c>
      <c r="G617" s="23" t="str">
        <f t="shared" si="28"/>
        <v/>
      </c>
      <c r="H617" s="23" t="str">
        <f t="shared" si="29"/>
        <v/>
      </c>
    </row>
    <row r="618" spans="1:8" x14ac:dyDescent="0.2">
      <c r="A618" s="22"/>
      <c r="B618" s="26"/>
      <c r="C618" s="25"/>
      <c r="D618" s="25"/>
      <c r="E618" s="25"/>
      <c r="F618" s="23" t="str">
        <f t="shared" si="27"/>
        <v/>
      </c>
      <c r="G618" s="23" t="str">
        <f t="shared" si="28"/>
        <v/>
      </c>
      <c r="H618" s="23" t="str">
        <f t="shared" si="29"/>
        <v/>
      </c>
    </row>
    <row r="619" spans="1:8" x14ac:dyDescent="0.2">
      <c r="A619" s="22"/>
      <c r="B619" s="26"/>
      <c r="C619" s="25"/>
      <c r="D619" s="25"/>
      <c r="E619" s="25"/>
      <c r="F619" s="23" t="str">
        <f t="shared" si="27"/>
        <v/>
      </c>
      <c r="G619" s="23" t="str">
        <f t="shared" si="28"/>
        <v/>
      </c>
      <c r="H619" s="23" t="str">
        <f t="shared" si="29"/>
        <v/>
      </c>
    </row>
    <row r="620" spans="1:8" x14ac:dyDescent="0.2">
      <c r="A620" s="22"/>
      <c r="B620" s="26"/>
      <c r="C620" s="25"/>
      <c r="D620" s="25"/>
      <c r="E620" s="25"/>
      <c r="F620" s="23" t="str">
        <f t="shared" si="27"/>
        <v/>
      </c>
      <c r="G620" s="23" t="str">
        <f t="shared" si="28"/>
        <v/>
      </c>
      <c r="H620" s="23" t="str">
        <f t="shared" si="29"/>
        <v/>
      </c>
    </row>
    <row r="621" spans="1:8" x14ac:dyDescent="0.2">
      <c r="A621" s="22"/>
      <c r="B621" s="26"/>
      <c r="C621" s="25"/>
      <c r="D621" s="25"/>
      <c r="E621" s="25"/>
      <c r="F621" s="23" t="str">
        <f t="shared" si="27"/>
        <v/>
      </c>
      <c r="G621" s="23" t="str">
        <f t="shared" si="28"/>
        <v/>
      </c>
      <c r="H621" s="23" t="str">
        <f t="shared" si="29"/>
        <v/>
      </c>
    </row>
    <row r="622" spans="1:8" x14ac:dyDescent="0.2">
      <c r="A622" s="22"/>
      <c r="B622" s="26"/>
      <c r="C622" s="25"/>
      <c r="D622" s="25"/>
      <c r="E622" s="25"/>
      <c r="F622" s="23" t="str">
        <f t="shared" si="27"/>
        <v/>
      </c>
      <c r="G622" s="23" t="str">
        <f t="shared" si="28"/>
        <v/>
      </c>
      <c r="H622" s="23" t="str">
        <f t="shared" si="29"/>
        <v/>
      </c>
    </row>
    <row r="623" spans="1:8" x14ac:dyDescent="0.2">
      <c r="A623" s="22"/>
      <c r="B623" s="26"/>
      <c r="C623" s="25"/>
      <c r="D623" s="25"/>
      <c r="E623" s="25"/>
      <c r="F623" s="23" t="str">
        <f t="shared" si="27"/>
        <v/>
      </c>
      <c r="G623" s="23" t="str">
        <f t="shared" si="28"/>
        <v/>
      </c>
      <c r="H623" s="23" t="str">
        <f t="shared" si="29"/>
        <v/>
      </c>
    </row>
    <row r="624" spans="1:8" x14ac:dyDescent="0.2">
      <c r="A624" s="22"/>
      <c r="B624" s="26"/>
      <c r="C624" s="25"/>
      <c r="D624" s="25"/>
      <c r="E624" s="25"/>
      <c r="F624" s="23" t="str">
        <f t="shared" si="27"/>
        <v/>
      </c>
      <c r="G624" s="23" t="str">
        <f t="shared" si="28"/>
        <v/>
      </c>
      <c r="H624" s="23" t="str">
        <f t="shared" si="29"/>
        <v/>
      </c>
    </row>
    <row r="625" spans="1:8" x14ac:dyDescent="0.2">
      <c r="A625" s="22"/>
      <c r="B625" s="26"/>
      <c r="C625" s="25"/>
      <c r="D625" s="25"/>
      <c r="E625" s="25"/>
      <c r="F625" s="23" t="str">
        <f t="shared" si="27"/>
        <v/>
      </c>
      <c r="G625" s="23" t="str">
        <f t="shared" si="28"/>
        <v/>
      </c>
      <c r="H625" s="23" t="str">
        <f t="shared" si="29"/>
        <v/>
      </c>
    </row>
    <row r="626" spans="1:8" x14ac:dyDescent="0.2">
      <c r="A626" s="22"/>
      <c r="B626" s="26"/>
      <c r="C626" s="25"/>
      <c r="D626" s="25"/>
      <c r="E626" s="25"/>
      <c r="F626" s="23" t="str">
        <f t="shared" si="27"/>
        <v/>
      </c>
      <c r="G626" s="23" t="str">
        <f t="shared" si="28"/>
        <v/>
      </c>
      <c r="H626" s="23" t="str">
        <f t="shared" si="29"/>
        <v/>
      </c>
    </row>
    <row r="627" spans="1:8" x14ac:dyDescent="0.2">
      <c r="A627" s="22"/>
      <c r="B627" s="26"/>
      <c r="C627" s="25"/>
      <c r="D627" s="25"/>
      <c r="E627" s="25"/>
      <c r="F627" s="23" t="str">
        <f t="shared" si="27"/>
        <v/>
      </c>
      <c r="G627" s="23" t="str">
        <f t="shared" si="28"/>
        <v/>
      </c>
      <c r="H627" s="23" t="str">
        <f t="shared" si="29"/>
        <v/>
      </c>
    </row>
    <row r="628" spans="1:8" x14ac:dyDescent="0.2">
      <c r="A628" s="22"/>
      <c r="B628" s="26"/>
      <c r="C628" s="25"/>
      <c r="D628" s="25"/>
      <c r="E628" s="25"/>
      <c r="F628" s="23" t="str">
        <f t="shared" si="27"/>
        <v/>
      </c>
      <c r="G628" s="23" t="str">
        <f t="shared" si="28"/>
        <v/>
      </c>
      <c r="H628" s="23" t="str">
        <f t="shared" si="29"/>
        <v/>
      </c>
    </row>
    <row r="629" spans="1:8" x14ac:dyDescent="0.2">
      <c r="A629" s="22"/>
      <c r="B629" s="26"/>
      <c r="C629" s="25"/>
      <c r="D629" s="25"/>
      <c r="E629" s="25"/>
      <c r="F629" s="23" t="str">
        <f t="shared" ref="F629:F692" si="30">IF(C629&lt;&gt;"",($J$23*C629+$K$23*D629+$L$23*E629)+$K$7,"")</f>
        <v/>
      </c>
      <c r="G629" s="23" t="str">
        <f t="shared" ref="G629:G692" si="31">IF(D629&lt;&gt;"",($J$24*C629+$K$24*D629+$L$24*E629)+$K$8,"")</f>
        <v/>
      </c>
      <c r="H629" s="23" t="str">
        <f t="shared" ref="H629:H692" si="32">IF(E629&lt;&gt;"",($J$25*C629+$K$25*D629+$L$25*E629)+$K$9,"")</f>
        <v/>
      </c>
    </row>
    <row r="630" spans="1:8" x14ac:dyDescent="0.2">
      <c r="A630" s="22"/>
      <c r="B630" s="26"/>
      <c r="C630" s="25"/>
      <c r="D630" s="25"/>
      <c r="E630" s="25"/>
      <c r="F630" s="23" t="str">
        <f t="shared" si="30"/>
        <v/>
      </c>
      <c r="G630" s="23" t="str">
        <f t="shared" si="31"/>
        <v/>
      </c>
      <c r="H630" s="23" t="str">
        <f t="shared" si="32"/>
        <v/>
      </c>
    </row>
    <row r="631" spans="1:8" x14ac:dyDescent="0.2">
      <c r="A631" s="22"/>
      <c r="B631" s="26"/>
      <c r="C631" s="25"/>
      <c r="D631" s="25"/>
      <c r="E631" s="25"/>
      <c r="F631" s="23" t="str">
        <f t="shared" si="30"/>
        <v/>
      </c>
      <c r="G631" s="23" t="str">
        <f t="shared" si="31"/>
        <v/>
      </c>
      <c r="H631" s="23" t="str">
        <f t="shared" si="32"/>
        <v/>
      </c>
    </row>
    <row r="632" spans="1:8" x14ac:dyDescent="0.2">
      <c r="A632" s="22"/>
      <c r="B632" s="26"/>
      <c r="C632" s="25"/>
      <c r="D632" s="25"/>
      <c r="E632" s="25"/>
      <c r="F632" s="23" t="str">
        <f t="shared" si="30"/>
        <v/>
      </c>
      <c r="G632" s="23" t="str">
        <f t="shared" si="31"/>
        <v/>
      </c>
      <c r="H632" s="23" t="str">
        <f t="shared" si="32"/>
        <v/>
      </c>
    </row>
    <row r="633" spans="1:8" x14ac:dyDescent="0.2">
      <c r="A633" s="22"/>
      <c r="B633" s="26"/>
      <c r="C633" s="25"/>
      <c r="D633" s="25"/>
      <c r="E633" s="25"/>
      <c r="F633" s="23" t="str">
        <f t="shared" si="30"/>
        <v/>
      </c>
      <c r="G633" s="23" t="str">
        <f t="shared" si="31"/>
        <v/>
      </c>
      <c r="H633" s="23" t="str">
        <f t="shared" si="32"/>
        <v/>
      </c>
    </row>
    <row r="634" spans="1:8" x14ac:dyDescent="0.2">
      <c r="A634" s="22"/>
      <c r="B634" s="26"/>
      <c r="C634" s="25"/>
      <c r="D634" s="25"/>
      <c r="E634" s="25"/>
      <c r="F634" s="23" t="str">
        <f t="shared" si="30"/>
        <v/>
      </c>
      <c r="G634" s="23" t="str">
        <f t="shared" si="31"/>
        <v/>
      </c>
      <c r="H634" s="23" t="str">
        <f t="shared" si="32"/>
        <v/>
      </c>
    </row>
    <row r="635" spans="1:8" x14ac:dyDescent="0.2">
      <c r="A635" s="22"/>
      <c r="B635" s="26"/>
      <c r="C635" s="25"/>
      <c r="D635" s="25"/>
      <c r="E635" s="25"/>
      <c r="F635" s="23" t="str">
        <f t="shared" si="30"/>
        <v/>
      </c>
      <c r="G635" s="23" t="str">
        <f t="shared" si="31"/>
        <v/>
      </c>
      <c r="H635" s="23" t="str">
        <f t="shared" si="32"/>
        <v/>
      </c>
    </row>
    <row r="636" spans="1:8" x14ac:dyDescent="0.2">
      <c r="A636" s="22"/>
      <c r="B636" s="26"/>
      <c r="C636" s="25"/>
      <c r="D636" s="25"/>
      <c r="E636" s="25"/>
      <c r="F636" s="23" t="str">
        <f t="shared" si="30"/>
        <v/>
      </c>
      <c r="G636" s="23" t="str">
        <f t="shared" si="31"/>
        <v/>
      </c>
      <c r="H636" s="23" t="str">
        <f t="shared" si="32"/>
        <v/>
      </c>
    </row>
    <row r="637" spans="1:8" x14ac:dyDescent="0.2">
      <c r="A637" s="22"/>
      <c r="B637" s="26"/>
      <c r="C637" s="25"/>
      <c r="D637" s="25"/>
      <c r="E637" s="25"/>
      <c r="F637" s="23" t="str">
        <f t="shared" si="30"/>
        <v/>
      </c>
      <c r="G637" s="23" t="str">
        <f t="shared" si="31"/>
        <v/>
      </c>
      <c r="H637" s="23" t="str">
        <f t="shared" si="32"/>
        <v/>
      </c>
    </row>
    <row r="638" spans="1:8" x14ac:dyDescent="0.2">
      <c r="A638" s="22"/>
      <c r="B638" s="26"/>
      <c r="C638" s="25"/>
      <c r="D638" s="25"/>
      <c r="E638" s="25"/>
      <c r="F638" s="23" t="str">
        <f t="shared" si="30"/>
        <v/>
      </c>
      <c r="G638" s="23" t="str">
        <f t="shared" si="31"/>
        <v/>
      </c>
      <c r="H638" s="23" t="str">
        <f t="shared" si="32"/>
        <v/>
      </c>
    </row>
    <row r="639" spans="1:8" x14ac:dyDescent="0.2">
      <c r="A639" s="22"/>
      <c r="B639" s="26"/>
      <c r="C639" s="25"/>
      <c r="D639" s="25"/>
      <c r="E639" s="25"/>
      <c r="F639" s="23" t="str">
        <f t="shared" si="30"/>
        <v/>
      </c>
      <c r="G639" s="23" t="str">
        <f t="shared" si="31"/>
        <v/>
      </c>
      <c r="H639" s="23" t="str">
        <f t="shared" si="32"/>
        <v/>
      </c>
    </row>
    <row r="640" spans="1:8" x14ac:dyDescent="0.2">
      <c r="A640" s="22"/>
      <c r="B640" s="26"/>
      <c r="C640" s="25"/>
      <c r="D640" s="25"/>
      <c r="E640" s="25"/>
      <c r="F640" s="23" t="str">
        <f t="shared" si="30"/>
        <v/>
      </c>
      <c r="G640" s="23" t="str">
        <f t="shared" si="31"/>
        <v/>
      </c>
      <c r="H640" s="23" t="str">
        <f t="shared" si="32"/>
        <v/>
      </c>
    </row>
    <row r="641" spans="1:8" x14ac:dyDescent="0.2">
      <c r="A641" s="22"/>
      <c r="B641" s="26"/>
      <c r="C641" s="25"/>
      <c r="D641" s="25"/>
      <c r="E641" s="25"/>
      <c r="F641" s="23" t="str">
        <f t="shared" si="30"/>
        <v/>
      </c>
      <c r="G641" s="23" t="str">
        <f t="shared" si="31"/>
        <v/>
      </c>
      <c r="H641" s="23" t="str">
        <f t="shared" si="32"/>
        <v/>
      </c>
    </row>
    <row r="642" spans="1:8" x14ac:dyDescent="0.2">
      <c r="A642" s="22"/>
      <c r="B642" s="26"/>
      <c r="C642" s="25"/>
      <c r="D642" s="25"/>
      <c r="E642" s="25"/>
      <c r="F642" s="23" t="str">
        <f t="shared" si="30"/>
        <v/>
      </c>
      <c r="G642" s="23" t="str">
        <f t="shared" si="31"/>
        <v/>
      </c>
      <c r="H642" s="23" t="str">
        <f t="shared" si="32"/>
        <v/>
      </c>
    </row>
    <row r="643" spans="1:8" x14ac:dyDescent="0.2">
      <c r="A643" s="22"/>
      <c r="B643" s="26"/>
      <c r="C643" s="25"/>
      <c r="D643" s="25"/>
      <c r="E643" s="25"/>
      <c r="F643" s="23" t="str">
        <f t="shared" si="30"/>
        <v/>
      </c>
      <c r="G643" s="23" t="str">
        <f t="shared" si="31"/>
        <v/>
      </c>
      <c r="H643" s="23" t="str">
        <f t="shared" si="32"/>
        <v/>
      </c>
    </row>
    <row r="644" spans="1:8" x14ac:dyDescent="0.2">
      <c r="A644" s="22"/>
      <c r="B644" s="26"/>
      <c r="C644" s="25"/>
      <c r="D644" s="25"/>
      <c r="E644" s="25"/>
      <c r="F644" s="23" t="str">
        <f t="shared" si="30"/>
        <v/>
      </c>
      <c r="G644" s="23" t="str">
        <f t="shared" si="31"/>
        <v/>
      </c>
      <c r="H644" s="23" t="str">
        <f t="shared" si="32"/>
        <v/>
      </c>
    </row>
    <row r="645" spans="1:8" x14ac:dyDescent="0.2">
      <c r="A645" s="22"/>
      <c r="B645" s="26"/>
      <c r="C645" s="25"/>
      <c r="D645" s="25"/>
      <c r="E645" s="25"/>
      <c r="F645" s="23" t="str">
        <f t="shared" si="30"/>
        <v/>
      </c>
      <c r="G645" s="23" t="str">
        <f t="shared" si="31"/>
        <v/>
      </c>
      <c r="H645" s="23" t="str">
        <f t="shared" si="32"/>
        <v/>
      </c>
    </row>
    <row r="646" spans="1:8" x14ac:dyDescent="0.2">
      <c r="A646" s="22"/>
      <c r="B646" s="26"/>
      <c r="C646" s="25"/>
      <c r="D646" s="25"/>
      <c r="E646" s="25"/>
      <c r="F646" s="23" t="str">
        <f t="shared" si="30"/>
        <v/>
      </c>
      <c r="G646" s="23" t="str">
        <f t="shared" si="31"/>
        <v/>
      </c>
      <c r="H646" s="23" t="str">
        <f t="shared" si="32"/>
        <v/>
      </c>
    </row>
    <row r="647" spans="1:8" x14ac:dyDescent="0.2">
      <c r="A647" s="22"/>
      <c r="B647" s="26"/>
      <c r="C647" s="25"/>
      <c r="D647" s="25"/>
      <c r="E647" s="25"/>
      <c r="F647" s="23" t="str">
        <f t="shared" si="30"/>
        <v/>
      </c>
      <c r="G647" s="23" t="str">
        <f t="shared" si="31"/>
        <v/>
      </c>
      <c r="H647" s="23" t="str">
        <f t="shared" si="32"/>
        <v/>
      </c>
    </row>
    <row r="648" spans="1:8" x14ac:dyDescent="0.2">
      <c r="A648" s="22"/>
      <c r="B648" s="26"/>
      <c r="C648" s="25"/>
      <c r="D648" s="25"/>
      <c r="E648" s="25"/>
      <c r="F648" s="23" t="str">
        <f t="shared" si="30"/>
        <v/>
      </c>
      <c r="G648" s="23" t="str">
        <f t="shared" si="31"/>
        <v/>
      </c>
      <c r="H648" s="23" t="str">
        <f t="shared" si="32"/>
        <v/>
      </c>
    </row>
    <row r="649" spans="1:8" x14ac:dyDescent="0.2">
      <c r="A649" s="22"/>
      <c r="B649" s="26"/>
      <c r="C649" s="25"/>
      <c r="D649" s="25"/>
      <c r="E649" s="25"/>
      <c r="F649" s="23" t="str">
        <f t="shared" si="30"/>
        <v/>
      </c>
      <c r="G649" s="23" t="str">
        <f t="shared" si="31"/>
        <v/>
      </c>
      <c r="H649" s="23" t="str">
        <f t="shared" si="32"/>
        <v/>
      </c>
    </row>
    <row r="650" spans="1:8" x14ac:dyDescent="0.2">
      <c r="A650" s="22"/>
      <c r="B650" s="26"/>
      <c r="C650" s="25"/>
      <c r="D650" s="25"/>
      <c r="E650" s="25"/>
      <c r="F650" s="23" t="str">
        <f t="shared" si="30"/>
        <v/>
      </c>
      <c r="G650" s="23" t="str">
        <f t="shared" si="31"/>
        <v/>
      </c>
      <c r="H650" s="23" t="str">
        <f t="shared" si="32"/>
        <v/>
      </c>
    </row>
    <row r="651" spans="1:8" x14ac:dyDescent="0.2">
      <c r="A651" s="22"/>
      <c r="B651" s="26"/>
      <c r="C651" s="25"/>
      <c r="D651" s="25"/>
      <c r="E651" s="25"/>
      <c r="F651" s="23" t="str">
        <f t="shared" si="30"/>
        <v/>
      </c>
      <c r="G651" s="23" t="str">
        <f t="shared" si="31"/>
        <v/>
      </c>
      <c r="H651" s="23" t="str">
        <f t="shared" si="32"/>
        <v/>
      </c>
    </row>
    <row r="652" spans="1:8" x14ac:dyDescent="0.2">
      <c r="A652" s="22"/>
      <c r="B652" s="26"/>
      <c r="C652" s="25"/>
      <c r="D652" s="25"/>
      <c r="E652" s="25"/>
      <c r="F652" s="23" t="str">
        <f t="shared" si="30"/>
        <v/>
      </c>
      <c r="G652" s="23" t="str">
        <f t="shared" si="31"/>
        <v/>
      </c>
      <c r="H652" s="23" t="str">
        <f t="shared" si="32"/>
        <v/>
      </c>
    </row>
    <row r="653" spans="1:8" x14ac:dyDescent="0.2">
      <c r="A653" s="22"/>
      <c r="B653" s="26"/>
      <c r="C653" s="25"/>
      <c r="D653" s="25"/>
      <c r="E653" s="25"/>
      <c r="F653" s="23" t="str">
        <f t="shared" si="30"/>
        <v/>
      </c>
      <c r="G653" s="23" t="str">
        <f t="shared" si="31"/>
        <v/>
      </c>
      <c r="H653" s="23" t="str">
        <f t="shared" si="32"/>
        <v/>
      </c>
    </row>
    <row r="654" spans="1:8" x14ac:dyDescent="0.2">
      <c r="A654" s="22"/>
      <c r="B654" s="26"/>
      <c r="C654" s="25"/>
      <c r="D654" s="25"/>
      <c r="E654" s="25"/>
      <c r="F654" s="23" t="str">
        <f t="shared" si="30"/>
        <v/>
      </c>
      <c r="G654" s="23" t="str">
        <f t="shared" si="31"/>
        <v/>
      </c>
      <c r="H654" s="23" t="str">
        <f t="shared" si="32"/>
        <v/>
      </c>
    </row>
    <row r="655" spans="1:8" x14ac:dyDescent="0.2">
      <c r="A655" s="22"/>
      <c r="B655" s="26"/>
      <c r="C655" s="25"/>
      <c r="D655" s="25"/>
      <c r="E655" s="25"/>
      <c r="F655" s="23" t="str">
        <f t="shared" si="30"/>
        <v/>
      </c>
      <c r="G655" s="23" t="str">
        <f t="shared" si="31"/>
        <v/>
      </c>
      <c r="H655" s="23" t="str">
        <f t="shared" si="32"/>
        <v/>
      </c>
    </row>
    <row r="656" spans="1:8" x14ac:dyDescent="0.2">
      <c r="A656" s="22"/>
      <c r="B656" s="26"/>
      <c r="C656" s="25"/>
      <c r="D656" s="25"/>
      <c r="E656" s="25"/>
      <c r="F656" s="23" t="str">
        <f t="shared" si="30"/>
        <v/>
      </c>
      <c r="G656" s="23" t="str">
        <f t="shared" si="31"/>
        <v/>
      </c>
      <c r="H656" s="23" t="str">
        <f t="shared" si="32"/>
        <v/>
      </c>
    </row>
    <row r="657" spans="1:8" x14ac:dyDescent="0.2">
      <c r="A657" s="22"/>
      <c r="B657" s="26"/>
      <c r="C657" s="25"/>
      <c r="D657" s="25"/>
      <c r="E657" s="25"/>
      <c r="F657" s="23" t="str">
        <f t="shared" si="30"/>
        <v/>
      </c>
      <c r="G657" s="23" t="str">
        <f t="shared" si="31"/>
        <v/>
      </c>
      <c r="H657" s="23" t="str">
        <f t="shared" si="32"/>
        <v/>
      </c>
    </row>
    <row r="658" spans="1:8" x14ac:dyDescent="0.2">
      <c r="A658" s="22"/>
      <c r="B658" s="26"/>
      <c r="C658" s="25"/>
      <c r="D658" s="25"/>
      <c r="E658" s="25"/>
      <c r="F658" s="23" t="str">
        <f t="shared" si="30"/>
        <v/>
      </c>
      <c r="G658" s="23" t="str">
        <f t="shared" si="31"/>
        <v/>
      </c>
      <c r="H658" s="23" t="str">
        <f t="shared" si="32"/>
        <v/>
      </c>
    </row>
    <row r="659" spans="1:8" x14ac:dyDescent="0.2">
      <c r="A659" s="22"/>
      <c r="B659" s="26"/>
      <c r="C659" s="25"/>
      <c r="D659" s="25"/>
      <c r="E659" s="25"/>
      <c r="F659" s="23" t="str">
        <f t="shared" si="30"/>
        <v/>
      </c>
      <c r="G659" s="23" t="str">
        <f t="shared" si="31"/>
        <v/>
      </c>
      <c r="H659" s="23" t="str">
        <f t="shared" si="32"/>
        <v/>
      </c>
    </row>
    <row r="660" spans="1:8" x14ac:dyDescent="0.2">
      <c r="A660" s="22"/>
      <c r="B660" s="26"/>
      <c r="C660" s="25"/>
      <c r="D660" s="25"/>
      <c r="E660" s="25"/>
      <c r="F660" s="23" t="str">
        <f t="shared" si="30"/>
        <v/>
      </c>
      <c r="G660" s="23" t="str">
        <f t="shared" si="31"/>
        <v/>
      </c>
      <c r="H660" s="23" t="str">
        <f t="shared" si="32"/>
        <v/>
      </c>
    </row>
    <row r="661" spans="1:8" x14ac:dyDescent="0.2">
      <c r="A661" s="22"/>
      <c r="B661" s="26"/>
      <c r="C661" s="25"/>
      <c r="D661" s="25"/>
      <c r="E661" s="25"/>
      <c r="F661" s="23" t="str">
        <f t="shared" si="30"/>
        <v/>
      </c>
      <c r="G661" s="23" t="str">
        <f t="shared" si="31"/>
        <v/>
      </c>
      <c r="H661" s="23" t="str">
        <f t="shared" si="32"/>
        <v/>
      </c>
    </row>
    <row r="662" spans="1:8" x14ac:dyDescent="0.2">
      <c r="A662" s="22"/>
      <c r="B662" s="26"/>
      <c r="C662" s="25"/>
      <c r="D662" s="25"/>
      <c r="E662" s="25"/>
      <c r="F662" s="23" t="str">
        <f t="shared" si="30"/>
        <v/>
      </c>
      <c r="G662" s="23" t="str">
        <f t="shared" si="31"/>
        <v/>
      </c>
      <c r="H662" s="23" t="str">
        <f t="shared" si="32"/>
        <v/>
      </c>
    </row>
    <row r="663" spans="1:8" x14ac:dyDescent="0.2">
      <c r="A663" s="22"/>
      <c r="B663" s="26"/>
      <c r="C663" s="25"/>
      <c r="D663" s="25"/>
      <c r="E663" s="25"/>
      <c r="F663" s="23" t="str">
        <f t="shared" si="30"/>
        <v/>
      </c>
      <c r="G663" s="23" t="str">
        <f t="shared" si="31"/>
        <v/>
      </c>
      <c r="H663" s="23" t="str">
        <f t="shared" si="32"/>
        <v/>
      </c>
    </row>
    <row r="664" spans="1:8" x14ac:dyDescent="0.2">
      <c r="A664" s="22"/>
      <c r="B664" s="26"/>
      <c r="C664" s="25"/>
      <c r="D664" s="25"/>
      <c r="E664" s="25"/>
      <c r="F664" s="23" t="str">
        <f t="shared" si="30"/>
        <v/>
      </c>
      <c r="G664" s="23" t="str">
        <f t="shared" si="31"/>
        <v/>
      </c>
      <c r="H664" s="23" t="str">
        <f t="shared" si="32"/>
        <v/>
      </c>
    </row>
    <row r="665" spans="1:8" x14ac:dyDescent="0.2">
      <c r="A665" s="22"/>
      <c r="B665" s="26"/>
      <c r="C665" s="25"/>
      <c r="D665" s="25"/>
      <c r="E665" s="25"/>
      <c r="F665" s="23" t="str">
        <f t="shared" si="30"/>
        <v/>
      </c>
      <c r="G665" s="23" t="str">
        <f t="shared" si="31"/>
        <v/>
      </c>
      <c r="H665" s="23" t="str">
        <f t="shared" si="32"/>
        <v/>
      </c>
    </row>
    <row r="666" spans="1:8" x14ac:dyDescent="0.2">
      <c r="A666" s="22"/>
      <c r="B666" s="26"/>
      <c r="C666" s="25"/>
      <c r="D666" s="25"/>
      <c r="E666" s="25"/>
      <c r="F666" s="23" t="str">
        <f t="shared" si="30"/>
        <v/>
      </c>
      <c r="G666" s="23" t="str">
        <f t="shared" si="31"/>
        <v/>
      </c>
      <c r="H666" s="23" t="str">
        <f t="shared" si="32"/>
        <v/>
      </c>
    </row>
    <row r="667" spans="1:8" x14ac:dyDescent="0.2">
      <c r="A667" s="22"/>
      <c r="B667" s="26"/>
      <c r="C667" s="25"/>
      <c r="D667" s="25"/>
      <c r="E667" s="25"/>
      <c r="F667" s="23" t="str">
        <f t="shared" si="30"/>
        <v/>
      </c>
      <c r="G667" s="23" t="str">
        <f t="shared" si="31"/>
        <v/>
      </c>
      <c r="H667" s="23" t="str">
        <f t="shared" si="32"/>
        <v/>
      </c>
    </row>
    <row r="668" spans="1:8" x14ac:dyDescent="0.2">
      <c r="A668" s="22"/>
      <c r="B668" s="26"/>
      <c r="C668" s="25"/>
      <c r="D668" s="25"/>
      <c r="E668" s="25"/>
      <c r="F668" s="23" t="str">
        <f t="shared" si="30"/>
        <v/>
      </c>
      <c r="G668" s="23" t="str">
        <f t="shared" si="31"/>
        <v/>
      </c>
      <c r="H668" s="23" t="str">
        <f t="shared" si="32"/>
        <v/>
      </c>
    </row>
    <row r="669" spans="1:8" x14ac:dyDescent="0.2">
      <c r="A669" s="22"/>
      <c r="B669" s="26"/>
      <c r="C669" s="25"/>
      <c r="D669" s="25"/>
      <c r="E669" s="25"/>
      <c r="F669" s="23" t="str">
        <f t="shared" si="30"/>
        <v/>
      </c>
      <c r="G669" s="23" t="str">
        <f t="shared" si="31"/>
        <v/>
      </c>
      <c r="H669" s="23" t="str">
        <f t="shared" si="32"/>
        <v/>
      </c>
    </row>
    <row r="670" spans="1:8" x14ac:dyDescent="0.2">
      <c r="A670" s="22"/>
      <c r="B670" s="26"/>
      <c r="C670" s="25"/>
      <c r="D670" s="25"/>
      <c r="E670" s="25"/>
      <c r="F670" s="23" t="str">
        <f t="shared" si="30"/>
        <v/>
      </c>
      <c r="G670" s="23" t="str">
        <f t="shared" si="31"/>
        <v/>
      </c>
      <c r="H670" s="23" t="str">
        <f t="shared" si="32"/>
        <v/>
      </c>
    </row>
    <row r="671" spans="1:8" x14ac:dyDescent="0.2">
      <c r="A671" s="22"/>
      <c r="B671" s="26"/>
      <c r="C671" s="25"/>
      <c r="D671" s="25"/>
      <c r="E671" s="25"/>
      <c r="F671" s="23" t="str">
        <f t="shared" si="30"/>
        <v/>
      </c>
      <c r="G671" s="23" t="str">
        <f t="shared" si="31"/>
        <v/>
      </c>
      <c r="H671" s="23" t="str">
        <f t="shared" si="32"/>
        <v/>
      </c>
    </row>
    <row r="672" spans="1:8" x14ac:dyDescent="0.2">
      <c r="A672" s="22"/>
      <c r="B672" s="26"/>
      <c r="C672" s="25"/>
      <c r="D672" s="25"/>
      <c r="E672" s="25"/>
      <c r="F672" s="23" t="str">
        <f t="shared" si="30"/>
        <v/>
      </c>
      <c r="G672" s="23" t="str">
        <f t="shared" si="31"/>
        <v/>
      </c>
      <c r="H672" s="23" t="str">
        <f t="shared" si="32"/>
        <v/>
      </c>
    </row>
    <row r="673" spans="1:8" x14ac:dyDescent="0.2">
      <c r="A673" s="22"/>
      <c r="B673" s="26"/>
      <c r="C673" s="25"/>
      <c r="D673" s="25"/>
      <c r="E673" s="25"/>
      <c r="F673" s="23" t="str">
        <f t="shared" si="30"/>
        <v/>
      </c>
      <c r="G673" s="23" t="str">
        <f t="shared" si="31"/>
        <v/>
      </c>
      <c r="H673" s="23" t="str">
        <f t="shared" si="32"/>
        <v/>
      </c>
    </row>
    <row r="674" spans="1:8" x14ac:dyDescent="0.2">
      <c r="A674" s="22"/>
      <c r="B674" s="26"/>
      <c r="C674" s="25"/>
      <c r="D674" s="25"/>
      <c r="E674" s="25"/>
      <c r="F674" s="23" t="str">
        <f t="shared" si="30"/>
        <v/>
      </c>
      <c r="G674" s="23" t="str">
        <f t="shared" si="31"/>
        <v/>
      </c>
      <c r="H674" s="23" t="str">
        <f t="shared" si="32"/>
        <v/>
      </c>
    </row>
    <row r="675" spans="1:8" x14ac:dyDescent="0.2">
      <c r="A675" s="22"/>
      <c r="B675" s="26"/>
      <c r="C675" s="25"/>
      <c r="D675" s="25"/>
      <c r="E675" s="25"/>
      <c r="F675" s="23" t="str">
        <f t="shared" si="30"/>
        <v/>
      </c>
      <c r="G675" s="23" t="str">
        <f t="shared" si="31"/>
        <v/>
      </c>
      <c r="H675" s="23" t="str">
        <f t="shared" si="32"/>
        <v/>
      </c>
    </row>
    <row r="676" spans="1:8" x14ac:dyDescent="0.2">
      <c r="A676" s="22"/>
      <c r="B676" s="26"/>
      <c r="C676" s="25"/>
      <c r="D676" s="25"/>
      <c r="E676" s="25"/>
      <c r="F676" s="23" t="str">
        <f t="shared" si="30"/>
        <v/>
      </c>
      <c r="G676" s="23" t="str">
        <f t="shared" si="31"/>
        <v/>
      </c>
      <c r="H676" s="23" t="str">
        <f t="shared" si="32"/>
        <v/>
      </c>
    </row>
    <row r="677" spans="1:8" x14ac:dyDescent="0.2">
      <c r="A677" s="22"/>
      <c r="B677" s="26"/>
      <c r="C677" s="25"/>
      <c r="D677" s="25"/>
      <c r="E677" s="25"/>
      <c r="F677" s="23" t="str">
        <f t="shared" si="30"/>
        <v/>
      </c>
      <c r="G677" s="23" t="str">
        <f t="shared" si="31"/>
        <v/>
      </c>
      <c r="H677" s="23" t="str">
        <f t="shared" si="32"/>
        <v/>
      </c>
    </row>
    <row r="678" spans="1:8" x14ac:dyDescent="0.2">
      <c r="A678" s="22"/>
      <c r="B678" s="26"/>
      <c r="C678" s="25"/>
      <c r="D678" s="25"/>
      <c r="E678" s="25"/>
      <c r="F678" s="23" t="str">
        <f t="shared" si="30"/>
        <v/>
      </c>
      <c r="G678" s="23" t="str">
        <f t="shared" si="31"/>
        <v/>
      </c>
      <c r="H678" s="23" t="str">
        <f t="shared" si="32"/>
        <v/>
      </c>
    </row>
    <row r="679" spans="1:8" x14ac:dyDescent="0.2">
      <c r="A679" s="22"/>
      <c r="B679" s="26"/>
      <c r="C679" s="25"/>
      <c r="D679" s="25"/>
      <c r="E679" s="25"/>
      <c r="F679" s="23" t="str">
        <f t="shared" si="30"/>
        <v/>
      </c>
      <c r="G679" s="23" t="str">
        <f t="shared" si="31"/>
        <v/>
      </c>
      <c r="H679" s="23" t="str">
        <f t="shared" si="32"/>
        <v/>
      </c>
    </row>
    <row r="680" spans="1:8" x14ac:dyDescent="0.2">
      <c r="A680" s="22"/>
      <c r="B680" s="26"/>
      <c r="C680" s="25"/>
      <c r="D680" s="25"/>
      <c r="E680" s="25"/>
      <c r="F680" s="23" t="str">
        <f t="shared" si="30"/>
        <v/>
      </c>
      <c r="G680" s="23" t="str">
        <f t="shared" si="31"/>
        <v/>
      </c>
      <c r="H680" s="23" t="str">
        <f t="shared" si="32"/>
        <v/>
      </c>
    </row>
    <row r="681" spans="1:8" x14ac:dyDescent="0.2">
      <c r="A681" s="22"/>
      <c r="B681" s="26"/>
      <c r="C681" s="25"/>
      <c r="D681" s="25"/>
      <c r="E681" s="25"/>
      <c r="F681" s="23" t="str">
        <f t="shared" si="30"/>
        <v/>
      </c>
      <c r="G681" s="23" t="str">
        <f t="shared" si="31"/>
        <v/>
      </c>
      <c r="H681" s="23" t="str">
        <f t="shared" si="32"/>
        <v/>
      </c>
    </row>
    <row r="682" spans="1:8" x14ac:dyDescent="0.2">
      <c r="A682" s="22"/>
      <c r="B682" s="26"/>
      <c r="C682" s="25"/>
      <c r="D682" s="25"/>
      <c r="E682" s="25"/>
      <c r="F682" s="23" t="str">
        <f t="shared" si="30"/>
        <v/>
      </c>
      <c r="G682" s="23" t="str">
        <f t="shared" si="31"/>
        <v/>
      </c>
      <c r="H682" s="23" t="str">
        <f t="shared" si="32"/>
        <v/>
      </c>
    </row>
    <row r="683" spans="1:8" x14ac:dyDescent="0.2">
      <c r="A683" s="22"/>
      <c r="B683" s="26"/>
      <c r="C683" s="25"/>
      <c r="D683" s="25"/>
      <c r="E683" s="25"/>
      <c r="F683" s="23" t="str">
        <f t="shared" si="30"/>
        <v/>
      </c>
      <c r="G683" s="23" t="str">
        <f t="shared" si="31"/>
        <v/>
      </c>
      <c r="H683" s="23" t="str">
        <f t="shared" si="32"/>
        <v/>
      </c>
    </row>
    <row r="684" spans="1:8" x14ac:dyDescent="0.2">
      <c r="A684" s="22"/>
      <c r="B684" s="26"/>
      <c r="C684" s="25"/>
      <c r="D684" s="25"/>
      <c r="E684" s="25"/>
      <c r="F684" s="23" t="str">
        <f t="shared" si="30"/>
        <v/>
      </c>
      <c r="G684" s="23" t="str">
        <f t="shared" si="31"/>
        <v/>
      </c>
      <c r="H684" s="23" t="str">
        <f t="shared" si="32"/>
        <v/>
      </c>
    </row>
    <row r="685" spans="1:8" x14ac:dyDescent="0.2">
      <c r="A685" s="22"/>
      <c r="B685" s="26"/>
      <c r="C685" s="25"/>
      <c r="D685" s="25"/>
      <c r="E685" s="25"/>
      <c r="F685" s="23" t="str">
        <f t="shared" si="30"/>
        <v/>
      </c>
      <c r="G685" s="23" t="str">
        <f t="shared" si="31"/>
        <v/>
      </c>
      <c r="H685" s="23" t="str">
        <f t="shared" si="32"/>
        <v/>
      </c>
    </row>
    <row r="686" spans="1:8" x14ac:dyDescent="0.2">
      <c r="A686" s="22"/>
      <c r="B686" s="26"/>
      <c r="C686" s="25"/>
      <c r="D686" s="25"/>
      <c r="E686" s="25"/>
      <c r="F686" s="23" t="str">
        <f t="shared" si="30"/>
        <v/>
      </c>
      <c r="G686" s="23" t="str">
        <f t="shared" si="31"/>
        <v/>
      </c>
      <c r="H686" s="23" t="str">
        <f t="shared" si="32"/>
        <v/>
      </c>
    </row>
    <row r="687" spans="1:8" x14ac:dyDescent="0.2">
      <c r="A687" s="22"/>
      <c r="B687" s="26"/>
      <c r="C687" s="25"/>
      <c r="D687" s="25"/>
      <c r="E687" s="25"/>
      <c r="F687" s="23" t="str">
        <f t="shared" si="30"/>
        <v/>
      </c>
      <c r="G687" s="23" t="str">
        <f t="shared" si="31"/>
        <v/>
      </c>
      <c r="H687" s="23" t="str">
        <f t="shared" si="32"/>
        <v/>
      </c>
    </row>
    <row r="688" spans="1:8" x14ac:dyDescent="0.2">
      <c r="A688" s="22"/>
      <c r="B688" s="26"/>
      <c r="C688" s="25"/>
      <c r="D688" s="25"/>
      <c r="E688" s="25"/>
      <c r="F688" s="23" t="str">
        <f t="shared" si="30"/>
        <v/>
      </c>
      <c r="G688" s="23" t="str">
        <f t="shared" si="31"/>
        <v/>
      </c>
      <c r="H688" s="23" t="str">
        <f t="shared" si="32"/>
        <v/>
      </c>
    </row>
    <row r="689" spans="1:8" x14ac:dyDescent="0.2">
      <c r="A689" s="22"/>
      <c r="B689" s="26"/>
      <c r="C689" s="25"/>
      <c r="D689" s="25"/>
      <c r="E689" s="25"/>
      <c r="F689" s="23" t="str">
        <f t="shared" si="30"/>
        <v/>
      </c>
      <c r="G689" s="23" t="str">
        <f t="shared" si="31"/>
        <v/>
      </c>
      <c r="H689" s="23" t="str">
        <f t="shared" si="32"/>
        <v/>
      </c>
    </row>
    <row r="690" spans="1:8" x14ac:dyDescent="0.2">
      <c r="A690" s="22"/>
      <c r="B690" s="26"/>
      <c r="C690" s="25"/>
      <c r="D690" s="25"/>
      <c r="E690" s="25"/>
      <c r="F690" s="23" t="str">
        <f t="shared" si="30"/>
        <v/>
      </c>
      <c r="G690" s="23" t="str">
        <f t="shared" si="31"/>
        <v/>
      </c>
      <c r="H690" s="23" t="str">
        <f t="shared" si="32"/>
        <v/>
      </c>
    </row>
    <row r="691" spans="1:8" x14ac:dyDescent="0.2">
      <c r="A691" s="22"/>
      <c r="B691" s="26"/>
      <c r="C691" s="25"/>
      <c r="D691" s="25"/>
      <c r="E691" s="25"/>
      <c r="F691" s="23" t="str">
        <f t="shared" si="30"/>
        <v/>
      </c>
      <c r="G691" s="23" t="str">
        <f t="shared" si="31"/>
        <v/>
      </c>
      <c r="H691" s="23" t="str">
        <f t="shared" si="32"/>
        <v/>
      </c>
    </row>
    <row r="692" spans="1:8" x14ac:dyDescent="0.2">
      <c r="A692" s="22"/>
      <c r="B692" s="26"/>
      <c r="C692" s="25"/>
      <c r="D692" s="25"/>
      <c r="E692" s="25"/>
      <c r="F692" s="23" t="str">
        <f t="shared" si="30"/>
        <v/>
      </c>
      <c r="G692" s="23" t="str">
        <f t="shared" si="31"/>
        <v/>
      </c>
      <c r="H692" s="23" t="str">
        <f t="shared" si="32"/>
        <v/>
      </c>
    </row>
    <row r="693" spans="1:8" x14ac:dyDescent="0.2">
      <c r="A693" s="22"/>
      <c r="B693" s="26"/>
      <c r="C693" s="25"/>
      <c r="D693" s="25"/>
      <c r="E693" s="25"/>
      <c r="F693" s="23" t="str">
        <f t="shared" ref="F693:F756" si="33">IF(C693&lt;&gt;"",($J$23*C693+$K$23*D693+$L$23*E693)+$K$7,"")</f>
        <v/>
      </c>
      <c r="G693" s="23" t="str">
        <f t="shared" ref="G693:G756" si="34">IF(D693&lt;&gt;"",($J$24*C693+$K$24*D693+$L$24*E693)+$K$8,"")</f>
        <v/>
      </c>
      <c r="H693" s="23" t="str">
        <f t="shared" ref="H693:H756" si="35">IF(E693&lt;&gt;"",($J$25*C693+$K$25*D693+$L$25*E693)+$K$9,"")</f>
        <v/>
      </c>
    </row>
    <row r="694" spans="1:8" x14ac:dyDescent="0.2">
      <c r="A694" s="22"/>
      <c r="B694" s="26"/>
      <c r="C694" s="25"/>
      <c r="D694" s="25"/>
      <c r="E694" s="25"/>
      <c r="F694" s="23" t="str">
        <f t="shared" si="33"/>
        <v/>
      </c>
      <c r="G694" s="23" t="str">
        <f t="shared" si="34"/>
        <v/>
      </c>
      <c r="H694" s="23" t="str">
        <f t="shared" si="35"/>
        <v/>
      </c>
    </row>
    <row r="695" spans="1:8" x14ac:dyDescent="0.2">
      <c r="A695" s="22"/>
      <c r="B695" s="26"/>
      <c r="C695" s="25"/>
      <c r="D695" s="25"/>
      <c r="E695" s="25"/>
      <c r="F695" s="23" t="str">
        <f t="shared" si="33"/>
        <v/>
      </c>
      <c r="G695" s="23" t="str">
        <f t="shared" si="34"/>
        <v/>
      </c>
      <c r="H695" s="23" t="str">
        <f t="shared" si="35"/>
        <v/>
      </c>
    </row>
    <row r="696" spans="1:8" x14ac:dyDescent="0.2">
      <c r="A696" s="22"/>
      <c r="B696" s="26"/>
      <c r="C696" s="25"/>
      <c r="D696" s="25"/>
      <c r="E696" s="25"/>
      <c r="F696" s="23" t="str">
        <f t="shared" si="33"/>
        <v/>
      </c>
      <c r="G696" s="23" t="str">
        <f t="shared" si="34"/>
        <v/>
      </c>
      <c r="H696" s="23" t="str">
        <f t="shared" si="35"/>
        <v/>
      </c>
    </row>
    <row r="697" spans="1:8" x14ac:dyDescent="0.2">
      <c r="A697" s="22"/>
      <c r="B697" s="26"/>
      <c r="C697" s="25"/>
      <c r="D697" s="25"/>
      <c r="E697" s="25"/>
      <c r="F697" s="23" t="str">
        <f t="shared" si="33"/>
        <v/>
      </c>
      <c r="G697" s="23" t="str">
        <f t="shared" si="34"/>
        <v/>
      </c>
      <c r="H697" s="23" t="str">
        <f t="shared" si="35"/>
        <v/>
      </c>
    </row>
    <row r="698" spans="1:8" x14ac:dyDescent="0.2">
      <c r="A698" s="22"/>
      <c r="B698" s="26"/>
      <c r="C698" s="25"/>
      <c r="D698" s="25"/>
      <c r="E698" s="25"/>
      <c r="F698" s="23" t="str">
        <f t="shared" si="33"/>
        <v/>
      </c>
      <c r="G698" s="23" t="str">
        <f t="shared" si="34"/>
        <v/>
      </c>
      <c r="H698" s="23" t="str">
        <f t="shared" si="35"/>
        <v/>
      </c>
    </row>
    <row r="699" spans="1:8" x14ac:dyDescent="0.2">
      <c r="A699" s="22"/>
      <c r="B699" s="26"/>
      <c r="C699" s="25"/>
      <c r="D699" s="25"/>
      <c r="E699" s="25"/>
      <c r="F699" s="23" t="str">
        <f t="shared" si="33"/>
        <v/>
      </c>
      <c r="G699" s="23" t="str">
        <f t="shared" si="34"/>
        <v/>
      </c>
      <c r="H699" s="23" t="str">
        <f t="shared" si="35"/>
        <v/>
      </c>
    </row>
    <row r="700" spans="1:8" x14ac:dyDescent="0.2">
      <c r="A700" s="22"/>
      <c r="B700" s="26"/>
      <c r="C700" s="25"/>
      <c r="D700" s="25"/>
      <c r="E700" s="25"/>
      <c r="F700" s="23" t="str">
        <f t="shared" si="33"/>
        <v/>
      </c>
      <c r="G700" s="23" t="str">
        <f t="shared" si="34"/>
        <v/>
      </c>
      <c r="H700" s="23" t="str">
        <f t="shared" si="35"/>
        <v/>
      </c>
    </row>
    <row r="701" spans="1:8" x14ac:dyDescent="0.2">
      <c r="A701" s="22"/>
      <c r="B701" s="26"/>
      <c r="C701" s="25"/>
      <c r="D701" s="25"/>
      <c r="E701" s="25"/>
      <c r="F701" s="23" t="str">
        <f t="shared" si="33"/>
        <v/>
      </c>
      <c r="G701" s="23" t="str">
        <f t="shared" si="34"/>
        <v/>
      </c>
      <c r="H701" s="23" t="str">
        <f t="shared" si="35"/>
        <v/>
      </c>
    </row>
    <row r="702" spans="1:8" x14ac:dyDescent="0.2">
      <c r="A702" s="22"/>
      <c r="B702" s="26"/>
      <c r="C702" s="25"/>
      <c r="D702" s="25"/>
      <c r="E702" s="25"/>
      <c r="F702" s="23" t="str">
        <f t="shared" si="33"/>
        <v/>
      </c>
      <c r="G702" s="23" t="str">
        <f t="shared" si="34"/>
        <v/>
      </c>
      <c r="H702" s="23" t="str">
        <f t="shared" si="35"/>
        <v/>
      </c>
    </row>
    <row r="703" spans="1:8" x14ac:dyDescent="0.2">
      <c r="A703" s="22"/>
      <c r="B703" s="26"/>
      <c r="C703" s="25"/>
      <c r="D703" s="25"/>
      <c r="E703" s="25"/>
      <c r="F703" s="23" t="str">
        <f t="shared" si="33"/>
        <v/>
      </c>
      <c r="G703" s="23" t="str">
        <f t="shared" si="34"/>
        <v/>
      </c>
      <c r="H703" s="23" t="str">
        <f t="shared" si="35"/>
        <v/>
      </c>
    </row>
    <row r="704" spans="1:8" x14ac:dyDescent="0.2">
      <c r="A704" s="22"/>
      <c r="B704" s="26"/>
      <c r="C704" s="25"/>
      <c r="D704" s="25"/>
      <c r="E704" s="25"/>
      <c r="F704" s="23" t="str">
        <f t="shared" si="33"/>
        <v/>
      </c>
      <c r="G704" s="23" t="str">
        <f t="shared" si="34"/>
        <v/>
      </c>
      <c r="H704" s="23" t="str">
        <f t="shared" si="35"/>
        <v/>
      </c>
    </row>
    <row r="705" spans="1:8" x14ac:dyDescent="0.2">
      <c r="A705" s="22"/>
      <c r="B705" s="26"/>
      <c r="C705" s="25"/>
      <c r="D705" s="25"/>
      <c r="E705" s="25"/>
      <c r="F705" s="23" t="str">
        <f t="shared" si="33"/>
        <v/>
      </c>
      <c r="G705" s="23" t="str">
        <f t="shared" si="34"/>
        <v/>
      </c>
      <c r="H705" s="23" t="str">
        <f t="shared" si="35"/>
        <v/>
      </c>
    </row>
    <row r="706" spans="1:8" x14ac:dyDescent="0.2">
      <c r="A706" s="22"/>
      <c r="B706" s="26"/>
      <c r="C706" s="25"/>
      <c r="D706" s="25"/>
      <c r="E706" s="25"/>
      <c r="F706" s="23" t="str">
        <f t="shared" si="33"/>
        <v/>
      </c>
      <c r="G706" s="23" t="str">
        <f t="shared" si="34"/>
        <v/>
      </c>
      <c r="H706" s="23" t="str">
        <f t="shared" si="35"/>
        <v/>
      </c>
    </row>
    <row r="707" spans="1:8" x14ac:dyDescent="0.2">
      <c r="A707" s="22"/>
      <c r="B707" s="26"/>
      <c r="C707" s="25"/>
      <c r="D707" s="25"/>
      <c r="E707" s="25"/>
      <c r="F707" s="23" t="str">
        <f t="shared" si="33"/>
        <v/>
      </c>
      <c r="G707" s="23" t="str">
        <f t="shared" si="34"/>
        <v/>
      </c>
      <c r="H707" s="23" t="str">
        <f t="shared" si="35"/>
        <v/>
      </c>
    </row>
    <row r="708" spans="1:8" x14ac:dyDescent="0.2">
      <c r="A708" s="22"/>
      <c r="B708" s="26"/>
      <c r="C708" s="25"/>
      <c r="D708" s="25"/>
      <c r="E708" s="25"/>
      <c r="F708" s="23" t="str">
        <f t="shared" si="33"/>
        <v/>
      </c>
      <c r="G708" s="23" t="str">
        <f t="shared" si="34"/>
        <v/>
      </c>
      <c r="H708" s="23" t="str">
        <f t="shared" si="35"/>
        <v/>
      </c>
    </row>
    <row r="709" spans="1:8" x14ac:dyDescent="0.2">
      <c r="A709" s="22"/>
      <c r="B709" s="26"/>
      <c r="C709" s="25"/>
      <c r="D709" s="25"/>
      <c r="E709" s="25"/>
      <c r="F709" s="23" t="str">
        <f t="shared" si="33"/>
        <v/>
      </c>
      <c r="G709" s="23" t="str">
        <f t="shared" si="34"/>
        <v/>
      </c>
      <c r="H709" s="23" t="str">
        <f t="shared" si="35"/>
        <v/>
      </c>
    </row>
    <row r="710" spans="1:8" x14ac:dyDescent="0.2">
      <c r="A710" s="22"/>
      <c r="B710" s="26"/>
      <c r="C710" s="25"/>
      <c r="D710" s="25"/>
      <c r="E710" s="25"/>
      <c r="F710" s="23" t="str">
        <f t="shared" si="33"/>
        <v/>
      </c>
      <c r="G710" s="23" t="str">
        <f t="shared" si="34"/>
        <v/>
      </c>
      <c r="H710" s="23" t="str">
        <f t="shared" si="35"/>
        <v/>
      </c>
    </row>
    <row r="711" spans="1:8" x14ac:dyDescent="0.2">
      <c r="A711" s="22"/>
      <c r="B711" s="26"/>
      <c r="C711" s="25"/>
      <c r="D711" s="25"/>
      <c r="E711" s="25"/>
      <c r="F711" s="23" t="str">
        <f t="shared" si="33"/>
        <v/>
      </c>
      <c r="G711" s="23" t="str">
        <f t="shared" si="34"/>
        <v/>
      </c>
      <c r="H711" s="23" t="str">
        <f t="shared" si="35"/>
        <v/>
      </c>
    </row>
    <row r="712" spans="1:8" x14ac:dyDescent="0.2">
      <c r="A712" s="22"/>
      <c r="B712" s="26"/>
      <c r="C712" s="25"/>
      <c r="D712" s="25"/>
      <c r="E712" s="25"/>
      <c r="F712" s="23" t="str">
        <f t="shared" si="33"/>
        <v/>
      </c>
      <c r="G712" s="23" t="str">
        <f t="shared" si="34"/>
        <v/>
      </c>
      <c r="H712" s="23" t="str">
        <f t="shared" si="35"/>
        <v/>
      </c>
    </row>
    <row r="713" spans="1:8" x14ac:dyDescent="0.2">
      <c r="A713" s="22"/>
      <c r="B713" s="26"/>
      <c r="C713" s="25"/>
      <c r="D713" s="25"/>
      <c r="E713" s="25"/>
      <c r="F713" s="23" t="str">
        <f t="shared" si="33"/>
        <v/>
      </c>
      <c r="G713" s="23" t="str">
        <f t="shared" si="34"/>
        <v/>
      </c>
      <c r="H713" s="23" t="str">
        <f t="shared" si="35"/>
        <v/>
      </c>
    </row>
    <row r="714" spans="1:8" x14ac:dyDescent="0.2">
      <c r="A714" s="22"/>
      <c r="B714" s="26"/>
      <c r="C714" s="25"/>
      <c r="D714" s="25"/>
      <c r="E714" s="25"/>
      <c r="F714" s="23" t="str">
        <f t="shared" si="33"/>
        <v/>
      </c>
      <c r="G714" s="23" t="str">
        <f t="shared" si="34"/>
        <v/>
      </c>
      <c r="H714" s="23" t="str">
        <f t="shared" si="35"/>
        <v/>
      </c>
    </row>
    <row r="715" spans="1:8" x14ac:dyDescent="0.2">
      <c r="A715" s="22"/>
      <c r="B715" s="26"/>
      <c r="C715" s="25"/>
      <c r="D715" s="25"/>
      <c r="E715" s="25"/>
      <c r="F715" s="23" t="str">
        <f t="shared" si="33"/>
        <v/>
      </c>
      <c r="G715" s="23" t="str">
        <f t="shared" si="34"/>
        <v/>
      </c>
      <c r="H715" s="23" t="str">
        <f t="shared" si="35"/>
        <v/>
      </c>
    </row>
    <row r="716" spans="1:8" x14ac:dyDescent="0.2">
      <c r="A716" s="22"/>
      <c r="B716" s="26"/>
      <c r="C716" s="25"/>
      <c r="D716" s="25"/>
      <c r="E716" s="25"/>
      <c r="F716" s="23" t="str">
        <f t="shared" si="33"/>
        <v/>
      </c>
      <c r="G716" s="23" t="str">
        <f t="shared" si="34"/>
        <v/>
      </c>
      <c r="H716" s="23" t="str">
        <f t="shared" si="35"/>
        <v/>
      </c>
    </row>
    <row r="717" spans="1:8" x14ac:dyDescent="0.2">
      <c r="A717" s="22"/>
      <c r="B717" s="26"/>
      <c r="C717" s="25"/>
      <c r="D717" s="25"/>
      <c r="E717" s="25"/>
      <c r="F717" s="23" t="str">
        <f t="shared" si="33"/>
        <v/>
      </c>
      <c r="G717" s="23" t="str">
        <f t="shared" si="34"/>
        <v/>
      </c>
      <c r="H717" s="23" t="str">
        <f t="shared" si="35"/>
        <v/>
      </c>
    </row>
    <row r="718" spans="1:8" x14ac:dyDescent="0.2">
      <c r="A718" s="22"/>
      <c r="B718" s="26"/>
      <c r="C718" s="25"/>
      <c r="D718" s="25"/>
      <c r="E718" s="25"/>
      <c r="F718" s="23" t="str">
        <f t="shared" si="33"/>
        <v/>
      </c>
      <c r="G718" s="23" t="str">
        <f t="shared" si="34"/>
        <v/>
      </c>
      <c r="H718" s="23" t="str">
        <f t="shared" si="35"/>
        <v/>
      </c>
    </row>
    <row r="719" spans="1:8" x14ac:dyDescent="0.2">
      <c r="A719" s="22"/>
      <c r="B719" s="26"/>
      <c r="C719" s="25"/>
      <c r="D719" s="25"/>
      <c r="E719" s="25"/>
      <c r="F719" s="23" t="str">
        <f t="shared" si="33"/>
        <v/>
      </c>
      <c r="G719" s="23" t="str">
        <f t="shared" si="34"/>
        <v/>
      </c>
      <c r="H719" s="23" t="str">
        <f t="shared" si="35"/>
        <v/>
      </c>
    </row>
    <row r="720" spans="1:8" x14ac:dyDescent="0.2">
      <c r="A720" s="22"/>
      <c r="B720" s="26"/>
      <c r="C720" s="25"/>
      <c r="D720" s="25"/>
      <c r="E720" s="25"/>
      <c r="F720" s="23" t="str">
        <f t="shared" si="33"/>
        <v/>
      </c>
      <c r="G720" s="23" t="str">
        <f t="shared" si="34"/>
        <v/>
      </c>
      <c r="H720" s="23" t="str">
        <f t="shared" si="35"/>
        <v/>
      </c>
    </row>
    <row r="721" spans="1:8" x14ac:dyDescent="0.2">
      <c r="A721" s="22"/>
      <c r="B721" s="26"/>
      <c r="C721" s="25"/>
      <c r="D721" s="25"/>
      <c r="E721" s="25"/>
      <c r="F721" s="23" t="str">
        <f t="shared" si="33"/>
        <v/>
      </c>
      <c r="G721" s="23" t="str">
        <f t="shared" si="34"/>
        <v/>
      </c>
      <c r="H721" s="23" t="str">
        <f t="shared" si="35"/>
        <v/>
      </c>
    </row>
    <row r="722" spans="1:8" x14ac:dyDescent="0.2">
      <c r="A722" s="22"/>
      <c r="B722" s="26"/>
      <c r="C722" s="25"/>
      <c r="D722" s="25"/>
      <c r="E722" s="25"/>
      <c r="F722" s="23" t="str">
        <f t="shared" si="33"/>
        <v/>
      </c>
      <c r="G722" s="23" t="str">
        <f t="shared" si="34"/>
        <v/>
      </c>
      <c r="H722" s="23" t="str">
        <f t="shared" si="35"/>
        <v/>
      </c>
    </row>
    <row r="723" spans="1:8" x14ac:dyDescent="0.2">
      <c r="A723" s="22"/>
      <c r="B723" s="26"/>
      <c r="C723" s="25"/>
      <c r="D723" s="25"/>
      <c r="E723" s="25"/>
      <c r="F723" s="23" t="str">
        <f t="shared" si="33"/>
        <v/>
      </c>
      <c r="G723" s="23" t="str">
        <f t="shared" si="34"/>
        <v/>
      </c>
      <c r="H723" s="23" t="str">
        <f t="shared" si="35"/>
        <v/>
      </c>
    </row>
    <row r="724" spans="1:8" x14ac:dyDescent="0.2">
      <c r="A724" s="22"/>
      <c r="B724" s="26"/>
      <c r="C724" s="25"/>
      <c r="D724" s="25"/>
      <c r="E724" s="25"/>
      <c r="F724" s="23" t="str">
        <f t="shared" si="33"/>
        <v/>
      </c>
      <c r="G724" s="23" t="str">
        <f t="shared" si="34"/>
        <v/>
      </c>
      <c r="H724" s="23" t="str">
        <f t="shared" si="35"/>
        <v/>
      </c>
    </row>
    <row r="725" spans="1:8" x14ac:dyDescent="0.2">
      <c r="A725" s="22"/>
      <c r="B725" s="26"/>
      <c r="C725" s="25"/>
      <c r="D725" s="25"/>
      <c r="E725" s="25"/>
      <c r="F725" s="23" t="str">
        <f t="shared" si="33"/>
        <v/>
      </c>
      <c r="G725" s="23" t="str">
        <f t="shared" si="34"/>
        <v/>
      </c>
      <c r="H725" s="23" t="str">
        <f t="shared" si="35"/>
        <v/>
      </c>
    </row>
    <row r="726" spans="1:8" x14ac:dyDescent="0.2">
      <c r="A726" s="22"/>
      <c r="B726" s="26"/>
      <c r="C726" s="25"/>
      <c r="D726" s="25"/>
      <c r="E726" s="25"/>
      <c r="F726" s="23" t="str">
        <f t="shared" si="33"/>
        <v/>
      </c>
      <c r="G726" s="23" t="str">
        <f t="shared" si="34"/>
        <v/>
      </c>
      <c r="H726" s="23" t="str">
        <f t="shared" si="35"/>
        <v/>
      </c>
    </row>
    <row r="727" spans="1:8" x14ac:dyDescent="0.2">
      <c r="A727" s="22"/>
      <c r="B727" s="26"/>
      <c r="C727" s="25"/>
      <c r="D727" s="25"/>
      <c r="E727" s="25"/>
      <c r="F727" s="23" t="str">
        <f t="shared" si="33"/>
        <v/>
      </c>
      <c r="G727" s="23" t="str">
        <f t="shared" si="34"/>
        <v/>
      </c>
      <c r="H727" s="23" t="str">
        <f t="shared" si="35"/>
        <v/>
      </c>
    </row>
    <row r="728" spans="1:8" x14ac:dyDescent="0.2">
      <c r="A728" s="22"/>
      <c r="B728" s="26"/>
      <c r="C728" s="25"/>
      <c r="D728" s="25"/>
      <c r="E728" s="25"/>
      <c r="F728" s="23" t="str">
        <f t="shared" si="33"/>
        <v/>
      </c>
      <c r="G728" s="23" t="str">
        <f t="shared" si="34"/>
        <v/>
      </c>
      <c r="H728" s="23" t="str">
        <f t="shared" si="35"/>
        <v/>
      </c>
    </row>
    <row r="729" spans="1:8" x14ac:dyDescent="0.2">
      <c r="A729" s="22"/>
      <c r="B729" s="26"/>
      <c r="C729" s="25"/>
      <c r="D729" s="25"/>
      <c r="E729" s="25"/>
      <c r="F729" s="23" t="str">
        <f t="shared" si="33"/>
        <v/>
      </c>
      <c r="G729" s="23" t="str">
        <f t="shared" si="34"/>
        <v/>
      </c>
      <c r="H729" s="23" t="str">
        <f t="shared" si="35"/>
        <v/>
      </c>
    </row>
    <row r="730" spans="1:8" x14ac:dyDescent="0.2">
      <c r="A730" s="22"/>
      <c r="B730" s="26"/>
      <c r="C730" s="25"/>
      <c r="D730" s="25"/>
      <c r="E730" s="25"/>
      <c r="F730" s="23" t="str">
        <f t="shared" si="33"/>
        <v/>
      </c>
      <c r="G730" s="23" t="str">
        <f t="shared" si="34"/>
        <v/>
      </c>
      <c r="H730" s="23" t="str">
        <f t="shared" si="35"/>
        <v/>
      </c>
    </row>
    <row r="731" spans="1:8" x14ac:dyDescent="0.2">
      <c r="A731" s="22"/>
      <c r="B731" s="26"/>
      <c r="C731" s="25"/>
      <c r="D731" s="25"/>
      <c r="E731" s="25"/>
      <c r="F731" s="23" t="str">
        <f t="shared" si="33"/>
        <v/>
      </c>
      <c r="G731" s="23" t="str">
        <f t="shared" si="34"/>
        <v/>
      </c>
      <c r="H731" s="23" t="str">
        <f t="shared" si="35"/>
        <v/>
      </c>
    </row>
    <row r="732" spans="1:8" x14ac:dyDescent="0.2">
      <c r="A732" s="22"/>
      <c r="B732" s="26"/>
      <c r="C732" s="25"/>
      <c r="D732" s="25"/>
      <c r="E732" s="25"/>
      <c r="F732" s="23" t="str">
        <f t="shared" si="33"/>
        <v/>
      </c>
      <c r="G732" s="23" t="str">
        <f t="shared" si="34"/>
        <v/>
      </c>
      <c r="H732" s="23" t="str">
        <f t="shared" si="35"/>
        <v/>
      </c>
    </row>
    <row r="733" spans="1:8" x14ac:dyDescent="0.2">
      <c r="A733" s="22"/>
      <c r="B733" s="26"/>
      <c r="C733" s="25"/>
      <c r="D733" s="25"/>
      <c r="E733" s="25"/>
      <c r="F733" s="23" t="str">
        <f t="shared" si="33"/>
        <v/>
      </c>
      <c r="G733" s="23" t="str">
        <f t="shared" si="34"/>
        <v/>
      </c>
      <c r="H733" s="23" t="str">
        <f t="shared" si="35"/>
        <v/>
      </c>
    </row>
    <row r="734" spans="1:8" x14ac:dyDescent="0.2">
      <c r="A734" s="22"/>
      <c r="B734" s="26"/>
      <c r="C734" s="25"/>
      <c r="D734" s="25"/>
      <c r="E734" s="25"/>
      <c r="F734" s="23" t="str">
        <f t="shared" si="33"/>
        <v/>
      </c>
      <c r="G734" s="23" t="str">
        <f t="shared" si="34"/>
        <v/>
      </c>
      <c r="H734" s="23" t="str">
        <f t="shared" si="35"/>
        <v/>
      </c>
    </row>
    <row r="735" spans="1:8" x14ac:dyDescent="0.2">
      <c r="A735" s="22"/>
      <c r="B735" s="26"/>
      <c r="C735" s="25"/>
      <c r="D735" s="25"/>
      <c r="E735" s="25"/>
      <c r="F735" s="23" t="str">
        <f t="shared" si="33"/>
        <v/>
      </c>
      <c r="G735" s="23" t="str">
        <f t="shared" si="34"/>
        <v/>
      </c>
      <c r="H735" s="23" t="str">
        <f t="shared" si="35"/>
        <v/>
      </c>
    </row>
    <row r="736" spans="1:8" x14ac:dyDescent="0.2">
      <c r="A736" s="22"/>
      <c r="B736" s="26"/>
      <c r="C736" s="25"/>
      <c r="D736" s="25"/>
      <c r="E736" s="25"/>
      <c r="F736" s="23" t="str">
        <f t="shared" si="33"/>
        <v/>
      </c>
      <c r="G736" s="23" t="str">
        <f t="shared" si="34"/>
        <v/>
      </c>
      <c r="H736" s="23" t="str">
        <f t="shared" si="35"/>
        <v/>
      </c>
    </row>
    <row r="737" spans="1:8" x14ac:dyDescent="0.2">
      <c r="A737" s="22"/>
      <c r="B737" s="26"/>
      <c r="C737" s="25"/>
      <c r="D737" s="25"/>
      <c r="E737" s="25"/>
      <c r="F737" s="23" t="str">
        <f t="shared" si="33"/>
        <v/>
      </c>
      <c r="G737" s="23" t="str">
        <f t="shared" si="34"/>
        <v/>
      </c>
      <c r="H737" s="23" t="str">
        <f t="shared" si="35"/>
        <v/>
      </c>
    </row>
    <row r="738" spans="1:8" x14ac:dyDescent="0.2">
      <c r="A738" s="22"/>
      <c r="B738" s="26"/>
      <c r="C738" s="25"/>
      <c r="D738" s="25"/>
      <c r="E738" s="25"/>
      <c r="F738" s="23" t="str">
        <f t="shared" si="33"/>
        <v/>
      </c>
      <c r="G738" s="23" t="str">
        <f t="shared" si="34"/>
        <v/>
      </c>
      <c r="H738" s="23" t="str">
        <f t="shared" si="35"/>
        <v/>
      </c>
    </row>
    <row r="739" spans="1:8" x14ac:dyDescent="0.2">
      <c r="A739" s="22"/>
      <c r="B739" s="26"/>
      <c r="C739" s="25"/>
      <c r="D739" s="25"/>
      <c r="E739" s="25"/>
      <c r="F739" s="23" t="str">
        <f t="shared" si="33"/>
        <v/>
      </c>
      <c r="G739" s="23" t="str">
        <f t="shared" si="34"/>
        <v/>
      </c>
      <c r="H739" s="23" t="str">
        <f t="shared" si="35"/>
        <v/>
      </c>
    </row>
    <row r="740" spans="1:8" x14ac:dyDescent="0.2">
      <c r="A740" s="22"/>
      <c r="B740" s="26"/>
      <c r="C740" s="25"/>
      <c r="D740" s="25"/>
      <c r="E740" s="25"/>
      <c r="F740" s="23" t="str">
        <f t="shared" si="33"/>
        <v/>
      </c>
      <c r="G740" s="23" t="str">
        <f t="shared" si="34"/>
        <v/>
      </c>
      <c r="H740" s="23" t="str">
        <f t="shared" si="35"/>
        <v/>
      </c>
    </row>
    <row r="741" spans="1:8" x14ac:dyDescent="0.2">
      <c r="A741" s="22"/>
      <c r="B741" s="26"/>
      <c r="C741" s="25"/>
      <c r="D741" s="25"/>
      <c r="E741" s="25"/>
      <c r="F741" s="23" t="str">
        <f t="shared" si="33"/>
        <v/>
      </c>
      <c r="G741" s="23" t="str">
        <f t="shared" si="34"/>
        <v/>
      </c>
      <c r="H741" s="23" t="str">
        <f t="shared" si="35"/>
        <v/>
      </c>
    </row>
    <row r="742" spans="1:8" x14ac:dyDescent="0.2">
      <c r="A742" s="22"/>
      <c r="B742" s="26"/>
      <c r="C742" s="25"/>
      <c r="D742" s="25"/>
      <c r="E742" s="25"/>
      <c r="F742" s="23" t="str">
        <f t="shared" si="33"/>
        <v/>
      </c>
      <c r="G742" s="23" t="str">
        <f t="shared" si="34"/>
        <v/>
      </c>
      <c r="H742" s="23" t="str">
        <f t="shared" si="35"/>
        <v/>
      </c>
    </row>
    <row r="743" spans="1:8" x14ac:dyDescent="0.2">
      <c r="A743" s="22"/>
      <c r="B743" s="26"/>
      <c r="C743" s="25"/>
      <c r="D743" s="25"/>
      <c r="E743" s="25"/>
      <c r="F743" s="23" t="str">
        <f t="shared" si="33"/>
        <v/>
      </c>
      <c r="G743" s="23" t="str">
        <f t="shared" si="34"/>
        <v/>
      </c>
      <c r="H743" s="23" t="str">
        <f t="shared" si="35"/>
        <v/>
      </c>
    </row>
    <row r="744" spans="1:8" x14ac:dyDescent="0.2">
      <c r="A744" s="22"/>
      <c r="B744" s="26"/>
      <c r="C744" s="25"/>
      <c r="D744" s="25"/>
      <c r="E744" s="25"/>
      <c r="F744" s="23" t="str">
        <f t="shared" si="33"/>
        <v/>
      </c>
      <c r="G744" s="23" t="str">
        <f t="shared" si="34"/>
        <v/>
      </c>
      <c r="H744" s="23" t="str">
        <f t="shared" si="35"/>
        <v/>
      </c>
    </row>
    <row r="745" spans="1:8" x14ac:dyDescent="0.2">
      <c r="A745" s="22"/>
      <c r="B745" s="26"/>
      <c r="C745" s="25"/>
      <c r="D745" s="25"/>
      <c r="E745" s="25"/>
      <c r="F745" s="23" t="str">
        <f t="shared" si="33"/>
        <v/>
      </c>
      <c r="G745" s="23" t="str">
        <f t="shared" si="34"/>
        <v/>
      </c>
      <c r="H745" s="23" t="str">
        <f t="shared" si="35"/>
        <v/>
      </c>
    </row>
    <row r="746" spans="1:8" x14ac:dyDescent="0.2">
      <c r="A746" s="22"/>
      <c r="B746" s="26"/>
      <c r="C746" s="25"/>
      <c r="D746" s="25"/>
      <c r="E746" s="25"/>
      <c r="F746" s="23" t="str">
        <f t="shared" si="33"/>
        <v/>
      </c>
      <c r="G746" s="23" t="str">
        <f t="shared" si="34"/>
        <v/>
      </c>
      <c r="H746" s="23" t="str">
        <f t="shared" si="35"/>
        <v/>
      </c>
    </row>
    <row r="747" spans="1:8" x14ac:dyDescent="0.2">
      <c r="A747" s="22"/>
      <c r="B747" s="26"/>
      <c r="C747" s="25"/>
      <c r="D747" s="25"/>
      <c r="E747" s="25"/>
      <c r="F747" s="23" t="str">
        <f t="shared" si="33"/>
        <v/>
      </c>
      <c r="G747" s="23" t="str">
        <f t="shared" si="34"/>
        <v/>
      </c>
      <c r="H747" s="23" t="str">
        <f t="shared" si="35"/>
        <v/>
      </c>
    </row>
    <row r="748" spans="1:8" x14ac:dyDescent="0.2">
      <c r="A748" s="22"/>
      <c r="B748" s="26"/>
      <c r="C748" s="25"/>
      <c r="D748" s="25"/>
      <c r="E748" s="25"/>
      <c r="F748" s="23" t="str">
        <f t="shared" si="33"/>
        <v/>
      </c>
      <c r="G748" s="23" t="str">
        <f t="shared" si="34"/>
        <v/>
      </c>
      <c r="H748" s="23" t="str">
        <f t="shared" si="35"/>
        <v/>
      </c>
    </row>
    <row r="749" spans="1:8" x14ac:dyDescent="0.2">
      <c r="A749" s="22"/>
      <c r="B749" s="26"/>
      <c r="C749" s="25"/>
      <c r="D749" s="25"/>
      <c r="E749" s="25"/>
      <c r="F749" s="23" t="str">
        <f t="shared" si="33"/>
        <v/>
      </c>
      <c r="G749" s="23" t="str">
        <f t="shared" si="34"/>
        <v/>
      </c>
      <c r="H749" s="23" t="str">
        <f t="shared" si="35"/>
        <v/>
      </c>
    </row>
    <row r="750" spans="1:8" x14ac:dyDescent="0.2">
      <c r="A750" s="22"/>
      <c r="B750" s="26"/>
      <c r="C750" s="25"/>
      <c r="D750" s="25"/>
      <c r="E750" s="25"/>
      <c r="F750" s="23" t="str">
        <f t="shared" si="33"/>
        <v/>
      </c>
      <c r="G750" s="23" t="str">
        <f t="shared" si="34"/>
        <v/>
      </c>
      <c r="H750" s="23" t="str">
        <f t="shared" si="35"/>
        <v/>
      </c>
    </row>
    <row r="751" spans="1:8" x14ac:dyDescent="0.2">
      <c r="A751" s="22"/>
      <c r="B751" s="26"/>
      <c r="C751" s="25"/>
      <c r="D751" s="25"/>
      <c r="E751" s="25"/>
      <c r="F751" s="23" t="str">
        <f t="shared" si="33"/>
        <v/>
      </c>
      <c r="G751" s="23" t="str">
        <f t="shared" si="34"/>
        <v/>
      </c>
      <c r="H751" s="23" t="str">
        <f t="shared" si="35"/>
        <v/>
      </c>
    </row>
    <row r="752" spans="1:8" x14ac:dyDescent="0.2">
      <c r="A752" s="22"/>
      <c r="B752" s="26"/>
      <c r="C752" s="25"/>
      <c r="D752" s="25"/>
      <c r="E752" s="25"/>
      <c r="F752" s="23" t="str">
        <f t="shared" si="33"/>
        <v/>
      </c>
      <c r="G752" s="23" t="str">
        <f t="shared" si="34"/>
        <v/>
      </c>
      <c r="H752" s="23" t="str">
        <f t="shared" si="35"/>
        <v/>
      </c>
    </row>
    <row r="753" spans="1:8" x14ac:dyDescent="0.2">
      <c r="A753" s="22"/>
      <c r="B753" s="26"/>
      <c r="C753" s="25"/>
      <c r="D753" s="25"/>
      <c r="E753" s="25"/>
      <c r="F753" s="23" t="str">
        <f t="shared" si="33"/>
        <v/>
      </c>
      <c r="G753" s="23" t="str">
        <f t="shared" si="34"/>
        <v/>
      </c>
      <c r="H753" s="23" t="str">
        <f t="shared" si="35"/>
        <v/>
      </c>
    </row>
    <row r="754" spans="1:8" x14ac:dyDescent="0.2">
      <c r="A754" s="22"/>
      <c r="B754" s="26"/>
      <c r="C754" s="25"/>
      <c r="D754" s="25"/>
      <c r="E754" s="25"/>
      <c r="F754" s="23" t="str">
        <f t="shared" si="33"/>
        <v/>
      </c>
      <c r="G754" s="23" t="str">
        <f t="shared" si="34"/>
        <v/>
      </c>
      <c r="H754" s="23" t="str">
        <f t="shared" si="35"/>
        <v/>
      </c>
    </row>
    <row r="755" spans="1:8" x14ac:dyDescent="0.2">
      <c r="A755" s="22"/>
      <c r="B755" s="26"/>
      <c r="C755" s="25"/>
      <c r="D755" s="25"/>
      <c r="E755" s="25"/>
      <c r="F755" s="23" t="str">
        <f t="shared" si="33"/>
        <v/>
      </c>
      <c r="G755" s="23" t="str">
        <f t="shared" si="34"/>
        <v/>
      </c>
      <c r="H755" s="23" t="str">
        <f t="shared" si="35"/>
        <v/>
      </c>
    </row>
    <row r="756" spans="1:8" x14ac:dyDescent="0.2">
      <c r="A756" s="22"/>
      <c r="B756" s="26"/>
      <c r="C756" s="25"/>
      <c r="D756" s="25"/>
      <c r="E756" s="25"/>
      <c r="F756" s="23" t="str">
        <f t="shared" si="33"/>
        <v/>
      </c>
      <c r="G756" s="23" t="str">
        <f t="shared" si="34"/>
        <v/>
      </c>
      <c r="H756" s="23" t="str">
        <f t="shared" si="35"/>
        <v/>
      </c>
    </row>
    <row r="757" spans="1:8" x14ac:dyDescent="0.2">
      <c r="A757" s="22"/>
      <c r="B757" s="26"/>
      <c r="C757" s="25"/>
      <c r="D757" s="25"/>
      <c r="E757" s="25"/>
      <c r="F757" s="23" t="str">
        <f t="shared" ref="F757:F820" si="36">IF(C757&lt;&gt;"",($J$23*C757+$K$23*D757+$L$23*E757)+$K$7,"")</f>
        <v/>
      </c>
      <c r="G757" s="23" t="str">
        <f t="shared" ref="G757:G820" si="37">IF(D757&lt;&gt;"",($J$24*C757+$K$24*D757+$L$24*E757)+$K$8,"")</f>
        <v/>
      </c>
      <c r="H757" s="23" t="str">
        <f t="shared" ref="H757:H820" si="38">IF(E757&lt;&gt;"",($J$25*C757+$K$25*D757+$L$25*E757)+$K$9,"")</f>
        <v/>
      </c>
    </row>
    <row r="758" spans="1:8" x14ac:dyDescent="0.2">
      <c r="A758" s="22"/>
      <c r="B758" s="26"/>
      <c r="C758" s="25"/>
      <c r="D758" s="25"/>
      <c r="E758" s="25"/>
      <c r="F758" s="23" t="str">
        <f t="shared" si="36"/>
        <v/>
      </c>
      <c r="G758" s="23" t="str">
        <f t="shared" si="37"/>
        <v/>
      </c>
      <c r="H758" s="23" t="str">
        <f t="shared" si="38"/>
        <v/>
      </c>
    </row>
    <row r="759" spans="1:8" x14ac:dyDescent="0.2">
      <c r="A759" s="22"/>
      <c r="B759" s="26"/>
      <c r="C759" s="25"/>
      <c r="D759" s="25"/>
      <c r="E759" s="25"/>
      <c r="F759" s="23" t="str">
        <f t="shared" si="36"/>
        <v/>
      </c>
      <c r="G759" s="23" t="str">
        <f t="shared" si="37"/>
        <v/>
      </c>
      <c r="H759" s="23" t="str">
        <f t="shared" si="38"/>
        <v/>
      </c>
    </row>
    <row r="760" spans="1:8" x14ac:dyDescent="0.2">
      <c r="A760" s="22"/>
      <c r="B760" s="26"/>
      <c r="C760" s="25"/>
      <c r="D760" s="25"/>
      <c r="E760" s="25"/>
      <c r="F760" s="23" t="str">
        <f t="shared" si="36"/>
        <v/>
      </c>
      <c r="G760" s="23" t="str">
        <f t="shared" si="37"/>
        <v/>
      </c>
      <c r="H760" s="23" t="str">
        <f t="shared" si="38"/>
        <v/>
      </c>
    </row>
    <row r="761" spans="1:8" x14ac:dyDescent="0.2">
      <c r="A761" s="22"/>
      <c r="B761" s="26"/>
      <c r="C761" s="25"/>
      <c r="D761" s="25"/>
      <c r="E761" s="25"/>
      <c r="F761" s="23" t="str">
        <f t="shared" si="36"/>
        <v/>
      </c>
      <c r="G761" s="23" t="str">
        <f t="shared" si="37"/>
        <v/>
      </c>
      <c r="H761" s="23" t="str">
        <f t="shared" si="38"/>
        <v/>
      </c>
    </row>
    <row r="762" spans="1:8" x14ac:dyDescent="0.2">
      <c r="A762" s="22"/>
      <c r="B762" s="26"/>
      <c r="C762" s="25"/>
      <c r="D762" s="25"/>
      <c r="E762" s="25"/>
      <c r="F762" s="23" t="str">
        <f t="shared" si="36"/>
        <v/>
      </c>
      <c r="G762" s="23" t="str">
        <f t="shared" si="37"/>
        <v/>
      </c>
      <c r="H762" s="23" t="str">
        <f t="shared" si="38"/>
        <v/>
      </c>
    </row>
    <row r="763" spans="1:8" x14ac:dyDescent="0.2">
      <c r="A763" s="22"/>
      <c r="B763" s="26"/>
      <c r="C763" s="25"/>
      <c r="D763" s="25"/>
      <c r="E763" s="25"/>
      <c r="F763" s="23" t="str">
        <f t="shared" si="36"/>
        <v/>
      </c>
      <c r="G763" s="23" t="str">
        <f t="shared" si="37"/>
        <v/>
      </c>
      <c r="H763" s="23" t="str">
        <f t="shared" si="38"/>
        <v/>
      </c>
    </row>
    <row r="764" spans="1:8" x14ac:dyDescent="0.2">
      <c r="A764" s="22"/>
      <c r="B764" s="26"/>
      <c r="C764" s="25"/>
      <c r="D764" s="25"/>
      <c r="E764" s="25"/>
      <c r="F764" s="23" t="str">
        <f t="shared" si="36"/>
        <v/>
      </c>
      <c r="G764" s="23" t="str">
        <f t="shared" si="37"/>
        <v/>
      </c>
      <c r="H764" s="23" t="str">
        <f t="shared" si="38"/>
        <v/>
      </c>
    </row>
    <row r="765" spans="1:8" x14ac:dyDescent="0.2">
      <c r="A765" s="22"/>
      <c r="B765" s="26"/>
      <c r="C765" s="25"/>
      <c r="D765" s="25"/>
      <c r="E765" s="25"/>
      <c r="F765" s="23" t="str">
        <f t="shared" si="36"/>
        <v/>
      </c>
      <c r="G765" s="23" t="str">
        <f t="shared" si="37"/>
        <v/>
      </c>
      <c r="H765" s="23" t="str">
        <f t="shared" si="38"/>
        <v/>
      </c>
    </row>
    <row r="766" spans="1:8" x14ac:dyDescent="0.2">
      <c r="A766" s="22"/>
      <c r="B766" s="26"/>
      <c r="C766" s="25"/>
      <c r="D766" s="25"/>
      <c r="E766" s="25"/>
      <c r="F766" s="23" t="str">
        <f t="shared" si="36"/>
        <v/>
      </c>
      <c r="G766" s="23" t="str">
        <f t="shared" si="37"/>
        <v/>
      </c>
      <c r="H766" s="23" t="str">
        <f t="shared" si="38"/>
        <v/>
      </c>
    </row>
    <row r="767" spans="1:8" x14ac:dyDescent="0.2">
      <c r="A767" s="22"/>
      <c r="B767" s="26"/>
      <c r="C767" s="25"/>
      <c r="D767" s="25"/>
      <c r="E767" s="25"/>
      <c r="F767" s="23" t="str">
        <f t="shared" si="36"/>
        <v/>
      </c>
      <c r="G767" s="23" t="str">
        <f t="shared" si="37"/>
        <v/>
      </c>
      <c r="H767" s="23" t="str">
        <f t="shared" si="38"/>
        <v/>
      </c>
    </row>
    <row r="768" spans="1:8" x14ac:dyDescent="0.2">
      <c r="A768" s="22"/>
      <c r="B768" s="26"/>
      <c r="C768" s="25"/>
      <c r="D768" s="25"/>
      <c r="E768" s="25"/>
      <c r="F768" s="23" t="str">
        <f t="shared" si="36"/>
        <v/>
      </c>
      <c r="G768" s="23" t="str">
        <f t="shared" si="37"/>
        <v/>
      </c>
      <c r="H768" s="23" t="str">
        <f t="shared" si="38"/>
        <v/>
      </c>
    </row>
    <row r="769" spans="1:8" x14ac:dyDescent="0.2">
      <c r="A769" s="22"/>
      <c r="B769" s="26"/>
      <c r="C769" s="25"/>
      <c r="D769" s="25"/>
      <c r="E769" s="25"/>
      <c r="F769" s="23" t="str">
        <f t="shared" si="36"/>
        <v/>
      </c>
      <c r="G769" s="23" t="str">
        <f t="shared" si="37"/>
        <v/>
      </c>
      <c r="H769" s="23" t="str">
        <f t="shared" si="38"/>
        <v/>
      </c>
    </row>
    <row r="770" spans="1:8" x14ac:dyDescent="0.2">
      <c r="A770" s="22"/>
      <c r="B770" s="26"/>
      <c r="C770" s="25"/>
      <c r="D770" s="25"/>
      <c r="E770" s="25"/>
      <c r="F770" s="23" t="str">
        <f t="shared" si="36"/>
        <v/>
      </c>
      <c r="G770" s="23" t="str">
        <f t="shared" si="37"/>
        <v/>
      </c>
      <c r="H770" s="23" t="str">
        <f t="shared" si="38"/>
        <v/>
      </c>
    </row>
    <row r="771" spans="1:8" x14ac:dyDescent="0.2">
      <c r="A771" s="22"/>
      <c r="B771" s="26"/>
      <c r="C771" s="25"/>
      <c r="D771" s="25"/>
      <c r="E771" s="25"/>
      <c r="F771" s="23" t="str">
        <f t="shared" si="36"/>
        <v/>
      </c>
      <c r="G771" s="23" t="str">
        <f t="shared" si="37"/>
        <v/>
      </c>
      <c r="H771" s="23" t="str">
        <f t="shared" si="38"/>
        <v/>
      </c>
    </row>
    <row r="772" spans="1:8" x14ac:dyDescent="0.2">
      <c r="A772" s="22"/>
      <c r="B772" s="26"/>
      <c r="C772" s="25"/>
      <c r="D772" s="25"/>
      <c r="E772" s="25"/>
      <c r="F772" s="23" t="str">
        <f t="shared" si="36"/>
        <v/>
      </c>
      <c r="G772" s="23" t="str">
        <f t="shared" si="37"/>
        <v/>
      </c>
      <c r="H772" s="23" t="str">
        <f t="shared" si="38"/>
        <v/>
      </c>
    </row>
    <row r="773" spans="1:8" x14ac:dyDescent="0.2">
      <c r="A773" s="22"/>
      <c r="B773" s="26"/>
      <c r="C773" s="25"/>
      <c r="D773" s="25"/>
      <c r="E773" s="25"/>
      <c r="F773" s="23" t="str">
        <f t="shared" si="36"/>
        <v/>
      </c>
      <c r="G773" s="23" t="str">
        <f t="shared" si="37"/>
        <v/>
      </c>
      <c r="H773" s="23" t="str">
        <f t="shared" si="38"/>
        <v/>
      </c>
    </row>
    <row r="774" spans="1:8" x14ac:dyDescent="0.2">
      <c r="A774" s="22"/>
      <c r="B774" s="26"/>
      <c r="C774" s="25"/>
      <c r="D774" s="25"/>
      <c r="E774" s="25"/>
      <c r="F774" s="23" t="str">
        <f t="shared" si="36"/>
        <v/>
      </c>
      <c r="G774" s="23" t="str">
        <f t="shared" si="37"/>
        <v/>
      </c>
      <c r="H774" s="23" t="str">
        <f t="shared" si="38"/>
        <v/>
      </c>
    </row>
    <row r="775" spans="1:8" x14ac:dyDescent="0.2">
      <c r="A775" s="22"/>
      <c r="B775" s="26"/>
      <c r="C775" s="25"/>
      <c r="D775" s="25"/>
      <c r="E775" s="25"/>
      <c r="F775" s="23" t="str">
        <f t="shared" si="36"/>
        <v/>
      </c>
      <c r="G775" s="23" t="str">
        <f t="shared" si="37"/>
        <v/>
      </c>
      <c r="H775" s="23" t="str">
        <f t="shared" si="38"/>
        <v/>
      </c>
    </row>
    <row r="776" spans="1:8" x14ac:dyDescent="0.2">
      <c r="A776" s="22"/>
      <c r="B776" s="26"/>
      <c r="C776" s="25"/>
      <c r="D776" s="25"/>
      <c r="E776" s="25"/>
      <c r="F776" s="23" t="str">
        <f t="shared" si="36"/>
        <v/>
      </c>
      <c r="G776" s="23" t="str">
        <f t="shared" si="37"/>
        <v/>
      </c>
      <c r="H776" s="23" t="str">
        <f t="shared" si="38"/>
        <v/>
      </c>
    </row>
    <row r="777" spans="1:8" x14ac:dyDescent="0.2">
      <c r="A777" s="22"/>
      <c r="B777" s="26"/>
      <c r="C777" s="25"/>
      <c r="D777" s="25"/>
      <c r="E777" s="25"/>
      <c r="F777" s="23" t="str">
        <f t="shared" si="36"/>
        <v/>
      </c>
      <c r="G777" s="23" t="str">
        <f t="shared" si="37"/>
        <v/>
      </c>
      <c r="H777" s="23" t="str">
        <f t="shared" si="38"/>
        <v/>
      </c>
    </row>
    <row r="778" spans="1:8" x14ac:dyDescent="0.2">
      <c r="A778" s="22"/>
      <c r="B778" s="26"/>
      <c r="C778" s="25"/>
      <c r="D778" s="25"/>
      <c r="E778" s="25"/>
      <c r="F778" s="23" t="str">
        <f t="shared" si="36"/>
        <v/>
      </c>
      <c r="G778" s="23" t="str">
        <f t="shared" si="37"/>
        <v/>
      </c>
      <c r="H778" s="23" t="str">
        <f t="shared" si="38"/>
        <v/>
      </c>
    </row>
    <row r="779" spans="1:8" x14ac:dyDescent="0.2">
      <c r="A779" s="22"/>
      <c r="B779" s="26"/>
      <c r="C779" s="25"/>
      <c r="D779" s="25"/>
      <c r="E779" s="25"/>
      <c r="F779" s="23" t="str">
        <f t="shared" si="36"/>
        <v/>
      </c>
      <c r="G779" s="23" t="str">
        <f t="shared" si="37"/>
        <v/>
      </c>
      <c r="H779" s="23" t="str">
        <f t="shared" si="38"/>
        <v/>
      </c>
    </row>
    <row r="780" spans="1:8" x14ac:dyDescent="0.2">
      <c r="A780" s="22"/>
      <c r="B780" s="26"/>
      <c r="C780" s="25"/>
      <c r="D780" s="25"/>
      <c r="E780" s="25"/>
      <c r="F780" s="23" t="str">
        <f t="shared" si="36"/>
        <v/>
      </c>
      <c r="G780" s="23" t="str">
        <f t="shared" si="37"/>
        <v/>
      </c>
      <c r="H780" s="23" t="str">
        <f t="shared" si="38"/>
        <v/>
      </c>
    </row>
    <row r="781" spans="1:8" x14ac:dyDescent="0.2">
      <c r="A781" s="22"/>
      <c r="B781" s="26"/>
      <c r="C781" s="25"/>
      <c r="D781" s="25"/>
      <c r="E781" s="25"/>
      <c r="F781" s="23" t="str">
        <f t="shared" si="36"/>
        <v/>
      </c>
      <c r="G781" s="23" t="str">
        <f t="shared" si="37"/>
        <v/>
      </c>
      <c r="H781" s="23" t="str">
        <f t="shared" si="38"/>
        <v/>
      </c>
    </row>
    <row r="782" spans="1:8" x14ac:dyDescent="0.2">
      <c r="A782" s="22"/>
      <c r="B782" s="26"/>
      <c r="C782" s="25"/>
      <c r="D782" s="25"/>
      <c r="E782" s="25"/>
      <c r="F782" s="23" t="str">
        <f t="shared" si="36"/>
        <v/>
      </c>
      <c r="G782" s="23" t="str">
        <f t="shared" si="37"/>
        <v/>
      </c>
      <c r="H782" s="23" t="str">
        <f t="shared" si="38"/>
        <v/>
      </c>
    </row>
    <row r="783" spans="1:8" x14ac:dyDescent="0.2">
      <c r="A783" s="22"/>
      <c r="B783" s="26"/>
      <c r="C783" s="25"/>
      <c r="D783" s="25"/>
      <c r="E783" s="25"/>
      <c r="F783" s="23" t="str">
        <f t="shared" si="36"/>
        <v/>
      </c>
      <c r="G783" s="23" t="str">
        <f t="shared" si="37"/>
        <v/>
      </c>
      <c r="H783" s="23" t="str">
        <f t="shared" si="38"/>
        <v/>
      </c>
    </row>
    <row r="784" spans="1:8" x14ac:dyDescent="0.2">
      <c r="A784" s="22"/>
      <c r="B784" s="26"/>
      <c r="C784" s="25"/>
      <c r="D784" s="25"/>
      <c r="E784" s="25"/>
      <c r="F784" s="23" t="str">
        <f t="shared" si="36"/>
        <v/>
      </c>
      <c r="G784" s="23" t="str">
        <f t="shared" si="37"/>
        <v/>
      </c>
      <c r="H784" s="23" t="str">
        <f t="shared" si="38"/>
        <v/>
      </c>
    </row>
    <row r="785" spans="1:8" x14ac:dyDescent="0.2">
      <c r="A785" s="22"/>
      <c r="B785" s="26"/>
      <c r="C785" s="25"/>
      <c r="D785" s="25"/>
      <c r="E785" s="25"/>
      <c r="F785" s="23" t="str">
        <f t="shared" si="36"/>
        <v/>
      </c>
      <c r="G785" s="23" t="str">
        <f t="shared" si="37"/>
        <v/>
      </c>
      <c r="H785" s="23" t="str">
        <f t="shared" si="38"/>
        <v/>
      </c>
    </row>
    <row r="786" spans="1:8" x14ac:dyDescent="0.2">
      <c r="A786" s="22"/>
      <c r="B786" s="26"/>
      <c r="C786" s="25"/>
      <c r="D786" s="25"/>
      <c r="E786" s="25"/>
      <c r="F786" s="23" t="str">
        <f t="shared" si="36"/>
        <v/>
      </c>
      <c r="G786" s="23" t="str">
        <f t="shared" si="37"/>
        <v/>
      </c>
      <c r="H786" s="23" t="str">
        <f t="shared" si="38"/>
        <v/>
      </c>
    </row>
    <row r="787" spans="1:8" x14ac:dyDescent="0.2">
      <c r="A787" s="22"/>
      <c r="B787" s="26"/>
      <c r="C787" s="25"/>
      <c r="D787" s="25"/>
      <c r="E787" s="25"/>
      <c r="F787" s="23" t="str">
        <f t="shared" si="36"/>
        <v/>
      </c>
      <c r="G787" s="23" t="str">
        <f t="shared" si="37"/>
        <v/>
      </c>
      <c r="H787" s="23" t="str">
        <f t="shared" si="38"/>
        <v/>
      </c>
    </row>
    <row r="788" spans="1:8" x14ac:dyDescent="0.2">
      <c r="A788" s="22"/>
      <c r="B788" s="26"/>
      <c r="C788" s="25"/>
      <c r="D788" s="25"/>
      <c r="E788" s="25"/>
      <c r="F788" s="23" t="str">
        <f t="shared" si="36"/>
        <v/>
      </c>
      <c r="G788" s="23" t="str">
        <f t="shared" si="37"/>
        <v/>
      </c>
      <c r="H788" s="23" t="str">
        <f t="shared" si="38"/>
        <v/>
      </c>
    </row>
    <row r="789" spans="1:8" x14ac:dyDescent="0.2">
      <c r="A789" s="22"/>
      <c r="B789" s="26"/>
      <c r="C789" s="25"/>
      <c r="D789" s="25"/>
      <c r="E789" s="25"/>
      <c r="F789" s="23" t="str">
        <f t="shared" si="36"/>
        <v/>
      </c>
      <c r="G789" s="23" t="str">
        <f t="shared" si="37"/>
        <v/>
      </c>
      <c r="H789" s="23" t="str">
        <f t="shared" si="38"/>
        <v/>
      </c>
    </row>
    <row r="790" spans="1:8" x14ac:dyDescent="0.2">
      <c r="A790" s="22"/>
      <c r="B790" s="26"/>
      <c r="C790" s="25"/>
      <c r="D790" s="25"/>
      <c r="E790" s="25"/>
      <c r="F790" s="23" t="str">
        <f t="shared" si="36"/>
        <v/>
      </c>
      <c r="G790" s="23" t="str">
        <f t="shared" si="37"/>
        <v/>
      </c>
      <c r="H790" s="23" t="str">
        <f t="shared" si="38"/>
        <v/>
      </c>
    </row>
    <row r="791" spans="1:8" x14ac:dyDescent="0.2">
      <c r="A791" s="22"/>
      <c r="B791" s="26"/>
      <c r="C791" s="25"/>
      <c r="D791" s="25"/>
      <c r="E791" s="25"/>
      <c r="F791" s="23" t="str">
        <f t="shared" si="36"/>
        <v/>
      </c>
      <c r="G791" s="23" t="str">
        <f t="shared" si="37"/>
        <v/>
      </c>
      <c r="H791" s="23" t="str">
        <f t="shared" si="38"/>
        <v/>
      </c>
    </row>
    <row r="792" spans="1:8" x14ac:dyDescent="0.2">
      <c r="A792" s="22"/>
      <c r="B792" s="26"/>
      <c r="C792" s="25"/>
      <c r="D792" s="25"/>
      <c r="E792" s="25"/>
      <c r="F792" s="23" t="str">
        <f t="shared" si="36"/>
        <v/>
      </c>
      <c r="G792" s="23" t="str">
        <f t="shared" si="37"/>
        <v/>
      </c>
      <c r="H792" s="23" t="str">
        <f t="shared" si="38"/>
        <v/>
      </c>
    </row>
    <row r="793" spans="1:8" x14ac:dyDescent="0.2">
      <c r="A793" s="22"/>
      <c r="B793" s="26"/>
      <c r="C793" s="25"/>
      <c r="D793" s="25"/>
      <c r="E793" s="25"/>
      <c r="F793" s="23" t="str">
        <f t="shared" si="36"/>
        <v/>
      </c>
      <c r="G793" s="23" t="str">
        <f t="shared" si="37"/>
        <v/>
      </c>
      <c r="H793" s="23" t="str">
        <f t="shared" si="38"/>
        <v/>
      </c>
    </row>
    <row r="794" spans="1:8" x14ac:dyDescent="0.2">
      <c r="A794" s="22"/>
      <c r="B794" s="26"/>
      <c r="C794" s="25"/>
      <c r="D794" s="25"/>
      <c r="E794" s="25"/>
      <c r="F794" s="23" t="str">
        <f t="shared" si="36"/>
        <v/>
      </c>
      <c r="G794" s="23" t="str">
        <f t="shared" si="37"/>
        <v/>
      </c>
      <c r="H794" s="23" t="str">
        <f t="shared" si="38"/>
        <v/>
      </c>
    </row>
    <row r="795" spans="1:8" x14ac:dyDescent="0.2">
      <c r="A795" s="22"/>
      <c r="B795" s="26"/>
      <c r="C795" s="25"/>
      <c r="D795" s="25"/>
      <c r="E795" s="25"/>
      <c r="F795" s="23" t="str">
        <f t="shared" si="36"/>
        <v/>
      </c>
      <c r="G795" s="23" t="str">
        <f t="shared" si="37"/>
        <v/>
      </c>
      <c r="H795" s="23" t="str">
        <f t="shared" si="38"/>
        <v/>
      </c>
    </row>
    <row r="796" spans="1:8" x14ac:dyDescent="0.2">
      <c r="A796" s="22"/>
      <c r="B796" s="26"/>
      <c r="C796" s="25"/>
      <c r="D796" s="25"/>
      <c r="E796" s="25"/>
      <c r="F796" s="23" t="str">
        <f t="shared" si="36"/>
        <v/>
      </c>
      <c r="G796" s="23" t="str">
        <f t="shared" si="37"/>
        <v/>
      </c>
      <c r="H796" s="23" t="str">
        <f t="shared" si="38"/>
        <v/>
      </c>
    </row>
    <row r="797" spans="1:8" x14ac:dyDescent="0.2">
      <c r="A797" s="22"/>
      <c r="B797" s="26"/>
      <c r="C797" s="25"/>
      <c r="D797" s="25"/>
      <c r="E797" s="25"/>
      <c r="F797" s="23" t="str">
        <f t="shared" si="36"/>
        <v/>
      </c>
      <c r="G797" s="23" t="str">
        <f t="shared" si="37"/>
        <v/>
      </c>
      <c r="H797" s="23" t="str">
        <f t="shared" si="38"/>
        <v/>
      </c>
    </row>
    <row r="798" spans="1:8" x14ac:dyDescent="0.2">
      <c r="A798" s="22"/>
      <c r="B798" s="26"/>
      <c r="C798" s="25"/>
      <c r="D798" s="25"/>
      <c r="E798" s="25"/>
      <c r="F798" s="23" t="str">
        <f t="shared" si="36"/>
        <v/>
      </c>
      <c r="G798" s="23" t="str">
        <f t="shared" si="37"/>
        <v/>
      </c>
      <c r="H798" s="23" t="str">
        <f t="shared" si="38"/>
        <v/>
      </c>
    </row>
    <row r="799" spans="1:8" x14ac:dyDescent="0.2">
      <c r="A799" s="22"/>
      <c r="B799" s="26"/>
      <c r="C799" s="25"/>
      <c r="D799" s="25"/>
      <c r="E799" s="25"/>
      <c r="F799" s="23" t="str">
        <f t="shared" si="36"/>
        <v/>
      </c>
      <c r="G799" s="23" t="str">
        <f t="shared" si="37"/>
        <v/>
      </c>
      <c r="H799" s="23" t="str">
        <f t="shared" si="38"/>
        <v/>
      </c>
    </row>
    <row r="800" spans="1:8" x14ac:dyDescent="0.2">
      <c r="A800" s="22"/>
      <c r="B800" s="26"/>
      <c r="C800" s="25"/>
      <c r="D800" s="25"/>
      <c r="E800" s="25"/>
      <c r="F800" s="23" t="str">
        <f t="shared" si="36"/>
        <v/>
      </c>
      <c r="G800" s="23" t="str">
        <f t="shared" si="37"/>
        <v/>
      </c>
      <c r="H800" s="23" t="str">
        <f t="shared" si="38"/>
        <v/>
      </c>
    </row>
    <row r="801" spans="1:8" x14ac:dyDescent="0.2">
      <c r="A801" s="22"/>
      <c r="B801" s="26"/>
      <c r="C801" s="25"/>
      <c r="D801" s="25"/>
      <c r="E801" s="25"/>
      <c r="F801" s="23" t="str">
        <f t="shared" si="36"/>
        <v/>
      </c>
      <c r="G801" s="23" t="str">
        <f t="shared" si="37"/>
        <v/>
      </c>
      <c r="H801" s="23" t="str">
        <f t="shared" si="38"/>
        <v/>
      </c>
    </row>
    <row r="802" spans="1:8" x14ac:dyDescent="0.2">
      <c r="A802" s="22"/>
      <c r="B802" s="26"/>
      <c r="C802" s="25"/>
      <c r="D802" s="25"/>
      <c r="E802" s="25"/>
      <c r="F802" s="23" t="str">
        <f t="shared" si="36"/>
        <v/>
      </c>
      <c r="G802" s="23" t="str">
        <f t="shared" si="37"/>
        <v/>
      </c>
      <c r="H802" s="23" t="str">
        <f t="shared" si="38"/>
        <v/>
      </c>
    </row>
    <row r="803" spans="1:8" x14ac:dyDescent="0.2">
      <c r="A803" s="22"/>
      <c r="B803" s="26"/>
      <c r="C803" s="25"/>
      <c r="D803" s="25"/>
      <c r="E803" s="25"/>
      <c r="F803" s="23" t="str">
        <f t="shared" si="36"/>
        <v/>
      </c>
      <c r="G803" s="23" t="str">
        <f t="shared" si="37"/>
        <v/>
      </c>
      <c r="H803" s="23" t="str">
        <f t="shared" si="38"/>
        <v/>
      </c>
    </row>
    <row r="804" spans="1:8" x14ac:dyDescent="0.2">
      <c r="A804" s="22"/>
      <c r="B804" s="26"/>
      <c r="C804" s="25"/>
      <c r="D804" s="25"/>
      <c r="E804" s="25"/>
      <c r="F804" s="23" t="str">
        <f t="shared" si="36"/>
        <v/>
      </c>
      <c r="G804" s="23" t="str">
        <f t="shared" si="37"/>
        <v/>
      </c>
      <c r="H804" s="23" t="str">
        <f t="shared" si="38"/>
        <v/>
      </c>
    </row>
    <row r="805" spans="1:8" x14ac:dyDescent="0.2">
      <c r="A805" s="22"/>
      <c r="B805" s="26"/>
      <c r="C805" s="25"/>
      <c r="D805" s="25"/>
      <c r="E805" s="25"/>
      <c r="F805" s="23" t="str">
        <f t="shared" si="36"/>
        <v/>
      </c>
      <c r="G805" s="23" t="str">
        <f t="shared" si="37"/>
        <v/>
      </c>
      <c r="H805" s="23" t="str">
        <f t="shared" si="38"/>
        <v/>
      </c>
    </row>
    <row r="806" spans="1:8" x14ac:dyDescent="0.2">
      <c r="A806" s="22"/>
      <c r="B806" s="26"/>
      <c r="C806" s="25"/>
      <c r="D806" s="25"/>
      <c r="E806" s="25"/>
      <c r="F806" s="23" t="str">
        <f t="shared" si="36"/>
        <v/>
      </c>
      <c r="G806" s="23" t="str">
        <f t="shared" si="37"/>
        <v/>
      </c>
      <c r="H806" s="23" t="str">
        <f t="shared" si="38"/>
        <v/>
      </c>
    </row>
    <row r="807" spans="1:8" x14ac:dyDescent="0.2">
      <c r="A807" s="22"/>
      <c r="B807" s="26"/>
      <c r="C807" s="25"/>
      <c r="D807" s="25"/>
      <c r="E807" s="25"/>
      <c r="F807" s="23" t="str">
        <f t="shared" si="36"/>
        <v/>
      </c>
      <c r="G807" s="23" t="str">
        <f t="shared" si="37"/>
        <v/>
      </c>
      <c r="H807" s="23" t="str">
        <f t="shared" si="38"/>
        <v/>
      </c>
    </row>
    <row r="808" spans="1:8" x14ac:dyDescent="0.2">
      <c r="A808" s="22"/>
      <c r="B808" s="26"/>
      <c r="C808" s="25"/>
      <c r="D808" s="25"/>
      <c r="E808" s="25"/>
      <c r="F808" s="23" t="str">
        <f t="shared" si="36"/>
        <v/>
      </c>
      <c r="G808" s="23" t="str">
        <f t="shared" si="37"/>
        <v/>
      </c>
      <c r="H808" s="23" t="str">
        <f t="shared" si="38"/>
        <v/>
      </c>
    </row>
    <row r="809" spans="1:8" x14ac:dyDescent="0.2">
      <c r="A809" s="22"/>
      <c r="B809" s="26"/>
      <c r="C809" s="25"/>
      <c r="D809" s="25"/>
      <c r="E809" s="25"/>
      <c r="F809" s="23" t="str">
        <f t="shared" si="36"/>
        <v/>
      </c>
      <c r="G809" s="23" t="str">
        <f t="shared" si="37"/>
        <v/>
      </c>
      <c r="H809" s="23" t="str">
        <f t="shared" si="38"/>
        <v/>
      </c>
    </row>
    <row r="810" spans="1:8" x14ac:dyDescent="0.2">
      <c r="A810" s="22"/>
      <c r="B810" s="26"/>
      <c r="C810" s="25"/>
      <c r="D810" s="25"/>
      <c r="E810" s="25"/>
      <c r="F810" s="23" t="str">
        <f t="shared" si="36"/>
        <v/>
      </c>
      <c r="G810" s="23" t="str">
        <f t="shared" si="37"/>
        <v/>
      </c>
      <c r="H810" s="23" t="str">
        <f t="shared" si="38"/>
        <v/>
      </c>
    </row>
    <row r="811" spans="1:8" x14ac:dyDescent="0.2">
      <c r="A811" s="22"/>
      <c r="B811" s="26"/>
      <c r="C811" s="25"/>
      <c r="D811" s="25"/>
      <c r="E811" s="25"/>
      <c r="F811" s="23" t="str">
        <f t="shared" si="36"/>
        <v/>
      </c>
      <c r="G811" s="23" t="str">
        <f t="shared" si="37"/>
        <v/>
      </c>
      <c r="H811" s="23" t="str">
        <f t="shared" si="38"/>
        <v/>
      </c>
    </row>
    <row r="812" spans="1:8" x14ac:dyDescent="0.2">
      <c r="A812" s="22"/>
      <c r="B812" s="26"/>
      <c r="C812" s="25"/>
      <c r="D812" s="25"/>
      <c r="E812" s="25"/>
      <c r="F812" s="23" t="str">
        <f t="shared" si="36"/>
        <v/>
      </c>
      <c r="G812" s="23" t="str">
        <f t="shared" si="37"/>
        <v/>
      </c>
      <c r="H812" s="23" t="str">
        <f t="shared" si="38"/>
        <v/>
      </c>
    </row>
    <row r="813" spans="1:8" x14ac:dyDescent="0.2">
      <c r="A813" s="22"/>
      <c r="B813" s="26"/>
      <c r="C813" s="25"/>
      <c r="D813" s="25"/>
      <c r="E813" s="25"/>
      <c r="F813" s="23" t="str">
        <f t="shared" si="36"/>
        <v/>
      </c>
      <c r="G813" s="23" t="str">
        <f t="shared" si="37"/>
        <v/>
      </c>
      <c r="H813" s="23" t="str">
        <f t="shared" si="38"/>
        <v/>
      </c>
    </row>
    <row r="814" spans="1:8" x14ac:dyDescent="0.2">
      <c r="A814" s="22"/>
      <c r="B814" s="26"/>
      <c r="C814" s="25"/>
      <c r="D814" s="25"/>
      <c r="E814" s="25"/>
      <c r="F814" s="23" t="str">
        <f t="shared" si="36"/>
        <v/>
      </c>
      <c r="G814" s="23" t="str">
        <f t="shared" si="37"/>
        <v/>
      </c>
      <c r="H814" s="23" t="str">
        <f t="shared" si="38"/>
        <v/>
      </c>
    </row>
    <row r="815" spans="1:8" x14ac:dyDescent="0.2">
      <c r="A815" s="22"/>
      <c r="B815" s="26"/>
      <c r="C815" s="25"/>
      <c r="D815" s="25"/>
      <c r="E815" s="25"/>
      <c r="F815" s="23" t="str">
        <f t="shared" si="36"/>
        <v/>
      </c>
      <c r="G815" s="23" t="str">
        <f t="shared" si="37"/>
        <v/>
      </c>
      <c r="H815" s="23" t="str">
        <f t="shared" si="38"/>
        <v/>
      </c>
    </row>
    <row r="816" spans="1:8" x14ac:dyDescent="0.2">
      <c r="A816" s="22"/>
      <c r="B816" s="26"/>
      <c r="C816" s="25"/>
      <c r="D816" s="25"/>
      <c r="E816" s="25"/>
      <c r="F816" s="23" t="str">
        <f t="shared" si="36"/>
        <v/>
      </c>
      <c r="G816" s="23" t="str">
        <f t="shared" si="37"/>
        <v/>
      </c>
      <c r="H816" s="23" t="str">
        <f t="shared" si="38"/>
        <v/>
      </c>
    </row>
    <row r="817" spans="1:8" x14ac:dyDescent="0.2">
      <c r="A817" s="22"/>
      <c r="B817" s="26"/>
      <c r="C817" s="25"/>
      <c r="D817" s="25"/>
      <c r="E817" s="25"/>
      <c r="F817" s="23" t="str">
        <f t="shared" si="36"/>
        <v/>
      </c>
      <c r="G817" s="23" t="str">
        <f t="shared" si="37"/>
        <v/>
      </c>
      <c r="H817" s="23" t="str">
        <f t="shared" si="38"/>
        <v/>
      </c>
    </row>
    <row r="818" spans="1:8" x14ac:dyDescent="0.2">
      <c r="A818" s="22"/>
      <c r="B818" s="26"/>
      <c r="C818" s="25"/>
      <c r="D818" s="25"/>
      <c r="E818" s="25"/>
      <c r="F818" s="23" t="str">
        <f t="shared" si="36"/>
        <v/>
      </c>
      <c r="G818" s="23" t="str">
        <f t="shared" si="37"/>
        <v/>
      </c>
      <c r="H818" s="23" t="str">
        <f t="shared" si="38"/>
        <v/>
      </c>
    </row>
    <row r="819" spans="1:8" x14ac:dyDescent="0.2">
      <c r="A819" s="22"/>
      <c r="B819" s="26"/>
      <c r="C819" s="25"/>
      <c r="D819" s="25"/>
      <c r="E819" s="25"/>
      <c r="F819" s="23" t="str">
        <f t="shared" si="36"/>
        <v/>
      </c>
      <c r="G819" s="23" t="str">
        <f t="shared" si="37"/>
        <v/>
      </c>
      <c r="H819" s="23" t="str">
        <f t="shared" si="38"/>
        <v/>
      </c>
    </row>
    <row r="820" spans="1:8" x14ac:dyDescent="0.2">
      <c r="A820" s="22"/>
      <c r="B820" s="26"/>
      <c r="C820" s="25"/>
      <c r="D820" s="25"/>
      <c r="E820" s="25"/>
      <c r="F820" s="23" t="str">
        <f t="shared" si="36"/>
        <v/>
      </c>
      <c r="G820" s="23" t="str">
        <f t="shared" si="37"/>
        <v/>
      </c>
      <c r="H820" s="23" t="str">
        <f t="shared" si="38"/>
        <v/>
      </c>
    </row>
    <row r="821" spans="1:8" x14ac:dyDescent="0.2">
      <c r="A821" s="22"/>
      <c r="B821" s="26"/>
      <c r="C821" s="25"/>
      <c r="D821" s="25"/>
      <c r="E821" s="25"/>
      <c r="F821" s="23" t="str">
        <f t="shared" ref="F821:F884" si="39">IF(C821&lt;&gt;"",($J$23*C821+$K$23*D821+$L$23*E821)+$K$7,"")</f>
        <v/>
      </c>
      <c r="G821" s="23" t="str">
        <f t="shared" ref="G821:G884" si="40">IF(D821&lt;&gt;"",($J$24*C821+$K$24*D821+$L$24*E821)+$K$8,"")</f>
        <v/>
      </c>
      <c r="H821" s="23" t="str">
        <f t="shared" ref="H821:H884" si="41">IF(E821&lt;&gt;"",($J$25*C821+$K$25*D821+$L$25*E821)+$K$9,"")</f>
        <v/>
      </c>
    </row>
    <row r="822" spans="1:8" x14ac:dyDescent="0.2">
      <c r="A822" s="22"/>
      <c r="B822" s="26"/>
      <c r="C822" s="25"/>
      <c r="D822" s="25"/>
      <c r="E822" s="25"/>
      <c r="F822" s="23" t="str">
        <f t="shared" si="39"/>
        <v/>
      </c>
      <c r="G822" s="23" t="str">
        <f t="shared" si="40"/>
        <v/>
      </c>
      <c r="H822" s="23" t="str">
        <f t="shared" si="41"/>
        <v/>
      </c>
    </row>
    <row r="823" spans="1:8" x14ac:dyDescent="0.2">
      <c r="A823" s="22"/>
      <c r="B823" s="26"/>
      <c r="C823" s="25"/>
      <c r="D823" s="25"/>
      <c r="E823" s="25"/>
      <c r="F823" s="23" t="str">
        <f t="shared" si="39"/>
        <v/>
      </c>
      <c r="G823" s="23" t="str">
        <f t="shared" si="40"/>
        <v/>
      </c>
      <c r="H823" s="23" t="str">
        <f t="shared" si="41"/>
        <v/>
      </c>
    </row>
    <row r="824" spans="1:8" x14ac:dyDescent="0.2">
      <c r="A824" s="22"/>
      <c r="B824" s="26"/>
      <c r="C824" s="25"/>
      <c r="D824" s="25"/>
      <c r="E824" s="25"/>
      <c r="F824" s="23" t="str">
        <f t="shared" si="39"/>
        <v/>
      </c>
      <c r="G824" s="23" t="str">
        <f t="shared" si="40"/>
        <v/>
      </c>
      <c r="H824" s="23" t="str">
        <f t="shared" si="41"/>
        <v/>
      </c>
    </row>
    <row r="825" spans="1:8" x14ac:dyDescent="0.2">
      <c r="A825" s="22"/>
      <c r="B825" s="26"/>
      <c r="C825" s="25"/>
      <c r="D825" s="25"/>
      <c r="E825" s="25"/>
      <c r="F825" s="23" t="str">
        <f t="shared" si="39"/>
        <v/>
      </c>
      <c r="G825" s="23" t="str">
        <f t="shared" si="40"/>
        <v/>
      </c>
      <c r="H825" s="23" t="str">
        <f t="shared" si="41"/>
        <v/>
      </c>
    </row>
    <row r="826" spans="1:8" x14ac:dyDescent="0.2">
      <c r="A826" s="22"/>
      <c r="B826" s="26"/>
      <c r="C826" s="25"/>
      <c r="D826" s="25"/>
      <c r="E826" s="25"/>
      <c r="F826" s="23" t="str">
        <f t="shared" si="39"/>
        <v/>
      </c>
      <c r="G826" s="23" t="str">
        <f t="shared" si="40"/>
        <v/>
      </c>
      <c r="H826" s="23" t="str">
        <f t="shared" si="41"/>
        <v/>
      </c>
    </row>
    <row r="827" spans="1:8" x14ac:dyDescent="0.2">
      <c r="A827" s="22"/>
      <c r="B827" s="26"/>
      <c r="C827" s="25"/>
      <c r="D827" s="25"/>
      <c r="E827" s="25"/>
      <c r="F827" s="23" t="str">
        <f t="shared" si="39"/>
        <v/>
      </c>
      <c r="G827" s="23" t="str">
        <f t="shared" si="40"/>
        <v/>
      </c>
      <c r="H827" s="23" t="str">
        <f t="shared" si="41"/>
        <v/>
      </c>
    </row>
    <row r="828" spans="1:8" x14ac:dyDescent="0.2">
      <c r="A828" s="22"/>
      <c r="B828" s="26"/>
      <c r="C828" s="25"/>
      <c r="D828" s="25"/>
      <c r="E828" s="25"/>
      <c r="F828" s="23" t="str">
        <f t="shared" si="39"/>
        <v/>
      </c>
      <c r="G828" s="23" t="str">
        <f t="shared" si="40"/>
        <v/>
      </c>
      <c r="H828" s="23" t="str">
        <f t="shared" si="41"/>
        <v/>
      </c>
    </row>
    <row r="829" spans="1:8" x14ac:dyDescent="0.2">
      <c r="A829" s="22"/>
      <c r="B829" s="26"/>
      <c r="C829" s="25"/>
      <c r="D829" s="25"/>
      <c r="E829" s="25"/>
      <c r="F829" s="23" t="str">
        <f t="shared" si="39"/>
        <v/>
      </c>
      <c r="G829" s="23" t="str">
        <f t="shared" si="40"/>
        <v/>
      </c>
      <c r="H829" s="23" t="str">
        <f t="shared" si="41"/>
        <v/>
      </c>
    </row>
    <row r="830" spans="1:8" x14ac:dyDescent="0.2">
      <c r="A830" s="22"/>
      <c r="B830" s="26"/>
      <c r="C830" s="25"/>
      <c r="D830" s="25"/>
      <c r="E830" s="25"/>
      <c r="F830" s="23" t="str">
        <f t="shared" si="39"/>
        <v/>
      </c>
      <c r="G830" s="23" t="str">
        <f t="shared" si="40"/>
        <v/>
      </c>
      <c r="H830" s="23" t="str">
        <f t="shared" si="41"/>
        <v/>
      </c>
    </row>
    <row r="831" spans="1:8" x14ac:dyDescent="0.2">
      <c r="A831" s="22"/>
      <c r="B831" s="26"/>
      <c r="C831" s="25"/>
      <c r="D831" s="25"/>
      <c r="E831" s="25"/>
      <c r="F831" s="23" t="str">
        <f t="shared" si="39"/>
        <v/>
      </c>
      <c r="G831" s="23" t="str">
        <f t="shared" si="40"/>
        <v/>
      </c>
      <c r="H831" s="23" t="str">
        <f t="shared" si="41"/>
        <v/>
      </c>
    </row>
    <row r="832" spans="1:8" x14ac:dyDescent="0.2">
      <c r="A832" s="22"/>
      <c r="B832" s="26"/>
      <c r="C832" s="25"/>
      <c r="D832" s="25"/>
      <c r="E832" s="25"/>
      <c r="F832" s="23" t="str">
        <f t="shared" si="39"/>
        <v/>
      </c>
      <c r="G832" s="23" t="str">
        <f t="shared" si="40"/>
        <v/>
      </c>
      <c r="H832" s="23" t="str">
        <f t="shared" si="41"/>
        <v/>
      </c>
    </row>
    <row r="833" spans="1:8" x14ac:dyDescent="0.2">
      <c r="A833" s="22"/>
      <c r="B833" s="26"/>
      <c r="C833" s="25"/>
      <c r="D833" s="25"/>
      <c r="E833" s="25"/>
      <c r="F833" s="23" t="str">
        <f t="shared" si="39"/>
        <v/>
      </c>
      <c r="G833" s="23" t="str">
        <f t="shared" si="40"/>
        <v/>
      </c>
      <c r="H833" s="23" t="str">
        <f t="shared" si="41"/>
        <v/>
      </c>
    </row>
    <row r="834" spans="1:8" x14ac:dyDescent="0.2">
      <c r="A834" s="22"/>
      <c r="B834" s="26"/>
      <c r="C834" s="25"/>
      <c r="D834" s="25"/>
      <c r="E834" s="25"/>
      <c r="F834" s="23" t="str">
        <f t="shared" si="39"/>
        <v/>
      </c>
      <c r="G834" s="23" t="str">
        <f t="shared" si="40"/>
        <v/>
      </c>
      <c r="H834" s="23" t="str">
        <f t="shared" si="41"/>
        <v/>
      </c>
    </row>
    <row r="835" spans="1:8" x14ac:dyDescent="0.2">
      <c r="A835" s="22"/>
      <c r="B835" s="26"/>
      <c r="C835" s="25"/>
      <c r="D835" s="25"/>
      <c r="E835" s="25"/>
      <c r="F835" s="23" t="str">
        <f t="shared" si="39"/>
        <v/>
      </c>
      <c r="G835" s="23" t="str">
        <f t="shared" si="40"/>
        <v/>
      </c>
      <c r="H835" s="23" t="str">
        <f t="shared" si="41"/>
        <v/>
      </c>
    </row>
    <row r="836" spans="1:8" x14ac:dyDescent="0.2">
      <c r="A836" s="22"/>
      <c r="B836" s="26"/>
      <c r="C836" s="25"/>
      <c r="D836" s="25"/>
      <c r="E836" s="25"/>
      <c r="F836" s="23" t="str">
        <f t="shared" si="39"/>
        <v/>
      </c>
      <c r="G836" s="23" t="str">
        <f t="shared" si="40"/>
        <v/>
      </c>
      <c r="H836" s="23" t="str">
        <f t="shared" si="41"/>
        <v/>
      </c>
    </row>
    <row r="837" spans="1:8" x14ac:dyDescent="0.2">
      <c r="A837" s="22"/>
      <c r="B837" s="26"/>
      <c r="C837" s="25"/>
      <c r="D837" s="25"/>
      <c r="E837" s="25"/>
      <c r="F837" s="23" t="str">
        <f t="shared" si="39"/>
        <v/>
      </c>
      <c r="G837" s="23" t="str">
        <f t="shared" si="40"/>
        <v/>
      </c>
      <c r="H837" s="23" t="str">
        <f t="shared" si="41"/>
        <v/>
      </c>
    </row>
    <row r="838" spans="1:8" x14ac:dyDescent="0.2">
      <c r="A838" s="22"/>
      <c r="B838" s="26"/>
      <c r="C838" s="25"/>
      <c r="D838" s="25"/>
      <c r="E838" s="25"/>
      <c r="F838" s="23" t="str">
        <f t="shared" si="39"/>
        <v/>
      </c>
      <c r="G838" s="23" t="str">
        <f t="shared" si="40"/>
        <v/>
      </c>
      <c r="H838" s="23" t="str">
        <f t="shared" si="41"/>
        <v/>
      </c>
    </row>
    <row r="839" spans="1:8" x14ac:dyDescent="0.2">
      <c r="A839" s="22"/>
      <c r="B839" s="26"/>
      <c r="C839" s="25"/>
      <c r="D839" s="25"/>
      <c r="E839" s="25"/>
      <c r="F839" s="23" t="str">
        <f t="shared" si="39"/>
        <v/>
      </c>
      <c r="G839" s="23" t="str">
        <f t="shared" si="40"/>
        <v/>
      </c>
      <c r="H839" s="23" t="str">
        <f t="shared" si="41"/>
        <v/>
      </c>
    </row>
    <row r="840" spans="1:8" x14ac:dyDescent="0.2">
      <c r="A840" s="22"/>
      <c r="B840" s="26"/>
      <c r="C840" s="25"/>
      <c r="D840" s="25"/>
      <c r="E840" s="25"/>
      <c r="F840" s="23" t="str">
        <f t="shared" si="39"/>
        <v/>
      </c>
      <c r="G840" s="23" t="str">
        <f t="shared" si="40"/>
        <v/>
      </c>
      <c r="H840" s="23" t="str">
        <f t="shared" si="41"/>
        <v/>
      </c>
    </row>
    <row r="841" spans="1:8" x14ac:dyDescent="0.2">
      <c r="A841" s="22"/>
      <c r="B841" s="26"/>
      <c r="C841" s="25"/>
      <c r="D841" s="25"/>
      <c r="E841" s="25"/>
      <c r="F841" s="23" t="str">
        <f t="shared" si="39"/>
        <v/>
      </c>
      <c r="G841" s="23" t="str">
        <f t="shared" si="40"/>
        <v/>
      </c>
      <c r="H841" s="23" t="str">
        <f t="shared" si="41"/>
        <v/>
      </c>
    </row>
    <row r="842" spans="1:8" x14ac:dyDescent="0.2">
      <c r="A842" s="22"/>
      <c r="B842" s="26"/>
      <c r="C842" s="25"/>
      <c r="D842" s="25"/>
      <c r="E842" s="25"/>
      <c r="F842" s="23" t="str">
        <f t="shared" si="39"/>
        <v/>
      </c>
      <c r="G842" s="23" t="str">
        <f t="shared" si="40"/>
        <v/>
      </c>
      <c r="H842" s="23" t="str">
        <f t="shared" si="41"/>
        <v/>
      </c>
    </row>
    <row r="843" spans="1:8" x14ac:dyDescent="0.2">
      <c r="A843" s="22"/>
      <c r="B843" s="26"/>
      <c r="C843" s="25"/>
      <c r="D843" s="25"/>
      <c r="E843" s="25"/>
      <c r="F843" s="23" t="str">
        <f t="shared" si="39"/>
        <v/>
      </c>
      <c r="G843" s="23" t="str">
        <f t="shared" si="40"/>
        <v/>
      </c>
      <c r="H843" s="23" t="str">
        <f t="shared" si="41"/>
        <v/>
      </c>
    </row>
    <row r="844" spans="1:8" x14ac:dyDescent="0.2">
      <c r="A844" s="22"/>
      <c r="B844" s="26"/>
      <c r="C844" s="25"/>
      <c r="D844" s="25"/>
      <c r="E844" s="25"/>
      <c r="F844" s="23" t="str">
        <f t="shared" si="39"/>
        <v/>
      </c>
      <c r="G844" s="23" t="str">
        <f t="shared" si="40"/>
        <v/>
      </c>
      <c r="H844" s="23" t="str">
        <f t="shared" si="41"/>
        <v/>
      </c>
    </row>
    <row r="845" spans="1:8" x14ac:dyDescent="0.2">
      <c r="A845" s="22"/>
      <c r="B845" s="26"/>
      <c r="C845" s="25"/>
      <c r="D845" s="25"/>
      <c r="E845" s="25"/>
      <c r="F845" s="23" t="str">
        <f t="shared" si="39"/>
        <v/>
      </c>
      <c r="G845" s="23" t="str">
        <f t="shared" si="40"/>
        <v/>
      </c>
      <c r="H845" s="23" t="str">
        <f t="shared" si="41"/>
        <v/>
      </c>
    </row>
    <row r="846" spans="1:8" x14ac:dyDescent="0.2">
      <c r="A846" s="22"/>
      <c r="B846" s="26"/>
      <c r="C846" s="25"/>
      <c r="D846" s="25"/>
      <c r="E846" s="25"/>
      <c r="F846" s="23" t="str">
        <f t="shared" si="39"/>
        <v/>
      </c>
      <c r="G846" s="23" t="str">
        <f t="shared" si="40"/>
        <v/>
      </c>
      <c r="H846" s="23" t="str">
        <f t="shared" si="41"/>
        <v/>
      </c>
    </row>
    <row r="847" spans="1:8" x14ac:dyDescent="0.2">
      <c r="A847" s="22"/>
      <c r="B847" s="26"/>
      <c r="C847" s="25"/>
      <c r="D847" s="25"/>
      <c r="E847" s="25"/>
      <c r="F847" s="23" t="str">
        <f t="shared" si="39"/>
        <v/>
      </c>
      <c r="G847" s="23" t="str">
        <f t="shared" si="40"/>
        <v/>
      </c>
      <c r="H847" s="23" t="str">
        <f t="shared" si="41"/>
        <v/>
      </c>
    </row>
    <row r="848" spans="1:8" x14ac:dyDescent="0.2">
      <c r="A848" s="22"/>
      <c r="B848" s="26"/>
      <c r="C848" s="25"/>
      <c r="D848" s="25"/>
      <c r="E848" s="25"/>
      <c r="F848" s="23" t="str">
        <f t="shared" si="39"/>
        <v/>
      </c>
      <c r="G848" s="23" t="str">
        <f t="shared" si="40"/>
        <v/>
      </c>
      <c r="H848" s="23" t="str">
        <f t="shared" si="41"/>
        <v/>
      </c>
    </row>
    <row r="849" spans="1:8" x14ac:dyDescent="0.2">
      <c r="A849" s="22"/>
      <c r="B849" s="26"/>
      <c r="C849" s="25"/>
      <c r="D849" s="25"/>
      <c r="E849" s="25"/>
      <c r="F849" s="23" t="str">
        <f t="shared" si="39"/>
        <v/>
      </c>
      <c r="G849" s="23" t="str">
        <f t="shared" si="40"/>
        <v/>
      </c>
      <c r="H849" s="23" t="str">
        <f t="shared" si="41"/>
        <v/>
      </c>
    </row>
    <row r="850" spans="1:8" x14ac:dyDescent="0.2">
      <c r="A850" s="22"/>
      <c r="B850" s="26"/>
      <c r="C850" s="25"/>
      <c r="D850" s="25"/>
      <c r="E850" s="25"/>
      <c r="F850" s="23" t="str">
        <f t="shared" si="39"/>
        <v/>
      </c>
      <c r="G850" s="23" t="str">
        <f t="shared" si="40"/>
        <v/>
      </c>
      <c r="H850" s="23" t="str">
        <f t="shared" si="41"/>
        <v/>
      </c>
    </row>
    <row r="851" spans="1:8" x14ac:dyDescent="0.2">
      <c r="A851" s="22"/>
      <c r="B851" s="26"/>
      <c r="C851" s="25"/>
      <c r="D851" s="25"/>
      <c r="E851" s="25"/>
      <c r="F851" s="23" t="str">
        <f t="shared" si="39"/>
        <v/>
      </c>
      <c r="G851" s="23" t="str">
        <f t="shared" si="40"/>
        <v/>
      </c>
      <c r="H851" s="23" t="str">
        <f t="shared" si="41"/>
        <v/>
      </c>
    </row>
    <row r="852" spans="1:8" x14ac:dyDescent="0.2">
      <c r="A852" s="22"/>
      <c r="B852" s="26"/>
      <c r="C852" s="25"/>
      <c r="D852" s="25"/>
      <c r="E852" s="25"/>
      <c r="F852" s="23" t="str">
        <f t="shared" si="39"/>
        <v/>
      </c>
      <c r="G852" s="23" t="str">
        <f t="shared" si="40"/>
        <v/>
      </c>
      <c r="H852" s="23" t="str">
        <f t="shared" si="41"/>
        <v/>
      </c>
    </row>
    <row r="853" spans="1:8" x14ac:dyDescent="0.2">
      <c r="A853" s="22"/>
      <c r="B853" s="26"/>
      <c r="C853" s="25"/>
      <c r="D853" s="25"/>
      <c r="E853" s="25"/>
      <c r="F853" s="23" t="str">
        <f t="shared" si="39"/>
        <v/>
      </c>
      <c r="G853" s="23" t="str">
        <f t="shared" si="40"/>
        <v/>
      </c>
      <c r="H853" s="23" t="str">
        <f t="shared" si="41"/>
        <v/>
      </c>
    </row>
    <row r="854" spans="1:8" x14ac:dyDescent="0.2">
      <c r="A854" s="22"/>
      <c r="B854" s="26"/>
      <c r="C854" s="25"/>
      <c r="D854" s="25"/>
      <c r="E854" s="25"/>
      <c r="F854" s="23" t="str">
        <f t="shared" si="39"/>
        <v/>
      </c>
      <c r="G854" s="23" t="str">
        <f t="shared" si="40"/>
        <v/>
      </c>
      <c r="H854" s="23" t="str">
        <f t="shared" si="41"/>
        <v/>
      </c>
    </row>
    <row r="855" spans="1:8" x14ac:dyDescent="0.2">
      <c r="A855" s="22"/>
      <c r="B855" s="26"/>
      <c r="C855" s="25"/>
      <c r="D855" s="25"/>
      <c r="E855" s="25"/>
      <c r="F855" s="23" t="str">
        <f t="shared" si="39"/>
        <v/>
      </c>
      <c r="G855" s="23" t="str">
        <f t="shared" si="40"/>
        <v/>
      </c>
      <c r="H855" s="23" t="str">
        <f t="shared" si="41"/>
        <v/>
      </c>
    </row>
    <row r="856" spans="1:8" x14ac:dyDescent="0.2">
      <c r="A856" s="22"/>
      <c r="B856" s="26"/>
      <c r="C856" s="25"/>
      <c r="D856" s="25"/>
      <c r="E856" s="25"/>
      <c r="F856" s="23" t="str">
        <f t="shared" si="39"/>
        <v/>
      </c>
      <c r="G856" s="23" t="str">
        <f t="shared" si="40"/>
        <v/>
      </c>
      <c r="H856" s="23" t="str">
        <f t="shared" si="41"/>
        <v/>
      </c>
    </row>
    <row r="857" spans="1:8" x14ac:dyDescent="0.2">
      <c r="A857" s="22"/>
      <c r="B857" s="26"/>
      <c r="C857" s="25"/>
      <c r="D857" s="25"/>
      <c r="E857" s="25"/>
      <c r="F857" s="23" t="str">
        <f t="shared" si="39"/>
        <v/>
      </c>
      <c r="G857" s="23" t="str">
        <f t="shared" si="40"/>
        <v/>
      </c>
      <c r="H857" s="23" t="str">
        <f t="shared" si="41"/>
        <v/>
      </c>
    </row>
    <row r="858" spans="1:8" x14ac:dyDescent="0.2">
      <c r="A858" s="22"/>
      <c r="B858" s="26"/>
      <c r="C858" s="25"/>
      <c r="D858" s="25"/>
      <c r="E858" s="25"/>
      <c r="F858" s="23" t="str">
        <f t="shared" si="39"/>
        <v/>
      </c>
      <c r="G858" s="23" t="str">
        <f t="shared" si="40"/>
        <v/>
      </c>
      <c r="H858" s="23" t="str">
        <f t="shared" si="41"/>
        <v/>
      </c>
    </row>
    <row r="859" spans="1:8" x14ac:dyDescent="0.2">
      <c r="A859" s="22"/>
      <c r="B859" s="26"/>
      <c r="C859" s="25"/>
      <c r="D859" s="25"/>
      <c r="E859" s="25"/>
      <c r="F859" s="23" t="str">
        <f t="shared" si="39"/>
        <v/>
      </c>
      <c r="G859" s="23" t="str">
        <f t="shared" si="40"/>
        <v/>
      </c>
      <c r="H859" s="23" t="str">
        <f t="shared" si="41"/>
        <v/>
      </c>
    </row>
    <row r="860" spans="1:8" x14ac:dyDescent="0.2">
      <c r="A860" s="22"/>
      <c r="B860" s="26"/>
      <c r="C860" s="25"/>
      <c r="D860" s="25"/>
      <c r="E860" s="25"/>
      <c r="F860" s="23" t="str">
        <f t="shared" si="39"/>
        <v/>
      </c>
      <c r="G860" s="23" t="str">
        <f t="shared" si="40"/>
        <v/>
      </c>
      <c r="H860" s="23" t="str">
        <f t="shared" si="41"/>
        <v/>
      </c>
    </row>
    <row r="861" spans="1:8" x14ac:dyDescent="0.2">
      <c r="A861" s="22"/>
      <c r="B861" s="26"/>
      <c r="C861" s="25"/>
      <c r="D861" s="25"/>
      <c r="E861" s="25"/>
      <c r="F861" s="23" t="str">
        <f t="shared" si="39"/>
        <v/>
      </c>
      <c r="G861" s="23" t="str">
        <f t="shared" si="40"/>
        <v/>
      </c>
      <c r="H861" s="23" t="str">
        <f t="shared" si="41"/>
        <v/>
      </c>
    </row>
    <row r="862" spans="1:8" x14ac:dyDescent="0.2">
      <c r="A862" s="22"/>
      <c r="B862" s="26"/>
      <c r="C862" s="25"/>
      <c r="D862" s="25"/>
      <c r="E862" s="25"/>
      <c r="F862" s="23" t="str">
        <f t="shared" si="39"/>
        <v/>
      </c>
      <c r="G862" s="23" t="str">
        <f t="shared" si="40"/>
        <v/>
      </c>
      <c r="H862" s="23" t="str">
        <f t="shared" si="41"/>
        <v/>
      </c>
    </row>
    <row r="863" spans="1:8" x14ac:dyDescent="0.2">
      <c r="A863" s="22"/>
      <c r="B863" s="26"/>
      <c r="C863" s="25"/>
      <c r="D863" s="25"/>
      <c r="E863" s="25"/>
      <c r="F863" s="23" t="str">
        <f t="shared" si="39"/>
        <v/>
      </c>
      <c r="G863" s="23" t="str">
        <f t="shared" si="40"/>
        <v/>
      </c>
      <c r="H863" s="23" t="str">
        <f t="shared" si="41"/>
        <v/>
      </c>
    </row>
    <row r="864" spans="1:8" x14ac:dyDescent="0.2">
      <c r="A864" s="22"/>
      <c r="B864" s="26"/>
      <c r="C864" s="25"/>
      <c r="D864" s="25"/>
      <c r="E864" s="25"/>
      <c r="F864" s="23" t="str">
        <f t="shared" si="39"/>
        <v/>
      </c>
      <c r="G864" s="23" t="str">
        <f t="shared" si="40"/>
        <v/>
      </c>
      <c r="H864" s="23" t="str">
        <f t="shared" si="41"/>
        <v/>
      </c>
    </row>
    <row r="865" spans="1:8" x14ac:dyDescent="0.2">
      <c r="A865" s="22"/>
      <c r="B865" s="26"/>
      <c r="C865" s="25"/>
      <c r="D865" s="25"/>
      <c r="E865" s="25"/>
      <c r="F865" s="23" t="str">
        <f t="shared" si="39"/>
        <v/>
      </c>
      <c r="G865" s="23" t="str">
        <f t="shared" si="40"/>
        <v/>
      </c>
      <c r="H865" s="23" t="str">
        <f t="shared" si="41"/>
        <v/>
      </c>
    </row>
    <row r="866" spans="1:8" x14ac:dyDescent="0.2">
      <c r="A866" s="22"/>
      <c r="B866" s="26"/>
      <c r="C866" s="25"/>
      <c r="D866" s="25"/>
      <c r="E866" s="25"/>
      <c r="F866" s="23" t="str">
        <f t="shared" si="39"/>
        <v/>
      </c>
      <c r="G866" s="23" t="str">
        <f t="shared" si="40"/>
        <v/>
      </c>
      <c r="H866" s="23" t="str">
        <f t="shared" si="41"/>
        <v/>
      </c>
    </row>
    <row r="867" spans="1:8" x14ac:dyDescent="0.2">
      <c r="A867" s="22"/>
      <c r="B867" s="26"/>
      <c r="C867" s="25"/>
      <c r="D867" s="25"/>
      <c r="E867" s="25"/>
      <c r="F867" s="23" t="str">
        <f t="shared" si="39"/>
        <v/>
      </c>
      <c r="G867" s="23" t="str">
        <f t="shared" si="40"/>
        <v/>
      </c>
      <c r="H867" s="23" t="str">
        <f t="shared" si="41"/>
        <v/>
      </c>
    </row>
    <row r="868" spans="1:8" x14ac:dyDescent="0.2">
      <c r="A868" s="22"/>
      <c r="B868" s="26"/>
      <c r="C868" s="25"/>
      <c r="D868" s="25"/>
      <c r="E868" s="25"/>
      <c r="F868" s="23" t="str">
        <f t="shared" si="39"/>
        <v/>
      </c>
      <c r="G868" s="23" t="str">
        <f t="shared" si="40"/>
        <v/>
      </c>
      <c r="H868" s="23" t="str">
        <f t="shared" si="41"/>
        <v/>
      </c>
    </row>
    <row r="869" spans="1:8" x14ac:dyDescent="0.2">
      <c r="A869" s="22"/>
      <c r="B869" s="26"/>
      <c r="C869" s="25"/>
      <c r="D869" s="25"/>
      <c r="E869" s="25"/>
      <c r="F869" s="23" t="str">
        <f t="shared" si="39"/>
        <v/>
      </c>
      <c r="G869" s="23" t="str">
        <f t="shared" si="40"/>
        <v/>
      </c>
      <c r="H869" s="23" t="str">
        <f t="shared" si="41"/>
        <v/>
      </c>
    </row>
    <row r="870" spans="1:8" x14ac:dyDescent="0.2">
      <c r="A870" s="22"/>
      <c r="B870" s="26"/>
      <c r="C870" s="25"/>
      <c r="D870" s="25"/>
      <c r="E870" s="25"/>
      <c r="F870" s="23" t="str">
        <f t="shared" si="39"/>
        <v/>
      </c>
      <c r="G870" s="23" t="str">
        <f t="shared" si="40"/>
        <v/>
      </c>
      <c r="H870" s="23" t="str">
        <f t="shared" si="41"/>
        <v/>
      </c>
    </row>
    <row r="871" spans="1:8" x14ac:dyDescent="0.2">
      <c r="A871" s="22"/>
      <c r="B871" s="26"/>
      <c r="C871" s="25"/>
      <c r="D871" s="25"/>
      <c r="E871" s="25"/>
      <c r="F871" s="23" t="str">
        <f t="shared" si="39"/>
        <v/>
      </c>
      <c r="G871" s="23" t="str">
        <f t="shared" si="40"/>
        <v/>
      </c>
      <c r="H871" s="23" t="str">
        <f t="shared" si="41"/>
        <v/>
      </c>
    </row>
    <row r="872" spans="1:8" x14ac:dyDescent="0.2">
      <c r="A872" s="22"/>
      <c r="B872" s="26"/>
      <c r="C872" s="25"/>
      <c r="D872" s="25"/>
      <c r="E872" s="25"/>
      <c r="F872" s="23" t="str">
        <f t="shared" si="39"/>
        <v/>
      </c>
      <c r="G872" s="23" t="str">
        <f t="shared" si="40"/>
        <v/>
      </c>
      <c r="H872" s="23" t="str">
        <f t="shared" si="41"/>
        <v/>
      </c>
    </row>
    <row r="873" spans="1:8" x14ac:dyDescent="0.2">
      <c r="A873" s="22"/>
      <c r="B873" s="26"/>
      <c r="C873" s="25"/>
      <c r="D873" s="25"/>
      <c r="E873" s="25"/>
      <c r="F873" s="23" t="str">
        <f t="shared" si="39"/>
        <v/>
      </c>
      <c r="G873" s="23" t="str">
        <f t="shared" si="40"/>
        <v/>
      </c>
      <c r="H873" s="23" t="str">
        <f t="shared" si="41"/>
        <v/>
      </c>
    </row>
    <row r="874" spans="1:8" x14ac:dyDescent="0.2">
      <c r="A874" s="22"/>
      <c r="B874" s="26"/>
      <c r="C874" s="25"/>
      <c r="D874" s="25"/>
      <c r="E874" s="25"/>
      <c r="F874" s="23" t="str">
        <f t="shared" si="39"/>
        <v/>
      </c>
      <c r="G874" s="23" t="str">
        <f t="shared" si="40"/>
        <v/>
      </c>
      <c r="H874" s="23" t="str">
        <f t="shared" si="41"/>
        <v/>
      </c>
    </row>
    <row r="875" spans="1:8" x14ac:dyDescent="0.2">
      <c r="A875" s="22"/>
      <c r="B875" s="26"/>
      <c r="C875" s="25"/>
      <c r="D875" s="25"/>
      <c r="E875" s="25"/>
      <c r="F875" s="23" t="str">
        <f t="shared" si="39"/>
        <v/>
      </c>
      <c r="G875" s="23" t="str">
        <f t="shared" si="40"/>
        <v/>
      </c>
      <c r="H875" s="23" t="str">
        <f t="shared" si="41"/>
        <v/>
      </c>
    </row>
    <row r="876" spans="1:8" x14ac:dyDescent="0.2">
      <c r="A876" s="22"/>
      <c r="B876" s="26"/>
      <c r="C876" s="25"/>
      <c r="D876" s="25"/>
      <c r="E876" s="25"/>
      <c r="F876" s="23" t="str">
        <f t="shared" si="39"/>
        <v/>
      </c>
      <c r="G876" s="23" t="str">
        <f t="shared" si="40"/>
        <v/>
      </c>
      <c r="H876" s="23" t="str">
        <f t="shared" si="41"/>
        <v/>
      </c>
    </row>
    <row r="877" spans="1:8" x14ac:dyDescent="0.2">
      <c r="A877" s="22"/>
      <c r="B877" s="26"/>
      <c r="C877" s="25"/>
      <c r="D877" s="25"/>
      <c r="E877" s="25"/>
      <c r="F877" s="23" t="str">
        <f t="shared" si="39"/>
        <v/>
      </c>
      <c r="G877" s="23" t="str">
        <f t="shared" si="40"/>
        <v/>
      </c>
      <c r="H877" s="23" t="str">
        <f t="shared" si="41"/>
        <v/>
      </c>
    </row>
    <row r="878" spans="1:8" x14ac:dyDescent="0.2">
      <c r="A878" s="22"/>
      <c r="B878" s="26"/>
      <c r="C878" s="25"/>
      <c r="D878" s="25"/>
      <c r="E878" s="25"/>
      <c r="F878" s="23" t="str">
        <f t="shared" si="39"/>
        <v/>
      </c>
      <c r="G878" s="23" t="str">
        <f t="shared" si="40"/>
        <v/>
      </c>
      <c r="H878" s="23" t="str">
        <f t="shared" si="41"/>
        <v/>
      </c>
    </row>
    <row r="879" spans="1:8" x14ac:dyDescent="0.2">
      <c r="A879" s="22"/>
      <c r="B879" s="26"/>
      <c r="C879" s="25"/>
      <c r="D879" s="25"/>
      <c r="E879" s="25"/>
      <c r="F879" s="23" t="str">
        <f t="shared" si="39"/>
        <v/>
      </c>
      <c r="G879" s="23" t="str">
        <f t="shared" si="40"/>
        <v/>
      </c>
      <c r="H879" s="23" t="str">
        <f t="shared" si="41"/>
        <v/>
      </c>
    </row>
    <row r="880" spans="1:8" x14ac:dyDescent="0.2">
      <c r="A880" s="22"/>
      <c r="B880" s="26"/>
      <c r="C880" s="25"/>
      <c r="D880" s="25"/>
      <c r="E880" s="25"/>
      <c r="F880" s="23" t="str">
        <f t="shared" si="39"/>
        <v/>
      </c>
      <c r="G880" s="23" t="str">
        <f t="shared" si="40"/>
        <v/>
      </c>
      <c r="H880" s="23" t="str">
        <f t="shared" si="41"/>
        <v/>
      </c>
    </row>
    <row r="881" spans="1:8" x14ac:dyDescent="0.2">
      <c r="A881" s="22"/>
      <c r="B881" s="26"/>
      <c r="C881" s="25"/>
      <c r="D881" s="25"/>
      <c r="E881" s="25"/>
      <c r="F881" s="23" t="str">
        <f t="shared" si="39"/>
        <v/>
      </c>
      <c r="G881" s="23" t="str">
        <f t="shared" si="40"/>
        <v/>
      </c>
      <c r="H881" s="23" t="str">
        <f t="shared" si="41"/>
        <v/>
      </c>
    </row>
    <row r="882" spans="1:8" x14ac:dyDescent="0.2">
      <c r="A882" s="22"/>
      <c r="B882" s="26"/>
      <c r="C882" s="25"/>
      <c r="D882" s="25"/>
      <c r="E882" s="25"/>
      <c r="F882" s="23" t="str">
        <f t="shared" si="39"/>
        <v/>
      </c>
      <c r="G882" s="23" t="str">
        <f t="shared" si="40"/>
        <v/>
      </c>
      <c r="H882" s="23" t="str">
        <f t="shared" si="41"/>
        <v/>
      </c>
    </row>
    <row r="883" spans="1:8" x14ac:dyDescent="0.2">
      <c r="A883" s="22"/>
      <c r="B883" s="26"/>
      <c r="C883" s="25"/>
      <c r="D883" s="25"/>
      <c r="E883" s="25"/>
      <c r="F883" s="23" t="str">
        <f t="shared" si="39"/>
        <v/>
      </c>
      <c r="G883" s="23" t="str">
        <f t="shared" si="40"/>
        <v/>
      </c>
      <c r="H883" s="23" t="str">
        <f t="shared" si="41"/>
        <v/>
      </c>
    </row>
    <row r="884" spans="1:8" x14ac:dyDescent="0.2">
      <c r="A884" s="22"/>
      <c r="B884" s="26"/>
      <c r="C884" s="25"/>
      <c r="D884" s="25"/>
      <c r="E884" s="25"/>
      <c r="F884" s="23" t="str">
        <f t="shared" si="39"/>
        <v/>
      </c>
      <c r="G884" s="23" t="str">
        <f t="shared" si="40"/>
        <v/>
      </c>
      <c r="H884" s="23" t="str">
        <f t="shared" si="41"/>
        <v/>
      </c>
    </row>
    <row r="885" spans="1:8" x14ac:dyDescent="0.2">
      <c r="A885" s="22"/>
      <c r="B885" s="26"/>
      <c r="C885" s="25"/>
      <c r="D885" s="25"/>
      <c r="E885" s="25"/>
      <c r="F885" s="23" t="str">
        <f t="shared" ref="F885:F948" si="42">IF(C885&lt;&gt;"",($J$23*C885+$K$23*D885+$L$23*E885)+$K$7,"")</f>
        <v/>
      </c>
      <c r="G885" s="23" t="str">
        <f t="shared" ref="G885:G948" si="43">IF(D885&lt;&gt;"",($J$24*C885+$K$24*D885+$L$24*E885)+$K$8,"")</f>
        <v/>
      </c>
      <c r="H885" s="23" t="str">
        <f t="shared" ref="H885:H948" si="44">IF(E885&lt;&gt;"",($J$25*C885+$K$25*D885+$L$25*E885)+$K$9,"")</f>
        <v/>
      </c>
    </row>
    <row r="886" spans="1:8" x14ac:dyDescent="0.2">
      <c r="A886" s="22"/>
      <c r="B886" s="26"/>
      <c r="C886" s="25"/>
      <c r="D886" s="25"/>
      <c r="E886" s="25"/>
      <c r="F886" s="23" t="str">
        <f t="shared" si="42"/>
        <v/>
      </c>
      <c r="G886" s="23" t="str">
        <f t="shared" si="43"/>
        <v/>
      </c>
      <c r="H886" s="23" t="str">
        <f t="shared" si="44"/>
        <v/>
      </c>
    </row>
    <row r="887" spans="1:8" x14ac:dyDescent="0.2">
      <c r="A887" s="22"/>
      <c r="B887" s="26"/>
      <c r="C887" s="25"/>
      <c r="D887" s="25"/>
      <c r="E887" s="25"/>
      <c r="F887" s="23" t="str">
        <f t="shared" si="42"/>
        <v/>
      </c>
      <c r="G887" s="23" t="str">
        <f t="shared" si="43"/>
        <v/>
      </c>
      <c r="H887" s="23" t="str">
        <f t="shared" si="44"/>
        <v/>
      </c>
    </row>
    <row r="888" spans="1:8" x14ac:dyDescent="0.2">
      <c r="A888" s="22"/>
      <c r="B888" s="26"/>
      <c r="C888" s="25"/>
      <c r="D888" s="25"/>
      <c r="E888" s="25"/>
      <c r="F888" s="23" t="str">
        <f t="shared" si="42"/>
        <v/>
      </c>
      <c r="G888" s="23" t="str">
        <f t="shared" si="43"/>
        <v/>
      </c>
      <c r="H888" s="23" t="str">
        <f t="shared" si="44"/>
        <v/>
      </c>
    </row>
    <row r="889" spans="1:8" x14ac:dyDescent="0.2">
      <c r="A889" s="22"/>
      <c r="B889" s="26"/>
      <c r="C889" s="25"/>
      <c r="D889" s="25"/>
      <c r="E889" s="25"/>
      <c r="F889" s="23" t="str">
        <f t="shared" si="42"/>
        <v/>
      </c>
      <c r="G889" s="23" t="str">
        <f t="shared" si="43"/>
        <v/>
      </c>
      <c r="H889" s="23" t="str">
        <f t="shared" si="44"/>
        <v/>
      </c>
    </row>
    <row r="890" spans="1:8" x14ac:dyDescent="0.2">
      <c r="A890" s="22"/>
      <c r="B890" s="26"/>
      <c r="C890" s="25"/>
      <c r="D890" s="25"/>
      <c r="E890" s="25"/>
      <c r="F890" s="23" t="str">
        <f t="shared" si="42"/>
        <v/>
      </c>
      <c r="G890" s="23" t="str">
        <f t="shared" si="43"/>
        <v/>
      </c>
      <c r="H890" s="23" t="str">
        <f t="shared" si="44"/>
        <v/>
      </c>
    </row>
    <row r="891" spans="1:8" x14ac:dyDescent="0.2">
      <c r="A891" s="22"/>
      <c r="B891" s="26"/>
      <c r="C891" s="25"/>
      <c r="D891" s="25"/>
      <c r="E891" s="25"/>
      <c r="F891" s="23" t="str">
        <f t="shared" si="42"/>
        <v/>
      </c>
      <c r="G891" s="23" t="str">
        <f t="shared" si="43"/>
        <v/>
      </c>
      <c r="H891" s="23" t="str">
        <f t="shared" si="44"/>
        <v/>
      </c>
    </row>
    <row r="892" spans="1:8" x14ac:dyDescent="0.2">
      <c r="A892" s="22"/>
      <c r="B892" s="26"/>
      <c r="C892" s="25"/>
      <c r="D892" s="25"/>
      <c r="E892" s="25"/>
      <c r="F892" s="23" t="str">
        <f t="shared" si="42"/>
        <v/>
      </c>
      <c r="G892" s="23" t="str">
        <f t="shared" si="43"/>
        <v/>
      </c>
      <c r="H892" s="23" t="str">
        <f t="shared" si="44"/>
        <v/>
      </c>
    </row>
    <row r="893" spans="1:8" x14ac:dyDescent="0.2">
      <c r="A893" s="22"/>
      <c r="B893" s="26"/>
      <c r="C893" s="25"/>
      <c r="D893" s="25"/>
      <c r="E893" s="25"/>
      <c r="F893" s="23" t="str">
        <f t="shared" si="42"/>
        <v/>
      </c>
      <c r="G893" s="23" t="str">
        <f t="shared" si="43"/>
        <v/>
      </c>
      <c r="H893" s="23" t="str">
        <f t="shared" si="44"/>
        <v/>
      </c>
    </row>
    <row r="894" spans="1:8" x14ac:dyDescent="0.2">
      <c r="A894" s="22"/>
      <c r="B894" s="26"/>
      <c r="C894" s="25"/>
      <c r="D894" s="25"/>
      <c r="E894" s="25"/>
      <c r="F894" s="23" t="str">
        <f t="shared" si="42"/>
        <v/>
      </c>
      <c r="G894" s="23" t="str">
        <f t="shared" si="43"/>
        <v/>
      </c>
      <c r="H894" s="23" t="str">
        <f t="shared" si="44"/>
        <v/>
      </c>
    </row>
    <row r="895" spans="1:8" x14ac:dyDescent="0.2">
      <c r="A895" s="22"/>
      <c r="B895" s="26"/>
      <c r="C895" s="25"/>
      <c r="D895" s="25"/>
      <c r="E895" s="25"/>
      <c r="F895" s="23" t="str">
        <f t="shared" si="42"/>
        <v/>
      </c>
      <c r="G895" s="23" t="str">
        <f t="shared" si="43"/>
        <v/>
      </c>
      <c r="H895" s="23" t="str">
        <f t="shared" si="44"/>
        <v/>
      </c>
    </row>
    <row r="896" spans="1:8" x14ac:dyDescent="0.2">
      <c r="A896" s="22"/>
      <c r="B896" s="26"/>
      <c r="C896" s="25"/>
      <c r="D896" s="25"/>
      <c r="E896" s="25"/>
      <c r="F896" s="23" t="str">
        <f t="shared" si="42"/>
        <v/>
      </c>
      <c r="G896" s="23" t="str">
        <f t="shared" si="43"/>
        <v/>
      </c>
      <c r="H896" s="23" t="str">
        <f t="shared" si="44"/>
        <v/>
      </c>
    </row>
    <row r="897" spans="1:8" x14ac:dyDescent="0.2">
      <c r="A897" s="22"/>
      <c r="B897" s="26"/>
      <c r="C897" s="25"/>
      <c r="D897" s="25"/>
      <c r="E897" s="25"/>
      <c r="F897" s="23" t="str">
        <f t="shared" si="42"/>
        <v/>
      </c>
      <c r="G897" s="23" t="str">
        <f t="shared" si="43"/>
        <v/>
      </c>
      <c r="H897" s="23" t="str">
        <f t="shared" si="44"/>
        <v/>
      </c>
    </row>
    <row r="898" spans="1:8" x14ac:dyDescent="0.2">
      <c r="A898" s="22"/>
      <c r="B898" s="26"/>
      <c r="C898" s="25"/>
      <c r="D898" s="25"/>
      <c r="E898" s="25"/>
      <c r="F898" s="23" t="str">
        <f t="shared" si="42"/>
        <v/>
      </c>
      <c r="G898" s="23" t="str">
        <f t="shared" si="43"/>
        <v/>
      </c>
      <c r="H898" s="23" t="str">
        <f t="shared" si="44"/>
        <v/>
      </c>
    </row>
    <row r="899" spans="1:8" x14ac:dyDescent="0.2">
      <c r="A899" s="22"/>
      <c r="B899" s="26"/>
      <c r="C899" s="25"/>
      <c r="D899" s="25"/>
      <c r="E899" s="25"/>
      <c r="F899" s="23" t="str">
        <f t="shared" si="42"/>
        <v/>
      </c>
      <c r="G899" s="23" t="str">
        <f t="shared" si="43"/>
        <v/>
      </c>
      <c r="H899" s="23" t="str">
        <f t="shared" si="44"/>
        <v/>
      </c>
    </row>
    <row r="900" spans="1:8" x14ac:dyDescent="0.2">
      <c r="A900" s="22"/>
      <c r="B900" s="26"/>
      <c r="C900" s="25"/>
      <c r="D900" s="25"/>
      <c r="E900" s="25"/>
      <c r="F900" s="23" t="str">
        <f t="shared" si="42"/>
        <v/>
      </c>
      <c r="G900" s="23" t="str">
        <f t="shared" si="43"/>
        <v/>
      </c>
      <c r="H900" s="23" t="str">
        <f t="shared" si="44"/>
        <v/>
      </c>
    </row>
    <row r="901" spans="1:8" x14ac:dyDescent="0.2">
      <c r="A901" s="22"/>
      <c r="B901" s="26"/>
      <c r="C901" s="25"/>
      <c r="D901" s="25"/>
      <c r="E901" s="25"/>
      <c r="F901" s="23" t="str">
        <f t="shared" si="42"/>
        <v/>
      </c>
      <c r="G901" s="23" t="str">
        <f t="shared" si="43"/>
        <v/>
      </c>
      <c r="H901" s="23" t="str">
        <f t="shared" si="44"/>
        <v/>
      </c>
    </row>
    <row r="902" spans="1:8" x14ac:dyDescent="0.2">
      <c r="A902" s="22"/>
      <c r="B902" s="26"/>
      <c r="C902" s="25"/>
      <c r="D902" s="25"/>
      <c r="E902" s="25"/>
      <c r="F902" s="23" t="str">
        <f t="shared" si="42"/>
        <v/>
      </c>
      <c r="G902" s="23" t="str">
        <f t="shared" si="43"/>
        <v/>
      </c>
      <c r="H902" s="23" t="str">
        <f t="shared" si="44"/>
        <v/>
      </c>
    </row>
    <row r="903" spans="1:8" x14ac:dyDescent="0.2">
      <c r="A903" s="22"/>
      <c r="B903" s="26"/>
      <c r="C903" s="25"/>
      <c r="D903" s="25"/>
      <c r="E903" s="25"/>
      <c r="F903" s="23" t="str">
        <f t="shared" si="42"/>
        <v/>
      </c>
      <c r="G903" s="23" t="str">
        <f t="shared" si="43"/>
        <v/>
      </c>
      <c r="H903" s="23" t="str">
        <f t="shared" si="44"/>
        <v/>
      </c>
    </row>
    <row r="904" spans="1:8" x14ac:dyDescent="0.2">
      <c r="A904" s="22"/>
      <c r="B904" s="26"/>
      <c r="C904" s="25"/>
      <c r="D904" s="25"/>
      <c r="E904" s="25"/>
      <c r="F904" s="23" t="str">
        <f t="shared" si="42"/>
        <v/>
      </c>
      <c r="G904" s="23" t="str">
        <f t="shared" si="43"/>
        <v/>
      </c>
      <c r="H904" s="23" t="str">
        <f t="shared" si="44"/>
        <v/>
      </c>
    </row>
    <row r="905" spans="1:8" x14ac:dyDescent="0.2">
      <c r="A905" s="22"/>
      <c r="B905" s="26"/>
      <c r="C905" s="25"/>
      <c r="D905" s="25"/>
      <c r="E905" s="25"/>
      <c r="F905" s="23" t="str">
        <f t="shared" si="42"/>
        <v/>
      </c>
      <c r="G905" s="23" t="str">
        <f t="shared" si="43"/>
        <v/>
      </c>
      <c r="H905" s="23" t="str">
        <f t="shared" si="44"/>
        <v/>
      </c>
    </row>
    <row r="906" spans="1:8" x14ac:dyDescent="0.2">
      <c r="A906" s="22"/>
      <c r="B906" s="26"/>
      <c r="C906" s="25"/>
      <c r="D906" s="25"/>
      <c r="E906" s="25"/>
      <c r="F906" s="23" t="str">
        <f t="shared" si="42"/>
        <v/>
      </c>
      <c r="G906" s="23" t="str">
        <f t="shared" si="43"/>
        <v/>
      </c>
      <c r="H906" s="23" t="str">
        <f t="shared" si="44"/>
        <v/>
      </c>
    </row>
    <row r="907" spans="1:8" x14ac:dyDescent="0.2">
      <c r="A907" s="22"/>
      <c r="B907" s="26"/>
      <c r="C907" s="25"/>
      <c r="D907" s="25"/>
      <c r="E907" s="25"/>
      <c r="F907" s="23" t="str">
        <f t="shared" si="42"/>
        <v/>
      </c>
      <c r="G907" s="23" t="str">
        <f t="shared" si="43"/>
        <v/>
      </c>
      <c r="H907" s="23" t="str">
        <f t="shared" si="44"/>
        <v/>
      </c>
    </row>
    <row r="908" spans="1:8" x14ac:dyDescent="0.2">
      <c r="A908" s="22"/>
      <c r="B908" s="26"/>
      <c r="C908" s="25"/>
      <c r="D908" s="25"/>
      <c r="E908" s="25"/>
      <c r="F908" s="23" t="str">
        <f t="shared" si="42"/>
        <v/>
      </c>
      <c r="G908" s="23" t="str">
        <f t="shared" si="43"/>
        <v/>
      </c>
      <c r="H908" s="23" t="str">
        <f t="shared" si="44"/>
        <v/>
      </c>
    </row>
    <row r="909" spans="1:8" x14ac:dyDescent="0.2">
      <c r="A909" s="22"/>
      <c r="B909" s="26"/>
      <c r="C909" s="25"/>
      <c r="D909" s="25"/>
      <c r="E909" s="25"/>
      <c r="F909" s="23" t="str">
        <f t="shared" si="42"/>
        <v/>
      </c>
      <c r="G909" s="23" t="str">
        <f t="shared" si="43"/>
        <v/>
      </c>
      <c r="H909" s="23" t="str">
        <f t="shared" si="44"/>
        <v/>
      </c>
    </row>
    <row r="910" spans="1:8" x14ac:dyDescent="0.2">
      <c r="A910" s="22"/>
      <c r="B910" s="26"/>
      <c r="C910" s="25"/>
      <c r="D910" s="25"/>
      <c r="E910" s="25"/>
      <c r="F910" s="23" t="str">
        <f t="shared" si="42"/>
        <v/>
      </c>
      <c r="G910" s="23" t="str">
        <f t="shared" si="43"/>
        <v/>
      </c>
      <c r="H910" s="23" t="str">
        <f t="shared" si="44"/>
        <v/>
      </c>
    </row>
    <row r="911" spans="1:8" x14ac:dyDescent="0.2">
      <c r="A911" s="22"/>
      <c r="B911" s="26"/>
      <c r="C911" s="25"/>
      <c r="D911" s="25"/>
      <c r="E911" s="25"/>
      <c r="F911" s="23" t="str">
        <f t="shared" si="42"/>
        <v/>
      </c>
      <c r="G911" s="23" t="str">
        <f t="shared" si="43"/>
        <v/>
      </c>
      <c r="H911" s="23" t="str">
        <f t="shared" si="44"/>
        <v/>
      </c>
    </row>
    <row r="912" spans="1:8" x14ac:dyDescent="0.2">
      <c r="A912" s="22"/>
      <c r="B912" s="26"/>
      <c r="C912" s="25"/>
      <c r="D912" s="25"/>
      <c r="E912" s="25"/>
      <c r="F912" s="23" t="str">
        <f t="shared" si="42"/>
        <v/>
      </c>
      <c r="G912" s="23" t="str">
        <f t="shared" si="43"/>
        <v/>
      </c>
      <c r="H912" s="23" t="str">
        <f t="shared" si="44"/>
        <v/>
      </c>
    </row>
    <row r="913" spans="1:8" x14ac:dyDescent="0.2">
      <c r="A913" s="22"/>
      <c r="B913" s="26"/>
      <c r="C913" s="25"/>
      <c r="D913" s="25"/>
      <c r="E913" s="25"/>
      <c r="F913" s="23" t="str">
        <f t="shared" si="42"/>
        <v/>
      </c>
      <c r="G913" s="23" t="str">
        <f t="shared" si="43"/>
        <v/>
      </c>
      <c r="H913" s="23" t="str">
        <f t="shared" si="44"/>
        <v/>
      </c>
    </row>
    <row r="914" spans="1:8" x14ac:dyDescent="0.2">
      <c r="A914" s="22"/>
      <c r="B914" s="26"/>
      <c r="C914" s="25"/>
      <c r="D914" s="25"/>
      <c r="E914" s="25"/>
      <c r="F914" s="23" t="str">
        <f t="shared" si="42"/>
        <v/>
      </c>
      <c r="G914" s="23" t="str">
        <f t="shared" si="43"/>
        <v/>
      </c>
      <c r="H914" s="23" t="str">
        <f t="shared" si="44"/>
        <v/>
      </c>
    </row>
    <row r="915" spans="1:8" x14ac:dyDescent="0.2">
      <c r="A915" s="22"/>
      <c r="B915" s="26"/>
      <c r="C915" s="25"/>
      <c r="D915" s="25"/>
      <c r="E915" s="25"/>
      <c r="F915" s="23" t="str">
        <f t="shared" si="42"/>
        <v/>
      </c>
      <c r="G915" s="23" t="str">
        <f t="shared" si="43"/>
        <v/>
      </c>
      <c r="H915" s="23" t="str">
        <f t="shared" si="44"/>
        <v/>
      </c>
    </row>
    <row r="916" spans="1:8" x14ac:dyDescent="0.2">
      <c r="A916" s="22"/>
      <c r="B916" s="26"/>
      <c r="C916" s="25"/>
      <c r="D916" s="25"/>
      <c r="E916" s="25"/>
      <c r="F916" s="23" t="str">
        <f t="shared" si="42"/>
        <v/>
      </c>
      <c r="G916" s="23" t="str">
        <f t="shared" si="43"/>
        <v/>
      </c>
      <c r="H916" s="23" t="str">
        <f t="shared" si="44"/>
        <v/>
      </c>
    </row>
    <row r="917" spans="1:8" x14ac:dyDescent="0.2">
      <c r="A917" s="22"/>
      <c r="B917" s="26"/>
      <c r="C917" s="25"/>
      <c r="D917" s="25"/>
      <c r="E917" s="25"/>
      <c r="F917" s="23" t="str">
        <f t="shared" si="42"/>
        <v/>
      </c>
      <c r="G917" s="23" t="str">
        <f t="shared" si="43"/>
        <v/>
      </c>
      <c r="H917" s="23" t="str">
        <f t="shared" si="44"/>
        <v/>
      </c>
    </row>
    <row r="918" spans="1:8" x14ac:dyDescent="0.2">
      <c r="A918" s="22"/>
      <c r="B918" s="26"/>
      <c r="C918" s="25"/>
      <c r="D918" s="25"/>
      <c r="E918" s="25"/>
      <c r="F918" s="23" t="str">
        <f t="shared" si="42"/>
        <v/>
      </c>
      <c r="G918" s="23" t="str">
        <f t="shared" si="43"/>
        <v/>
      </c>
      <c r="H918" s="23" t="str">
        <f t="shared" si="44"/>
        <v/>
      </c>
    </row>
    <row r="919" spans="1:8" x14ac:dyDescent="0.2">
      <c r="A919" s="22"/>
      <c r="B919" s="26"/>
      <c r="C919" s="25"/>
      <c r="D919" s="25"/>
      <c r="E919" s="25"/>
      <c r="F919" s="23" t="str">
        <f t="shared" si="42"/>
        <v/>
      </c>
      <c r="G919" s="23" t="str">
        <f t="shared" si="43"/>
        <v/>
      </c>
      <c r="H919" s="23" t="str">
        <f t="shared" si="44"/>
        <v/>
      </c>
    </row>
    <row r="920" spans="1:8" x14ac:dyDescent="0.2">
      <c r="A920" s="22"/>
      <c r="B920" s="26"/>
      <c r="C920" s="25"/>
      <c r="D920" s="25"/>
      <c r="E920" s="25"/>
      <c r="F920" s="23" t="str">
        <f t="shared" si="42"/>
        <v/>
      </c>
      <c r="G920" s="23" t="str">
        <f t="shared" si="43"/>
        <v/>
      </c>
      <c r="H920" s="23" t="str">
        <f t="shared" si="44"/>
        <v/>
      </c>
    </row>
    <row r="921" spans="1:8" x14ac:dyDescent="0.2">
      <c r="A921" s="22"/>
      <c r="B921" s="26"/>
      <c r="C921" s="25"/>
      <c r="D921" s="25"/>
      <c r="E921" s="25"/>
      <c r="F921" s="23" t="str">
        <f t="shared" si="42"/>
        <v/>
      </c>
      <c r="G921" s="23" t="str">
        <f t="shared" si="43"/>
        <v/>
      </c>
      <c r="H921" s="23" t="str">
        <f t="shared" si="44"/>
        <v/>
      </c>
    </row>
    <row r="922" spans="1:8" x14ac:dyDescent="0.2">
      <c r="A922" s="22"/>
      <c r="B922" s="26"/>
      <c r="C922" s="25"/>
      <c r="D922" s="25"/>
      <c r="E922" s="25"/>
      <c r="F922" s="23" t="str">
        <f t="shared" si="42"/>
        <v/>
      </c>
      <c r="G922" s="23" t="str">
        <f t="shared" si="43"/>
        <v/>
      </c>
      <c r="H922" s="23" t="str">
        <f t="shared" si="44"/>
        <v/>
      </c>
    </row>
    <row r="923" spans="1:8" x14ac:dyDescent="0.2">
      <c r="A923" s="22"/>
      <c r="B923" s="26"/>
      <c r="C923" s="25"/>
      <c r="D923" s="25"/>
      <c r="E923" s="25"/>
      <c r="F923" s="23" t="str">
        <f t="shared" si="42"/>
        <v/>
      </c>
      <c r="G923" s="23" t="str">
        <f t="shared" si="43"/>
        <v/>
      </c>
      <c r="H923" s="23" t="str">
        <f t="shared" si="44"/>
        <v/>
      </c>
    </row>
    <row r="924" spans="1:8" x14ac:dyDescent="0.2">
      <c r="A924" s="22"/>
      <c r="B924" s="26"/>
      <c r="C924" s="25"/>
      <c r="D924" s="25"/>
      <c r="E924" s="25"/>
      <c r="F924" s="23" t="str">
        <f t="shared" si="42"/>
        <v/>
      </c>
      <c r="G924" s="23" t="str">
        <f t="shared" si="43"/>
        <v/>
      </c>
      <c r="H924" s="23" t="str">
        <f t="shared" si="44"/>
        <v/>
      </c>
    </row>
    <row r="925" spans="1:8" x14ac:dyDescent="0.2">
      <c r="A925" s="22"/>
      <c r="B925" s="26"/>
      <c r="C925" s="25"/>
      <c r="D925" s="25"/>
      <c r="E925" s="25"/>
      <c r="F925" s="23" t="str">
        <f t="shared" si="42"/>
        <v/>
      </c>
      <c r="G925" s="23" t="str">
        <f t="shared" si="43"/>
        <v/>
      </c>
      <c r="H925" s="23" t="str">
        <f t="shared" si="44"/>
        <v/>
      </c>
    </row>
    <row r="926" spans="1:8" x14ac:dyDescent="0.2">
      <c r="A926" s="22"/>
      <c r="B926" s="26"/>
      <c r="C926" s="25"/>
      <c r="D926" s="25"/>
      <c r="E926" s="25"/>
      <c r="F926" s="23" t="str">
        <f t="shared" si="42"/>
        <v/>
      </c>
      <c r="G926" s="23" t="str">
        <f t="shared" si="43"/>
        <v/>
      </c>
      <c r="H926" s="23" t="str">
        <f t="shared" si="44"/>
        <v/>
      </c>
    </row>
    <row r="927" spans="1:8" x14ac:dyDescent="0.2">
      <c r="A927" s="22"/>
      <c r="B927" s="26"/>
      <c r="C927" s="25"/>
      <c r="D927" s="25"/>
      <c r="E927" s="25"/>
      <c r="F927" s="23" t="str">
        <f t="shared" si="42"/>
        <v/>
      </c>
      <c r="G927" s="23" t="str">
        <f t="shared" si="43"/>
        <v/>
      </c>
      <c r="H927" s="23" t="str">
        <f t="shared" si="44"/>
        <v/>
      </c>
    </row>
    <row r="928" spans="1:8" x14ac:dyDescent="0.2">
      <c r="A928" s="22"/>
      <c r="B928" s="26"/>
      <c r="C928" s="25"/>
      <c r="D928" s="25"/>
      <c r="E928" s="25"/>
      <c r="F928" s="23" t="str">
        <f t="shared" si="42"/>
        <v/>
      </c>
      <c r="G928" s="23" t="str">
        <f t="shared" si="43"/>
        <v/>
      </c>
      <c r="H928" s="23" t="str">
        <f t="shared" si="44"/>
        <v/>
      </c>
    </row>
    <row r="929" spans="1:8" x14ac:dyDescent="0.2">
      <c r="A929" s="22"/>
      <c r="B929" s="26"/>
      <c r="C929" s="25"/>
      <c r="D929" s="25"/>
      <c r="E929" s="25"/>
      <c r="F929" s="23" t="str">
        <f t="shared" si="42"/>
        <v/>
      </c>
      <c r="G929" s="23" t="str">
        <f t="shared" si="43"/>
        <v/>
      </c>
      <c r="H929" s="23" t="str">
        <f t="shared" si="44"/>
        <v/>
      </c>
    </row>
    <row r="930" spans="1:8" x14ac:dyDescent="0.2">
      <c r="A930" s="22"/>
      <c r="B930" s="26"/>
      <c r="C930" s="25"/>
      <c r="D930" s="25"/>
      <c r="E930" s="25"/>
      <c r="F930" s="23" t="str">
        <f t="shared" si="42"/>
        <v/>
      </c>
      <c r="G930" s="23" t="str">
        <f t="shared" si="43"/>
        <v/>
      </c>
      <c r="H930" s="23" t="str">
        <f t="shared" si="44"/>
        <v/>
      </c>
    </row>
    <row r="931" spans="1:8" x14ac:dyDescent="0.2">
      <c r="A931" s="22"/>
      <c r="B931" s="26"/>
      <c r="C931" s="25"/>
      <c r="D931" s="25"/>
      <c r="E931" s="25"/>
      <c r="F931" s="23" t="str">
        <f t="shared" si="42"/>
        <v/>
      </c>
      <c r="G931" s="23" t="str">
        <f t="shared" si="43"/>
        <v/>
      </c>
      <c r="H931" s="23" t="str">
        <f t="shared" si="44"/>
        <v/>
      </c>
    </row>
    <row r="932" spans="1:8" x14ac:dyDescent="0.2">
      <c r="A932" s="22"/>
      <c r="B932" s="26"/>
      <c r="C932" s="25"/>
      <c r="D932" s="25"/>
      <c r="E932" s="25"/>
      <c r="F932" s="23" t="str">
        <f t="shared" si="42"/>
        <v/>
      </c>
      <c r="G932" s="23" t="str">
        <f t="shared" si="43"/>
        <v/>
      </c>
      <c r="H932" s="23" t="str">
        <f t="shared" si="44"/>
        <v/>
      </c>
    </row>
    <row r="933" spans="1:8" x14ac:dyDescent="0.2">
      <c r="A933" s="22"/>
      <c r="B933" s="26"/>
      <c r="C933" s="25"/>
      <c r="D933" s="25"/>
      <c r="E933" s="25"/>
      <c r="F933" s="23" t="str">
        <f t="shared" si="42"/>
        <v/>
      </c>
      <c r="G933" s="23" t="str">
        <f t="shared" si="43"/>
        <v/>
      </c>
      <c r="H933" s="23" t="str">
        <f t="shared" si="44"/>
        <v/>
      </c>
    </row>
    <row r="934" spans="1:8" x14ac:dyDescent="0.2">
      <c r="A934" s="22"/>
      <c r="B934" s="26"/>
      <c r="C934" s="25"/>
      <c r="D934" s="25"/>
      <c r="E934" s="25"/>
      <c r="F934" s="23" t="str">
        <f t="shared" si="42"/>
        <v/>
      </c>
      <c r="G934" s="23" t="str">
        <f t="shared" si="43"/>
        <v/>
      </c>
      <c r="H934" s="23" t="str">
        <f t="shared" si="44"/>
        <v/>
      </c>
    </row>
    <row r="935" spans="1:8" x14ac:dyDescent="0.2">
      <c r="A935" s="22"/>
      <c r="B935" s="26"/>
      <c r="C935" s="25"/>
      <c r="D935" s="25"/>
      <c r="E935" s="25"/>
      <c r="F935" s="23" t="str">
        <f t="shared" si="42"/>
        <v/>
      </c>
      <c r="G935" s="23" t="str">
        <f t="shared" si="43"/>
        <v/>
      </c>
      <c r="H935" s="23" t="str">
        <f t="shared" si="44"/>
        <v/>
      </c>
    </row>
    <row r="936" spans="1:8" x14ac:dyDescent="0.2">
      <c r="A936" s="22"/>
      <c r="B936" s="26"/>
      <c r="C936" s="25"/>
      <c r="D936" s="25"/>
      <c r="E936" s="25"/>
      <c r="F936" s="23" t="str">
        <f t="shared" si="42"/>
        <v/>
      </c>
      <c r="G936" s="23" t="str">
        <f t="shared" si="43"/>
        <v/>
      </c>
      <c r="H936" s="23" t="str">
        <f t="shared" si="44"/>
        <v/>
      </c>
    </row>
    <row r="937" spans="1:8" x14ac:dyDescent="0.2">
      <c r="A937" s="22"/>
      <c r="B937" s="26"/>
      <c r="C937" s="25"/>
      <c r="D937" s="25"/>
      <c r="E937" s="25"/>
      <c r="F937" s="23" t="str">
        <f t="shared" si="42"/>
        <v/>
      </c>
      <c r="G937" s="23" t="str">
        <f t="shared" si="43"/>
        <v/>
      </c>
      <c r="H937" s="23" t="str">
        <f t="shared" si="44"/>
        <v/>
      </c>
    </row>
    <row r="938" spans="1:8" x14ac:dyDescent="0.2">
      <c r="A938" s="22"/>
      <c r="B938" s="26"/>
      <c r="C938" s="25"/>
      <c r="D938" s="25"/>
      <c r="E938" s="25"/>
      <c r="F938" s="23" t="str">
        <f t="shared" si="42"/>
        <v/>
      </c>
      <c r="G938" s="23" t="str">
        <f t="shared" si="43"/>
        <v/>
      </c>
      <c r="H938" s="23" t="str">
        <f t="shared" si="44"/>
        <v/>
      </c>
    </row>
    <row r="939" spans="1:8" x14ac:dyDescent="0.2">
      <c r="A939" s="22"/>
      <c r="B939" s="26"/>
      <c r="C939" s="25"/>
      <c r="D939" s="25"/>
      <c r="E939" s="25"/>
      <c r="F939" s="23" t="str">
        <f t="shared" si="42"/>
        <v/>
      </c>
      <c r="G939" s="23" t="str">
        <f t="shared" si="43"/>
        <v/>
      </c>
      <c r="H939" s="23" t="str">
        <f t="shared" si="44"/>
        <v/>
      </c>
    </row>
    <row r="940" spans="1:8" x14ac:dyDescent="0.2">
      <c r="A940" s="22"/>
      <c r="B940" s="26"/>
      <c r="C940" s="25"/>
      <c r="D940" s="25"/>
      <c r="E940" s="25"/>
      <c r="F940" s="23" t="str">
        <f t="shared" si="42"/>
        <v/>
      </c>
      <c r="G940" s="23" t="str">
        <f t="shared" si="43"/>
        <v/>
      </c>
      <c r="H940" s="23" t="str">
        <f t="shared" si="44"/>
        <v/>
      </c>
    </row>
    <row r="941" spans="1:8" x14ac:dyDescent="0.2">
      <c r="A941" s="22"/>
      <c r="B941" s="26"/>
      <c r="C941" s="25"/>
      <c r="D941" s="25"/>
      <c r="E941" s="25"/>
      <c r="F941" s="23" t="str">
        <f t="shared" si="42"/>
        <v/>
      </c>
      <c r="G941" s="23" t="str">
        <f t="shared" si="43"/>
        <v/>
      </c>
      <c r="H941" s="23" t="str">
        <f t="shared" si="44"/>
        <v/>
      </c>
    </row>
    <row r="942" spans="1:8" x14ac:dyDescent="0.2">
      <c r="A942" s="22"/>
      <c r="B942" s="26"/>
      <c r="C942" s="25"/>
      <c r="D942" s="25"/>
      <c r="E942" s="25"/>
      <c r="F942" s="23" t="str">
        <f t="shared" si="42"/>
        <v/>
      </c>
      <c r="G942" s="23" t="str">
        <f t="shared" si="43"/>
        <v/>
      </c>
      <c r="H942" s="23" t="str">
        <f t="shared" si="44"/>
        <v/>
      </c>
    </row>
    <row r="943" spans="1:8" x14ac:dyDescent="0.2">
      <c r="A943" s="22"/>
      <c r="B943" s="26"/>
      <c r="C943" s="25"/>
      <c r="D943" s="25"/>
      <c r="E943" s="25"/>
      <c r="F943" s="23" t="str">
        <f t="shared" si="42"/>
        <v/>
      </c>
      <c r="G943" s="23" t="str">
        <f t="shared" si="43"/>
        <v/>
      </c>
      <c r="H943" s="23" t="str">
        <f t="shared" si="44"/>
        <v/>
      </c>
    </row>
    <row r="944" spans="1:8" x14ac:dyDescent="0.2">
      <c r="A944" s="22"/>
      <c r="B944" s="26"/>
      <c r="C944" s="25"/>
      <c r="D944" s="25"/>
      <c r="E944" s="25"/>
      <c r="F944" s="23" t="str">
        <f t="shared" si="42"/>
        <v/>
      </c>
      <c r="G944" s="23" t="str">
        <f t="shared" si="43"/>
        <v/>
      </c>
      <c r="H944" s="23" t="str">
        <f t="shared" si="44"/>
        <v/>
      </c>
    </row>
    <row r="945" spans="1:8" x14ac:dyDescent="0.2">
      <c r="A945" s="22"/>
      <c r="B945" s="26"/>
      <c r="C945" s="25"/>
      <c r="D945" s="25"/>
      <c r="E945" s="25"/>
      <c r="F945" s="23" t="str">
        <f t="shared" si="42"/>
        <v/>
      </c>
      <c r="G945" s="23" t="str">
        <f t="shared" si="43"/>
        <v/>
      </c>
      <c r="H945" s="23" t="str">
        <f t="shared" si="44"/>
        <v/>
      </c>
    </row>
    <row r="946" spans="1:8" x14ac:dyDescent="0.2">
      <c r="A946" s="22"/>
      <c r="B946" s="26"/>
      <c r="C946" s="25"/>
      <c r="D946" s="25"/>
      <c r="E946" s="25"/>
      <c r="F946" s="23" t="str">
        <f t="shared" si="42"/>
        <v/>
      </c>
      <c r="G946" s="23" t="str">
        <f t="shared" si="43"/>
        <v/>
      </c>
      <c r="H946" s="23" t="str">
        <f t="shared" si="44"/>
        <v/>
      </c>
    </row>
    <row r="947" spans="1:8" x14ac:dyDescent="0.2">
      <c r="A947" s="22"/>
      <c r="B947" s="26"/>
      <c r="C947" s="25"/>
      <c r="D947" s="25"/>
      <c r="E947" s="25"/>
      <c r="F947" s="23" t="str">
        <f t="shared" si="42"/>
        <v/>
      </c>
      <c r="G947" s="23" t="str">
        <f t="shared" si="43"/>
        <v/>
      </c>
      <c r="H947" s="23" t="str">
        <f t="shared" si="44"/>
        <v/>
      </c>
    </row>
    <row r="948" spans="1:8" x14ac:dyDescent="0.2">
      <c r="A948" s="22"/>
      <c r="B948" s="26"/>
      <c r="C948" s="25"/>
      <c r="D948" s="25"/>
      <c r="E948" s="25"/>
      <c r="F948" s="23" t="str">
        <f t="shared" si="42"/>
        <v/>
      </c>
      <c r="G948" s="23" t="str">
        <f t="shared" si="43"/>
        <v/>
      </c>
      <c r="H948" s="23" t="str">
        <f t="shared" si="44"/>
        <v/>
      </c>
    </row>
    <row r="949" spans="1:8" x14ac:dyDescent="0.2">
      <c r="A949" s="22"/>
      <c r="B949" s="26"/>
      <c r="C949" s="25"/>
      <c r="D949" s="25"/>
      <c r="E949" s="25"/>
      <c r="F949" s="23" t="str">
        <f t="shared" ref="F949:F1000" si="45">IF(C949&lt;&gt;"",($J$23*C949+$K$23*D949+$L$23*E949)+$K$7,"")</f>
        <v/>
      </c>
      <c r="G949" s="23" t="str">
        <f t="shared" ref="G949:G1000" si="46">IF(D949&lt;&gt;"",($J$24*C949+$K$24*D949+$L$24*E949)+$K$8,"")</f>
        <v/>
      </c>
      <c r="H949" s="23" t="str">
        <f t="shared" ref="H949:H1000" si="47">IF(E949&lt;&gt;"",($J$25*C949+$K$25*D949+$L$25*E949)+$K$9,"")</f>
        <v/>
      </c>
    </row>
    <row r="950" spans="1:8" x14ac:dyDescent="0.2">
      <c r="A950" s="22"/>
      <c r="B950" s="26"/>
      <c r="C950" s="25"/>
      <c r="D950" s="25"/>
      <c r="E950" s="25"/>
      <c r="F950" s="23" t="str">
        <f t="shared" si="45"/>
        <v/>
      </c>
      <c r="G950" s="23" t="str">
        <f t="shared" si="46"/>
        <v/>
      </c>
      <c r="H950" s="23" t="str">
        <f t="shared" si="47"/>
        <v/>
      </c>
    </row>
    <row r="951" spans="1:8" x14ac:dyDescent="0.2">
      <c r="A951" s="22"/>
      <c r="B951" s="26"/>
      <c r="C951" s="25"/>
      <c r="D951" s="25"/>
      <c r="E951" s="25"/>
      <c r="F951" s="23" t="str">
        <f t="shared" si="45"/>
        <v/>
      </c>
      <c r="G951" s="23" t="str">
        <f t="shared" si="46"/>
        <v/>
      </c>
      <c r="H951" s="23" t="str">
        <f t="shared" si="47"/>
        <v/>
      </c>
    </row>
    <row r="952" spans="1:8" x14ac:dyDescent="0.2">
      <c r="A952" s="22"/>
      <c r="B952" s="26"/>
      <c r="C952" s="25"/>
      <c r="D952" s="25"/>
      <c r="E952" s="25"/>
      <c r="F952" s="23" t="str">
        <f t="shared" si="45"/>
        <v/>
      </c>
      <c r="G952" s="23" t="str">
        <f t="shared" si="46"/>
        <v/>
      </c>
      <c r="H952" s="23" t="str">
        <f t="shared" si="47"/>
        <v/>
      </c>
    </row>
    <row r="953" spans="1:8" x14ac:dyDescent="0.2">
      <c r="A953" s="22"/>
      <c r="B953" s="26"/>
      <c r="C953" s="25"/>
      <c r="D953" s="25"/>
      <c r="E953" s="25"/>
      <c r="F953" s="23" t="str">
        <f t="shared" si="45"/>
        <v/>
      </c>
      <c r="G953" s="23" t="str">
        <f t="shared" si="46"/>
        <v/>
      </c>
      <c r="H953" s="23" t="str">
        <f t="shared" si="47"/>
        <v/>
      </c>
    </row>
    <row r="954" spans="1:8" x14ac:dyDescent="0.2">
      <c r="A954" s="22"/>
      <c r="B954" s="26"/>
      <c r="C954" s="25"/>
      <c r="D954" s="25"/>
      <c r="E954" s="25"/>
      <c r="F954" s="23" t="str">
        <f t="shared" si="45"/>
        <v/>
      </c>
      <c r="G954" s="23" t="str">
        <f t="shared" si="46"/>
        <v/>
      </c>
      <c r="H954" s="23" t="str">
        <f t="shared" si="47"/>
        <v/>
      </c>
    </row>
    <row r="955" spans="1:8" x14ac:dyDescent="0.2">
      <c r="A955" s="22"/>
      <c r="B955" s="26"/>
      <c r="C955" s="25"/>
      <c r="D955" s="25"/>
      <c r="E955" s="25"/>
      <c r="F955" s="23" t="str">
        <f t="shared" si="45"/>
        <v/>
      </c>
      <c r="G955" s="23" t="str">
        <f t="shared" si="46"/>
        <v/>
      </c>
      <c r="H955" s="23" t="str">
        <f t="shared" si="47"/>
        <v/>
      </c>
    </row>
    <row r="956" spans="1:8" x14ac:dyDescent="0.2">
      <c r="A956" s="22"/>
      <c r="B956" s="26"/>
      <c r="C956" s="25"/>
      <c r="D956" s="25"/>
      <c r="E956" s="25"/>
      <c r="F956" s="23" t="str">
        <f t="shared" si="45"/>
        <v/>
      </c>
      <c r="G956" s="23" t="str">
        <f t="shared" si="46"/>
        <v/>
      </c>
      <c r="H956" s="23" t="str">
        <f t="shared" si="47"/>
        <v/>
      </c>
    </row>
    <row r="957" spans="1:8" x14ac:dyDescent="0.2">
      <c r="A957" s="22"/>
      <c r="B957" s="26"/>
      <c r="C957" s="25"/>
      <c r="D957" s="25"/>
      <c r="E957" s="25"/>
      <c r="F957" s="23" t="str">
        <f t="shared" si="45"/>
        <v/>
      </c>
      <c r="G957" s="23" t="str">
        <f t="shared" si="46"/>
        <v/>
      </c>
      <c r="H957" s="23" t="str">
        <f t="shared" si="47"/>
        <v/>
      </c>
    </row>
    <row r="958" spans="1:8" x14ac:dyDescent="0.2">
      <c r="A958" s="22"/>
      <c r="B958" s="26"/>
      <c r="C958" s="25"/>
      <c r="D958" s="25"/>
      <c r="E958" s="25"/>
      <c r="F958" s="23" t="str">
        <f t="shared" si="45"/>
        <v/>
      </c>
      <c r="G958" s="23" t="str">
        <f t="shared" si="46"/>
        <v/>
      </c>
      <c r="H958" s="23" t="str">
        <f t="shared" si="47"/>
        <v/>
      </c>
    </row>
    <row r="959" spans="1:8" x14ac:dyDescent="0.2">
      <c r="A959" s="22"/>
      <c r="B959" s="26"/>
      <c r="C959" s="25"/>
      <c r="D959" s="25"/>
      <c r="E959" s="25"/>
      <c r="F959" s="23" t="str">
        <f t="shared" si="45"/>
        <v/>
      </c>
      <c r="G959" s="23" t="str">
        <f t="shared" si="46"/>
        <v/>
      </c>
      <c r="H959" s="23" t="str">
        <f t="shared" si="47"/>
        <v/>
      </c>
    </row>
    <row r="960" spans="1:8" x14ac:dyDescent="0.2">
      <c r="A960" s="22"/>
      <c r="B960" s="26"/>
      <c r="C960" s="25"/>
      <c r="D960" s="25"/>
      <c r="E960" s="25"/>
      <c r="F960" s="23" t="str">
        <f t="shared" si="45"/>
        <v/>
      </c>
      <c r="G960" s="23" t="str">
        <f t="shared" si="46"/>
        <v/>
      </c>
      <c r="H960" s="23" t="str">
        <f t="shared" si="47"/>
        <v/>
      </c>
    </row>
    <row r="961" spans="1:8" x14ac:dyDescent="0.2">
      <c r="A961" s="22"/>
      <c r="B961" s="26"/>
      <c r="C961" s="25"/>
      <c r="D961" s="25"/>
      <c r="E961" s="25"/>
      <c r="F961" s="23" t="str">
        <f t="shared" si="45"/>
        <v/>
      </c>
      <c r="G961" s="23" t="str">
        <f t="shared" si="46"/>
        <v/>
      </c>
      <c r="H961" s="23" t="str">
        <f t="shared" si="47"/>
        <v/>
      </c>
    </row>
    <row r="962" spans="1:8" x14ac:dyDescent="0.2">
      <c r="A962" s="22"/>
      <c r="B962" s="26"/>
      <c r="C962" s="25"/>
      <c r="D962" s="25"/>
      <c r="E962" s="25"/>
      <c r="F962" s="23" t="str">
        <f t="shared" si="45"/>
        <v/>
      </c>
      <c r="G962" s="23" t="str">
        <f t="shared" si="46"/>
        <v/>
      </c>
      <c r="H962" s="23" t="str">
        <f t="shared" si="47"/>
        <v/>
      </c>
    </row>
    <row r="963" spans="1:8" x14ac:dyDescent="0.2">
      <c r="A963" s="22"/>
      <c r="B963" s="26"/>
      <c r="C963" s="25"/>
      <c r="D963" s="25"/>
      <c r="E963" s="25"/>
      <c r="F963" s="23" t="str">
        <f t="shared" si="45"/>
        <v/>
      </c>
      <c r="G963" s="23" t="str">
        <f t="shared" si="46"/>
        <v/>
      </c>
      <c r="H963" s="23" t="str">
        <f t="shared" si="47"/>
        <v/>
      </c>
    </row>
    <row r="964" spans="1:8" x14ac:dyDescent="0.2">
      <c r="A964" s="22"/>
      <c r="B964" s="26"/>
      <c r="C964" s="25"/>
      <c r="D964" s="25"/>
      <c r="E964" s="25"/>
      <c r="F964" s="23" t="str">
        <f t="shared" si="45"/>
        <v/>
      </c>
      <c r="G964" s="23" t="str">
        <f t="shared" si="46"/>
        <v/>
      </c>
      <c r="H964" s="23" t="str">
        <f t="shared" si="47"/>
        <v/>
      </c>
    </row>
    <row r="965" spans="1:8" x14ac:dyDescent="0.2">
      <c r="A965" s="22"/>
      <c r="B965" s="26"/>
      <c r="C965" s="25"/>
      <c r="D965" s="25"/>
      <c r="E965" s="25"/>
      <c r="F965" s="23" t="str">
        <f t="shared" si="45"/>
        <v/>
      </c>
      <c r="G965" s="23" t="str">
        <f t="shared" si="46"/>
        <v/>
      </c>
      <c r="H965" s="23" t="str">
        <f t="shared" si="47"/>
        <v/>
      </c>
    </row>
    <row r="966" spans="1:8" x14ac:dyDescent="0.2">
      <c r="A966" s="22"/>
      <c r="B966" s="26"/>
      <c r="C966" s="25"/>
      <c r="D966" s="25"/>
      <c r="E966" s="25"/>
      <c r="F966" s="23" t="str">
        <f t="shared" si="45"/>
        <v/>
      </c>
      <c r="G966" s="23" t="str">
        <f t="shared" si="46"/>
        <v/>
      </c>
      <c r="H966" s="23" t="str">
        <f t="shared" si="47"/>
        <v/>
      </c>
    </row>
    <row r="967" spans="1:8" x14ac:dyDescent="0.2">
      <c r="A967" s="22"/>
      <c r="B967" s="26"/>
      <c r="C967" s="25"/>
      <c r="D967" s="25"/>
      <c r="E967" s="25"/>
      <c r="F967" s="23" t="str">
        <f t="shared" si="45"/>
        <v/>
      </c>
      <c r="G967" s="23" t="str">
        <f t="shared" si="46"/>
        <v/>
      </c>
      <c r="H967" s="23" t="str">
        <f t="shared" si="47"/>
        <v/>
      </c>
    </row>
    <row r="968" spans="1:8" x14ac:dyDescent="0.2">
      <c r="A968" s="22"/>
      <c r="B968" s="26"/>
      <c r="C968" s="25"/>
      <c r="D968" s="25"/>
      <c r="E968" s="25"/>
      <c r="F968" s="23" t="str">
        <f t="shared" si="45"/>
        <v/>
      </c>
      <c r="G968" s="23" t="str">
        <f t="shared" si="46"/>
        <v/>
      </c>
      <c r="H968" s="23" t="str">
        <f t="shared" si="47"/>
        <v/>
      </c>
    </row>
    <row r="969" spans="1:8" x14ac:dyDescent="0.2">
      <c r="A969" s="22"/>
      <c r="B969" s="26"/>
      <c r="C969" s="25"/>
      <c r="D969" s="25"/>
      <c r="E969" s="25"/>
      <c r="F969" s="23" t="str">
        <f t="shared" si="45"/>
        <v/>
      </c>
      <c r="G969" s="23" t="str">
        <f t="shared" si="46"/>
        <v/>
      </c>
      <c r="H969" s="23" t="str">
        <f t="shared" si="47"/>
        <v/>
      </c>
    </row>
    <row r="970" spans="1:8" x14ac:dyDescent="0.2">
      <c r="A970" s="22"/>
      <c r="B970" s="26"/>
      <c r="C970" s="25"/>
      <c r="D970" s="25"/>
      <c r="E970" s="25"/>
      <c r="F970" s="23" t="str">
        <f t="shared" si="45"/>
        <v/>
      </c>
      <c r="G970" s="23" t="str">
        <f t="shared" si="46"/>
        <v/>
      </c>
      <c r="H970" s="23" t="str">
        <f t="shared" si="47"/>
        <v/>
      </c>
    </row>
    <row r="971" spans="1:8" x14ac:dyDescent="0.2">
      <c r="A971" s="22"/>
      <c r="B971" s="26"/>
      <c r="C971" s="25"/>
      <c r="D971" s="25"/>
      <c r="E971" s="25"/>
      <c r="F971" s="23" t="str">
        <f t="shared" si="45"/>
        <v/>
      </c>
      <c r="G971" s="23" t="str">
        <f t="shared" si="46"/>
        <v/>
      </c>
      <c r="H971" s="23" t="str">
        <f t="shared" si="47"/>
        <v/>
      </c>
    </row>
    <row r="972" spans="1:8" x14ac:dyDescent="0.2">
      <c r="A972" s="22"/>
      <c r="B972" s="26"/>
      <c r="C972" s="25"/>
      <c r="D972" s="25"/>
      <c r="E972" s="25"/>
      <c r="F972" s="23" t="str">
        <f t="shared" si="45"/>
        <v/>
      </c>
      <c r="G972" s="23" t="str">
        <f t="shared" si="46"/>
        <v/>
      </c>
      <c r="H972" s="23" t="str">
        <f t="shared" si="47"/>
        <v/>
      </c>
    </row>
    <row r="973" spans="1:8" x14ac:dyDescent="0.2">
      <c r="A973" s="22"/>
      <c r="B973" s="26"/>
      <c r="C973" s="25"/>
      <c r="D973" s="25"/>
      <c r="E973" s="25"/>
      <c r="F973" s="23" t="str">
        <f t="shared" si="45"/>
        <v/>
      </c>
      <c r="G973" s="23" t="str">
        <f t="shared" si="46"/>
        <v/>
      </c>
      <c r="H973" s="23" t="str">
        <f t="shared" si="47"/>
        <v/>
      </c>
    </row>
    <row r="974" spans="1:8" x14ac:dyDescent="0.2">
      <c r="A974" s="22"/>
      <c r="B974" s="26"/>
      <c r="C974" s="25"/>
      <c r="D974" s="25"/>
      <c r="E974" s="25"/>
      <c r="F974" s="23" t="str">
        <f t="shared" si="45"/>
        <v/>
      </c>
      <c r="G974" s="23" t="str">
        <f t="shared" si="46"/>
        <v/>
      </c>
      <c r="H974" s="23" t="str">
        <f t="shared" si="47"/>
        <v/>
      </c>
    </row>
    <row r="975" spans="1:8" x14ac:dyDescent="0.2">
      <c r="A975" s="22"/>
      <c r="B975" s="26"/>
      <c r="C975" s="25"/>
      <c r="D975" s="25"/>
      <c r="E975" s="25"/>
      <c r="F975" s="23" t="str">
        <f t="shared" si="45"/>
        <v/>
      </c>
      <c r="G975" s="23" t="str">
        <f t="shared" si="46"/>
        <v/>
      </c>
      <c r="H975" s="23" t="str">
        <f t="shared" si="47"/>
        <v/>
      </c>
    </row>
    <row r="976" spans="1:8" x14ac:dyDescent="0.2">
      <c r="A976" s="22"/>
      <c r="B976" s="26"/>
      <c r="C976" s="25"/>
      <c r="D976" s="25"/>
      <c r="E976" s="25"/>
      <c r="F976" s="23" t="str">
        <f t="shared" si="45"/>
        <v/>
      </c>
      <c r="G976" s="23" t="str">
        <f t="shared" si="46"/>
        <v/>
      </c>
      <c r="H976" s="23" t="str">
        <f t="shared" si="47"/>
        <v/>
      </c>
    </row>
    <row r="977" spans="1:8" x14ac:dyDescent="0.2">
      <c r="A977" s="22"/>
      <c r="B977" s="26"/>
      <c r="C977" s="25"/>
      <c r="D977" s="25"/>
      <c r="E977" s="25"/>
      <c r="F977" s="23" t="str">
        <f t="shared" si="45"/>
        <v/>
      </c>
      <c r="G977" s="23" t="str">
        <f t="shared" si="46"/>
        <v/>
      </c>
      <c r="H977" s="23" t="str">
        <f t="shared" si="47"/>
        <v/>
      </c>
    </row>
    <row r="978" spans="1:8" x14ac:dyDescent="0.2">
      <c r="A978" s="22"/>
      <c r="B978" s="26"/>
      <c r="C978" s="25"/>
      <c r="D978" s="25"/>
      <c r="E978" s="25"/>
      <c r="F978" s="23" t="str">
        <f t="shared" si="45"/>
        <v/>
      </c>
      <c r="G978" s="23" t="str">
        <f t="shared" si="46"/>
        <v/>
      </c>
      <c r="H978" s="23" t="str">
        <f t="shared" si="47"/>
        <v/>
      </c>
    </row>
    <row r="979" spans="1:8" x14ac:dyDescent="0.2">
      <c r="A979" s="22"/>
      <c r="B979" s="26"/>
      <c r="C979" s="25"/>
      <c r="D979" s="25"/>
      <c r="E979" s="25"/>
      <c r="F979" s="23" t="str">
        <f t="shared" si="45"/>
        <v/>
      </c>
      <c r="G979" s="23" t="str">
        <f t="shared" si="46"/>
        <v/>
      </c>
      <c r="H979" s="23" t="str">
        <f t="shared" si="47"/>
        <v/>
      </c>
    </row>
    <row r="980" spans="1:8" x14ac:dyDescent="0.2">
      <c r="A980" s="22"/>
      <c r="B980" s="26"/>
      <c r="C980" s="25"/>
      <c r="D980" s="25"/>
      <c r="E980" s="25"/>
      <c r="F980" s="23" t="str">
        <f t="shared" si="45"/>
        <v/>
      </c>
      <c r="G980" s="23" t="str">
        <f t="shared" si="46"/>
        <v/>
      </c>
      <c r="H980" s="23" t="str">
        <f t="shared" si="47"/>
        <v/>
      </c>
    </row>
    <row r="981" spans="1:8" x14ac:dyDescent="0.2">
      <c r="A981" s="22"/>
      <c r="B981" s="26"/>
      <c r="C981" s="25"/>
      <c r="D981" s="25"/>
      <c r="E981" s="25"/>
      <c r="F981" s="23" t="str">
        <f t="shared" si="45"/>
        <v/>
      </c>
      <c r="G981" s="23" t="str">
        <f t="shared" si="46"/>
        <v/>
      </c>
      <c r="H981" s="23" t="str">
        <f t="shared" si="47"/>
        <v/>
      </c>
    </row>
    <row r="982" spans="1:8" x14ac:dyDescent="0.2">
      <c r="A982" s="22"/>
      <c r="B982" s="26"/>
      <c r="C982" s="25"/>
      <c r="D982" s="25"/>
      <c r="E982" s="25"/>
      <c r="F982" s="23" t="str">
        <f t="shared" si="45"/>
        <v/>
      </c>
      <c r="G982" s="23" t="str">
        <f t="shared" si="46"/>
        <v/>
      </c>
      <c r="H982" s="23" t="str">
        <f t="shared" si="47"/>
        <v/>
      </c>
    </row>
    <row r="983" spans="1:8" x14ac:dyDescent="0.2">
      <c r="A983" s="22"/>
      <c r="B983" s="26"/>
      <c r="C983" s="25"/>
      <c r="D983" s="25"/>
      <c r="E983" s="25"/>
      <c r="F983" s="23" t="str">
        <f t="shared" si="45"/>
        <v/>
      </c>
      <c r="G983" s="23" t="str">
        <f t="shared" si="46"/>
        <v/>
      </c>
      <c r="H983" s="23" t="str">
        <f t="shared" si="47"/>
        <v/>
      </c>
    </row>
    <row r="984" spans="1:8" x14ac:dyDescent="0.2">
      <c r="A984" s="22"/>
      <c r="B984" s="26"/>
      <c r="C984" s="25"/>
      <c r="D984" s="25"/>
      <c r="E984" s="25"/>
      <c r="F984" s="23" t="str">
        <f t="shared" si="45"/>
        <v/>
      </c>
      <c r="G984" s="23" t="str">
        <f t="shared" si="46"/>
        <v/>
      </c>
      <c r="H984" s="23" t="str">
        <f t="shared" si="47"/>
        <v/>
      </c>
    </row>
    <row r="985" spans="1:8" x14ac:dyDescent="0.2">
      <c r="A985" s="22"/>
      <c r="B985" s="26"/>
      <c r="C985" s="25"/>
      <c r="D985" s="25"/>
      <c r="E985" s="25"/>
      <c r="F985" s="23" t="str">
        <f t="shared" si="45"/>
        <v/>
      </c>
      <c r="G985" s="23" t="str">
        <f t="shared" si="46"/>
        <v/>
      </c>
      <c r="H985" s="23" t="str">
        <f t="shared" si="47"/>
        <v/>
      </c>
    </row>
    <row r="986" spans="1:8" x14ac:dyDescent="0.2">
      <c r="A986" s="22"/>
      <c r="B986" s="26"/>
      <c r="C986" s="25"/>
      <c r="D986" s="25"/>
      <c r="E986" s="25"/>
      <c r="F986" s="23" t="str">
        <f t="shared" si="45"/>
        <v/>
      </c>
      <c r="G986" s="23" t="str">
        <f t="shared" si="46"/>
        <v/>
      </c>
      <c r="H986" s="23" t="str">
        <f t="shared" si="47"/>
        <v/>
      </c>
    </row>
    <row r="987" spans="1:8" x14ac:dyDescent="0.2">
      <c r="A987" s="22"/>
      <c r="B987" s="26"/>
      <c r="C987" s="25"/>
      <c r="D987" s="25"/>
      <c r="E987" s="25"/>
      <c r="F987" s="23" t="str">
        <f t="shared" si="45"/>
        <v/>
      </c>
      <c r="G987" s="23" t="str">
        <f t="shared" si="46"/>
        <v/>
      </c>
      <c r="H987" s="23" t="str">
        <f t="shared" si="47"/>
        <v/>
      </c>
    </row>
    <row r="988" spans="1:8" x14ac:dyDescent="0.2">
      <c r="A988" s="22"/>
      <c r="B988" s="26"/>
      <c r="C988" s="25"/>
      <c r="D988" s="25"/>
      <c r="E988" s="25"/>
      <c r="F988" s="23" t="str">
        <f t="shared" si="45"/>
        <v/>
      </c>
      <c r="G988" s="23" t="str">
        <f t="shared" si="46"/>
        <v/>
      </c>
      <c r="H988" s="23" t="str">
        <f t="shared" si="47"/>
        <v/>
      </c>
    </row>
    <row r="989" spans="1:8" x14ac:dyDescent="0.2">
      <c r="A989" s="22"/>
      <c r="B989" s="26"/>
      <c r="C989" s="25"/>
      <c r="D989" s="25"/>
      <c r="E989" s="25"/>
      <c r="F989" s="23" t="str">
        <f t="shared" si="45"/>
        <v/>
      </c>
      <c r="G989" s="23" t="str">
        <f t="shared" si="46"/>
        <v/>
      </c>
      <c r="H989" s="23" t="str">
        <f t="shared" si="47"/>
        <v/>
      </c>
    </row>
    <row r="990" spans="1:8" x14ac:dyDescent="0.2">
      <c r="A990" s="22"/>
      <c r="B990" s="26"/>
      <c r="C990" s="25"/>
      <c r="D990" s="25"/>
      <c r="E990" s="25"/>
      <c r="F990" s="23" t="str">
        <f t="shared" si="45"/>
        <v/>
      </c>
      <c r="G990" s="23" t="str">
        <f t="shared" si="46"/>
        <v/>
      </c>
      <c r="H990" s="23" t="str">
        <f t="shared" si="47"/>
        <v/>
      </c>
    </row>
    <row r="991" spans="1:8" x14ac:dyDescent="0.2">
      <c r="A991" s="22"/>
      <c r="B991" s="26"/>
      <c r="C991" s="25"/>
      <c r="D991" s="25"/>
      <c r="E991" s="25"/>
      <c r="F991" s="23" t="str">
        <f t="shared" si="45"/>
        <v/>
      </c>
      <c r="G991" s="23" t="str">
        <f t="shared" si="46"/>
        <v/>
      </c>
      <c r="H991" s="23" t="str">
        <f t="shared" si="47"/>
        <v/>
      </c>
    </row>
    <row r="992" spans="1:8" x14ac:dyDescent="0.2">
      <c r="A992" s="22"/>
      <c r="B992" s="26"/>
      <c r="C992" s="25"/>
      <c r="D992" s="25"/>
      <c r="E992" s="25"/>
      <c r="F992" s="23" t="str">
        <f t="shared" si="45"/>
        <v/>
      </c>
      <c r="G992" s="23" t="str">
        <f t="shared" si="46"/>
        <v/>
      </c>
      <c r="H992" s="23" t="str">
        <f t="shared" si="47"/>
        <v/>
      </c>
    </row>
    <row r="993" spans="1:8" x14ac:dyDescent="0.2">
      <c r="A993" s="22"/>
      <c r="B993" s="26"/>
      <c r="C993" s="25"/>
      <c r="D993" s="25"/>
      <c r="E993" s="25"/>
      <c r="F993" s="23" t="str">
        <f t="shared" si="45"/>
        <v/>
      </c>
      <c r="G993" s="23" t="str">
        <f t="shared" si="46"/>
        <v/>
      </c>
      <c r="H993" s="23" t="str">
        <f t="shared" si="47"/>
        <v/>
      </c>
    </row>
    <row r="994" spans="1:8" x14ac:dyDescent="0.2">
      <c r="A994" s="22"/>
      <c r="B994" s="26"/>
      <c r="C994" s="25"/>
      <c r="D994" s="25"/>
      <c r="E994" s="25"/>
      <c r="F994" s="23" t="str">
        <f t="shared" si="45"/>
        <v/>
      </c>
      <c r="G994" s="23" t="str">
        <f t="shared" si="46"/>
        <v/>
      </c>
      <c r="H994" s="23" t="str">
        <f t="shared" si="47"/>
        <v/>
      </c>
    </row>
    <row r="995" spans="1:8" x14ac:dyDescent="0.2">
      <c r="A995" s="22"/>
      <c r="B995" s="26"/>
      <c r="C995" s="25"/>
      <c r="D995" s="25"/>
      <c r="E995" s="25"/>
      <c r="F995" s="23" t="str">
        <f t="shared" si="45"/>
        <v/>
      </c>
      <c r="G995" s="23" t="str">
        <f t="shared" si="46"/>
        <v/>
      </c>
      <c r="H995" s="23" t="str">
        <f t="shared" si="47"/>
        <v/>
      </c>
    </row>
    <row r="996" spans="1:8" x14ac:dyDescent="0.2">
      <c r="A996" s="22"/>
      <c r="B996" s="26"/>
      <c r="C996" s="25"/>
      <c r="D996" s="25"/>
      <c r="E996" s="25"/>
      <c r="F996" s="23" t="str">
        <f t="shared" si="45"/>
        <v/>
      </c>
      <c r="G996" s="23" t="str">
        <f t="shared" si="46"/>
        <v/>
      </c>
      <c r="H996" s="23" t="str">
        <f t="shared" si="47"/>
        <v/>
      </c>
    </row>
    <row r="997" spans="1:8" x14ac:dyDescent="0.2">
      <c r="A997" s="22"/>
      <c r="B997" s="26"/>
      <c r="C997" s="25"/>
      <c r="D997" s="25"/>
      <c r="E997" s="25"/>
      <c r="F997" s="23" t="str">
        <f t="shared" si="45"/>
        <v/>
      </c>
      <c r="G997" s="23" t="str">
        <f t="shared" si="46"/>
        <v/>
      </c>
      <c r="H997" s="23" t="str">
        <f t="shared" si="47"/>
        <v/>
      </c>
    </row>
    <row r="998" spans="1:8" x14ac:dyDescent="0.2">
      <c r="A998" s="22"/>
      <c r="B998" s="26"/>
      <c r="C998" s="25"/>
      <c r="D998" s="25"/>
      <c r="E998" s="25"/>
      <c r="F998" s="23" t="str">
        <f t="shared" si="45"/>
        <v/>
      </c>
      <c r="G998" s="23" t="str">
        <f t="shared" si="46"/>
        <v/>
      </c>
      <c r="H998" s="23" t="str">
        <f t="shared" si="47"/>
        <v/>
      </c>
    </row>
    <row r="999" spans="1:8" x14ac:dyDescent="0.2">
      <c r="A999" s="22"/>
      <c r="B999" s="26"/>
      <c r="C999" s="25"/>
      <c r="D999" s="25"/>
      <c r="E999" s="25"/>
      <c r="F999" s="23" t="str">
        <f t="shared" si="45"/>
        <v/>
      </c>
      <c r="G999" s="23" t="str">
        <f t="shared" si="46"/>
        <v/>
      </c>
      <c r="H999" s="23" t="str">
        <f t="shared" si="47"/>
        <v/>
      </c>
    </row>
    <row r="1000" spans="1:8" x14ac:dyDescent="0.2">
      <c r="A1000" s="22"/>
      <c r="B1000" s="26"/>
      <c r="C1000" s="25"/>
      <c r="D1000" s="25"/>
      <c r="E1000" s="25"/>
      <c r="F1000" s="23" t="str">
        <f t="shared" si="45"/>
        <v/>
      </c>
      <c r="G1000" s="23" t="str">
        <f t="shared" si="46"/>
        <v/>
      </c>
      <c r="H1000" s="23" t="str">
        <f t="shared" si="47"/>
        <v/>
      </c>
    </row>
  </sheetData>
  <mergeCells count="4">
    <mergeCell ref="J12:K12"/>
    <mergeCell ref="A1:H1"/>
    <mergeCell ref="J1:K1"/>
    <mergeCell ref="J22:L22"/>
  </mergeCell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2052" r:id="rId4" name="CommandButton1">
          <controlPr defaultSize="0" autoLine="0" r:id="rId5">
            <anchor moveWithCells="1">
              <from>
                <xdr:col>9</xdr:col>
                <xdr:colOff>38100</xdr:colOff>
                <xdr:row>26</xdr:row>
                <xdr:rowOff>38100</xdr:rowOff>
              </from>
              <to>
                <xdr:col>10</xdr:col>
                <xdr:colOff>695325</xdr:colOff>
                <xdr:row>28</xdr:row>
                <xdr:rowOff>171450</xdr:rowOff>
              </to>
            </anchor>
          </controlPr>
        </control>
      </mc:Choice>
      <mc:Fallback>
        <control shapeId="2052"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F0940-054C-43D6-939E-9168EB7E8486}">
  <sheetPr codeName="Sheet3"/>
  <dimension ref="A1:I103"/>
  <sheetViews>
    <sheetView workbookViewId="0">
      <selection activeCell="M17" sqref="M17"/>
    </sheetView>
  </sheetViews>
  <sheetFormatPr defaultRowHeight="15" x14ac:dyDescent="0.25"/>
  <cols>
    <col min="1" max="1" width="16" style="17" customWidth="1"/>
    <col min="2" max="2" width="14.140625" style="36" customWidth="1"/>
    <col min="3" max="3" width="17.42578125" style="36" customWidth="1"/>
    <col min="4" max="4" width="16.5703125" style="36" customWidth="1"/>
    <col min="5" max="5" width="14.140625" style="36" customWidth="1"/>
    <col min="6" max="7" width="8.7109375" style="17" customWidth="1"/>
    <col min="8" max="8" width="9.42578125" customWidth="1"/>
    <col min="9" max="9" width="25.7109375" customWidth="1"/>
  </cols>
  <sheetData>
    <row r="1" spans="1:9" ht="21" x14ac:dyDescent="0.35">
      <c r="A1" s="46"/>
      <c r="B1" s="98" t="s">
        <v>48</v>
      </c>
      <c r="C1" s="98"/>
      <c r="D1" s="98"/>
      <c r="E1" s="98"/>
      <c r="F1" s="74"/>
      <c r="H1" s="72" t="s">
        <v>89</v>
      </c>
      <c r="I1" s="79">
        <f>AVERAGE(E3:E103)</f>
        <v>7.3085381243750885E-2</v>
      </c>
    </row>
    <row r="2" spans="1:9" ht="15.75" x14ac:dyDescent="0.25">
      <c r="A2" s="42" t="s">
        <v>0</v>
      </c>
      <c r="B2" s="45" t="s">
        <v>49</v>
      </c>
      <c r="C2" s="45" t="s">
        <v>50</v>
      </c>
      <c r="D2" s="45" t="s">
        <v>51</v>
      </c>
      <c r="E2" s="45" t="s">
        <v>52</v>
      </c>
      <c r="F2" s="75" t="s">
        <v>87</v>
      </c>
      <c r="G2" s="77"/>
      <c r="H2" s="78" t="s">
        <v>88</v>
      </c>
      <c r="I2" s="79">
        <f>STDEV(E3:E103)</f>
        <v>5.524993909669669E-2</v>
      </c>
    </row>
    <row r="3" spans="1:9" x14ac:dyDescent="0.25">
      <c r="A3" s="61" t="s">
        <v>10</v>
      </c>
      <c r="B3" s="35">
        <f>IF( 'COMPUTE PARAMETERS'!E3&lt;&gt;"", 'COMPUTE PARAMETERS'!E3-'APPLY TRANSFORMATION'!F4," ")</f>
        <v>-3.012799471616745E-2</v>
      </c>
      <c r="C3" s="35">
        <f>IF( 'COMPUTE PARAMETERS'!F3&lt;&gt;"", 'COMPUTE PARAMETERS'!F3-'APPLY TRANSFORMATION'!G4," ")</f>
        <v>0.10244930721819401</v>
      </c>
      <c r="D3" s="35">
        <f>IF( 'COMPUTE PARAMETERS'!G3&lt;&gt;"", 'COMPUTE PARAMETERS'!G3-'APPLY TRANSFORMATION'!H4," ")</f>
        <v>-5.1108077168464661E-3</v>
      </c>
      <c r="E3" s="35">
        <f>IF(B3&lt;&gt;" ",SQRT(B3^2+C3^2+D3^2),"")</f>
        <v>0.10690966733941272</v>
      </c>
      <c r="F3" s="73" t="str">
        <f>IF(E3&lt;&gt;"",IF(E3&gt;$I$3*$I$6,"Y","N"),"")</f>
        <v>N</v>
      </c>
      <c r="G3" s="80"/>
      <c r="H3" s="72" t="s">
        <v>86</v>
      </c>
      <c r="I3" s="79" cm="1">
        <f t="array" ref="I3">SQRT(SUMPRODUCT(E3:INDEX(E:E,MATCH(1E+99,E:E))^2)/COUNTA(E3:INDEX(E:E,MATCH(1E+99,E:E))))</f>
        <v>8.951234133045298E-2</v>
      </c>
    </row>
    <row r="4" spans="1:9" x14ac:dyDescent="0.25">
      <c r="A4" s="61">
        <v>9213</v>
      </c>
      <c r="B4" s="35">
        <f>IF( 'COMPUTE PARAMETERS'!E4&lt;&gt;"", 'COMPUTE PARAMETERS'!E4-'APPLY TRANSFORMATION'!F5," ")</f>
        <v>-7.1144958958029747E-2</v>
      </c>
      <c r="C4" s="35">
        <f>IF( 'COMPUTE PARAMETERS'!F4&lt;&gt;"", 'COMPUTE PARAMETERS'!F4-'APPLY TRANSFORMATION'!G5," ")</f>
        <v>-0.13881288282573223</v>
      </c>
      <c r="D4" s="35">
        <f>IF( 'COMPUTE PARAMETERS'!G4&lt;&gt;"", 'COMPUTE PARAMETERS'!G4-'APPLY TRANSFORMATION'!H5," ")</f>
        <v>0.11282028444111347</v>
      </c>
      <c r="E4" s="35">
        <f t="shared" ref="E4:E12" si="0">IF(B4&lt;&gt;" ",SQRT(B4^2+C4^2+D4^2),"")</f>
        <v>0.1925072419544365</v>
      </c>
      <c r="F4" s="73" t="str">
        <f t="shared" ref="F4:F67" si="1">IF(E4&lt;&gt;"",IF(E4&gt;$I$3*$I$6,"Y","N"),"")</f>
        <v>Y</v>
      </c>
      <c r="G4" s="76"/>
      <c r="I4" s="71"/>
    </row>
    <row r="5" spans="1:9" x14ac:dyDescent="0.25">
      <c r="A5" s="61">
        <v>9220</v>
      </c>
      <c r="B5" s="35">
        <f>IF( 'COMPUTE PARAMETERS'!E5&lt;&gt;"", 'COMPUTE PARAMETERS'!E5-'APPLY TRANSFORMATION'!F6," ")</f>
        <v>4.7536818310618401E-3</v>
      </c>
      <c r="C5" s="35">
        <f>IF( 'COMPUTE PARAMETERS'!F5&lt;&gt;"", 'COMPUTE PARAMETERS'!F5-'APPLY TRANSFORMATION'!G6," ")</f>
        <v>6.9629009813070297E-3</v>
      </c>
      <c r="D5" s="35">
        <f>IF( 'COMPUTE PARAMETERS'!G5&lt;&gt;"", 'COMPUTE PARAMETERS'!G5-'APPLY TRANSFORMATION'!H6," ")</f>
        <v>2.5950610637664795E-2</v>
      </c>
      <c r="E5" s="35">
        <f t="shared" si="0"/>
        <v>2.7285777861261993E-2</v>
      </c>
      <c r="F5" s="73" t="str">
        <f t="shared" si="1"/>
        <v>N</v>
      </c>
      <c r="G5" s="76"/>
      <c r="H5" s="99" t="s">
        <v>90</v>
      </c>
      <c r="I5" s="99"/>
    </row>
    <row r="6" spans="1:9" x14ac:dyDescent="0.25">
      <c r="A6" s="61">
        <v>200704</v>
      </c>
      <c r="B6" s="35">
        <f>IF( 'COMPUTE PARAMETERS'!E6&lt;&gt;"", 'COMPUTE PARAMETERS'!E6-'APPLY TRANSFORMATION'!F7," ")</f>
        <v>1.9142690114676952E-2</v>
      </c>
      <c r="C6" s="35">
        <f>IF( 'COMPUTE PARAMETERS'!F6&lt;&gt;"", 'COMPUTE PARAMETERS'!F6-'APPLY TRANSFORMATION'!G7," ")</f>
        <v>-6.4499404281377792E-2</v>
      </c>
      <c r="D6" s="35">
        <f>IF( 'COMPUTE PARAMETERS'!G6&lt;&gt;"", 'COMPUTE PARAMETERS'!G6-'APPLY TRANSFORMATION'!H7," ")</f>
        <v>-1.7588574439287186E-2</v>
      </c>
      <c r="E6" s="35">
        <f t="shared" si="0"/>
        <v>6.9541165422255566E-2</v>
      </c>
      <c r="F6" s="73" t="str">
        <f t="shared" si="1"/>
        <v>N</v>
      </c>
      <c r="G6" s="76"/>
      <c r="H6" s="81" t="s">
        <v>91</v>
      </c>
      <c r="I6" s="82">
        <v>1.5</v>
      </c>
    </row>
    <row r="7" spans="1:9" x14ac:dyDescent="0.25">
      <c r="A7" s="61" t="s">
        <v>11</v>
      </c>
      <c r="B7" s="35">
        <f>IF( 'COMPUTE PARAMETERS'!E7&lt;&gt;"", 'COMPUTE PARAMETERS'!E7-'APPLY TRANSFORMATION'!F8," ")</f>
        <v>-3.2829875126481056E-2</v>
      </c>
      <c r="C7" s="35">
        <f>IF( 'COMPUTE PARAMETERS'!F7&lt;&gt;"", 'COMPUTE PARAMETERS'!F7-'APPLY TRANSFORMATION'!G8," ")</f>
        <v>3.2930798828601837E-2</v>
      </c>
      <c r="D7" s="35">
        <f>IF( 'COMPUTE PARAMETERS'!G7&lt;&gt;"", 'COMPUTE PARAMETERS'!G7-'APPLY TRANSFORMATION'!H8," ")</f>
        <v>2.1151047199964523E-2</v>
      </c>
      <c r="E7" s="35">
        <f t="shared" si="0"/>
        <v>5.1084293182594893E-2</v>
      </c>
      <c r="F7" s="73" t="str">
        <f t="shared" si="1"/>
        <v>N</v>
      </c>
      <c r="G7" s="76"/>
    </row>
    <row r="8" spans="1:9" x14ac:dyDescent="0.25">
      <c r="A8" s="61">
        <v>201502</v>
      </c>
      <c r="B8" s="35">
        <f>IF( 'COMPUTE PARAMETERS'!E8&lt;&gt;"", 'COMPUTE PARAMETERS'!E8-'APPLY TRANSFORMATION'!F9," ")</f>
        <v>-1.8490924499928951E-2</v>
      </c>
      <c r="C8" s="35">
        <f>IF( 'COMPUTE PARAMETERS'!F8&lt;&gt;"", 'COMPUTE PARAMETERS'!F8-'APPLY TRANSFORMATION'!G9," ")</f>
        <v>4.6511199325323105E-3</v>
      </c>
      <c r="D8" s="35">
        <f>IF( 'COMPUTE PARAMETERS'!G8&lt;&gt;"", 'COMPUTE PARAMETERS'!G8-'APPLY TRANSFORMATION'!H9," ")</f>
        <v>-5.3843798115849495E-2</v>
      </c>
      <c r="E8" s="35">
        <f t="shared" si="0"/>
        <v>5.712006478488299E-2</v>
      </c>
      <c r="F8" s="73" t="str">
        <f t="shared" si="1"/>
        <v>N</v>
      </c>
      <c r="G8" s="76"/>
    </row>
    <row r="9" spans="1:9" x14ac:dyDescent="0.25">
      <c r="A9" s="61" t="s">
        <v>22</v>
      </c>
      <c r="B9" s="35">
        <f>IF( 'COMPUTE PARAMETERS'!E9&lt;&gt;"", 'COMPUTE PARAMETERS'!E9-'APPLY TRANSFORMATION'!F10," ")</f>
        <v>-2.763054333627224E-3</v>
      </c>
      <c r="C9" s="35">
        <f>IF( 'COMPUTE PARAMETERS'!F9&lt;&gt;"", 'COMPUTE PARAMETERS'!F9-'APPLY TRANSFORMATION'!G10," ")</f>
        <v>-1.2452397495508194E-2</v>
      </c>
      <c r="D9" s="35">
        <f>IF( 'COMPUTE PARAMETERS'!G9&lt;&gt;"", 'COMPUTE PARAMETERS'!G9-'APPLY TRANSFORMATION'!H10," ")</f>
        <v>-1.332431472837925E-2</v>
      </c>
      <c r="E9" s="35">
        <f t="shared" si="0"/>
        <v>1.8445434004588212E-2</v>
      </c>
      <c r="F9" s="73" t="str">
        <f t="shared" si="1"/>
        <v>N</v>
      </c>
      <c r="G9" s="76"/>
    </row>
    <row r="10" spans="1:9" x14ac:dyDescent="0.25">
      <c r="A10" s="61">
        <v>9935</v>
      </c>
      <c r="B10" s="35">
        <f>IF( 'COMPUTE PARAMETERS'!E10&lt;&gt;"", 'COMPUTE PARAMETERS'!E10-'APPLY TRANSFORMATION'!F11," ")</f>
        <v>-7.5701158493757248E-3</v>
      </c>
      <c r="C10" s="35">
        <f>IF( 'COMPUTE PARAMETERS'!F10&lt;&gt;"", 'COMPUTE PARAMETERS'!F10-'APPLY TRANSFORMATION'!G11," ")</f>
        <v>-3.8236524909734726E-2</v>
      </c>
      <c r="D10" s="35">
        <f>IF( 'COMPUTE PARAMETERS'!G10&lt;&gt;"", 'COMPUTE PARAMETERS'!G10-'APPLY TRANSFORMATION'!H11," ")</f>
        <v>4.7943634912371635E-2</v>
      </c>
      <c r="E10" s="35">
        <f t="shared" si="0"/>
        <v>6.1789405400574246E-2</v>
      </c>
      <c r="F10" s="73" t="str">
        <f t="shared" si="1"/>
        <v>N</v>
      </c>
      <c r="G10" s="76"/>
    </row>
    <row r="11" spans="1:9" x14ac:dyDescent="0.25">
      <c r="A11" s="61"/>
      <c r="B11" s="35" t="str">
        <f>IF( 'COMPUTE PARAMETERS'!E11&lt;&gt;"", 'COMPUTE PARAMETERS'!E11-'APPLY TRANSFORMATION'!F12," ")</f>
        <v xml:space="preserve"> </v>
      </c>
      <c r="C11" s="35" t="str">
        <f>IF( 'COMPUTE PARAMETERS'!F11&lt;&gt;"", 'COMPUTE PARAMETERS'!F11-'APPLY TRANSFORMATION'!G12," ")</f>
        <v xml:space="preserve"> </v>
      </c>
      <c r="D11" s="35" t="str">
        <f>IF( 'COMPUTE PARAMETERS'!G11&lt;&gt;"", 'COMPUTE PARAMETERS'!G11-'APPLY TRANSFORMATION'!H12," ")</f>
        <v xml:space="preserve"> </v>
      </c>
      <c r="E11" s="35" t="str">
        <f t="shared" si="0"/>
        <v/>
      </c>
      <c r="F11" s="73" t="str">
        <f t="shared" si="1"/>
        <v/>
      </c>
      <c r="G11" s="76"/>
    </row>
    <row r="12" spans="1:9" x14ac:dyDescent="0.25">
      <c r="A12" s="61"/>
      <c r="B12" s="35" t="str">
        <f>IF( 'COMPUTE PARAMETERS'!E12&lt;&gt;"", 'COMPUTE PARAMETERS'!E12-'APPLY TRANSFORMATION'!F13," ")</f>
        <v xml:space="preserve"> </v>
      </c>
      <c r="C12" s="35" t="str">
        <f>IF( 'COMPUTE PARAMETERS'!F12&lt;&gt;"", 'COMPUTE PARAMETERS'!F12-'APPLY TRANSFORMATION'!G13," ")</f>
        <v xml:space="preserve"> </v>
      </c>
      <c r="D12" s="35" t="str">
        <f>IF( 'COMPUTE PARAMETERS'!G12&lt;&gt;"", 'COMPUTE PARAMETERS'!G12-'APPLY TRANSFORMATION'!H13," ")</f>
        <v xml:space="preserve"> </v>
      </c>
      <c r="E12" s="35" t="str">
        <f t="shared" si="0"/>
        <v/>
      </c>
      <c r="F12" s="73" t="str">
        <f t="shared" si="1"/>
        <v/>
      </c>
      <c r="G12" s="76"/>
    </row>
    <row r="13" spans="1:9" x14ac:dyDescent="0.25">
      <c r="A13" s="61"/>
      <c r="B13" s="35" t="str">
        <f>IF( 'COMPUTE PARAMETERS'!E13&lt;&gt;"", 'COMPUTE PARAMETERS'!E13-'APPLY TRANSFORMATION'!F14," ")</f>
        <v xml:space="preserve"> </v>
      </c>
      <c r="C13" s="35" t="str">
        <f>IF( 'COMPUTE PARAMETERS'!F13&lt;&gt;"", 'COMPUTE PARAMETERS'!F13-'APPLY TRANSFORMATION'!G14," ")</f>
        <v xml:space="preserve"> </v>
      </c>
      <c r="D13" s="35" t="str">
        <f>IF( 'COMPUTE PARAMETERS'!G13&lt;&gt;"", 'COMPUTE PARAMETERS'!G13-'APPLY TRANSFORMATION'!H14," ")</f>
        <v xml:space="preserve"> </v>
      </c>
      <c r="E13" s="35" t="str">
        <f t="shared" ref="E13:E76" si="2">IF(B13&lt;&gt;" ",SQRT(B13^2+C13^2+D13^2),"")</f>
        <v/>
      </c>
      <c r="F13" s="73" t="str">
        <f t="shared" si="1"/>
        <v/>
      </c>
      <c r="G13" s="76"/>
    </row>
    <row r="14" spans="1:9" x14ac:dyDescent="0.25">
      <c r="A14" s="1"/>
      <c r="B14" s="35" t="str">
        <f>IF( 'COMPUTE PARAMETERS'!E14&lt;&gt;"", 'COMPUTE PARAMETERS'!E14-'APPLY TRANSFORMATION'!F15," ")</f>
        <v xml:space="preserve"> </v>
      </c>
      <c r="C14" s="35" t="str">
        <f>IF( 'COMPUTE PARAMETERS'!F14&lt;&gt;"", 'COMPUTE PARAMETERS'!F14-'APPLY TRANSFORMATION'!G15," ")</f>
        <v xml:space="preserve"> </v>
      </c>
      <c r="D14" s="35" t="str">
        <f>IF( 'COMPUTE PARAMETERS'!G14&lt;&gt;"", 'COMPUTE PARAMETERS'!G14-'APPLY TRANSFORMATION'!H15," ")</f>
        <v xml:space="preserve"> </v>
      </c>
      <c r="E14" s="35" t="str">
        <f t="shared" si="2"/>
        <v/>
      </c>
      <c r="F14" s="73" t="str">
        <f t="shared" si="1"/>
        <v/>
      </c>
      <c r="G14" s="76"/>
    </row>
    <row r="15" spans="1:9" x14ac:dyDescent="0.25">
      <c r="A15" s="1"/>
      <c r="B15" s="35" t="str">
        <f>IF( 'COMPUTE PARAMETERS'!E15&lt;&gt;"", 'COMPUTE PARAMETERS'!E15-'APPLY TRANSFORMATION'!F16," ")</f>
        <v xml:space="preserve"> </v>
      </c>
      <c r="C15" s="35" t="str">
        <f>IF( 'COMPUTE PARAMETERS'!F15&lt;&gt;"", 'COMPUTE PARAMETERS'!F15-'APPLY TRANSFORMATION'!G16," ")</f>
        <v xml:space="preserve"> </v>
      </c>
      <c r="D15" s="35" t="str">
        <f>IF( 'COMPUTE PARAMETERS'!G15&lt;&gt;"", 'COMPUTE PARAMETERS'!G15-'APPLY TRANSFORMATION'!H16," ")</f>
        <v xml:space="preserve"> </v>
      </c>
      <c r="E15" s="35" t="str">
        <f t="shared" si="2"/>
        <v/>
      </c>
      <c r="F15" s="73" t="str">
        <f t="shared" si="1"/>
        <v/>
      </c>
      <c r="G15" s="76"/>
    </row>
    <row r="16" spans="1:9" x14ac:dyDescent="0.25">
      <c r="A16" s="1"/>
      <c r="B16" s="35" t="str">
        <f>IF( 'COMPUTE PARAMETERS'!E16&lt;&gt;"", 'COMPUTE PARAMETERS'!E16-'APPLY TRANSFORMATION'!F17," ")</f>
        <v xml:space="preserve"> </v>
      </c>
      <c r="C16" s="35" t="str">
        <f>IF( 'COMPUTE PARAMETERS'!F16&lt;&gt;"", 'COMPUTE PARAMETERS'!F16-'APPLY TRANSFORMATION'!G17," ")</f>
        <v xml:space="preserve"> </v>
      </c>
      <c r="D16" s="35" t="str">
        <f>IF( 'COMPUTE PARAMETERS'!G16&lt;&gt;"", 'COMPUTE PARAMETERS'!G16-'APPLY TRANSFORMATION'!H17," ")</f>
        <v xml:space="preserve"> </v>
      </c>
      <c r="E16" s="35" t="str">
        <f t="shared" si="2"/>
        <v/>
      </c>
      <c r="F16" s="73" t="str">
        <f t="shared" si="1"/>
        <v/>
      </c>
      <c r="G16" s="76"/>
    </row>
    <row r="17" spans="1:7" x14ac:dyDescent="0.25">
      <c r="A17" s="1"/>
      <c r="B17" s="35" t="str">
        <f>IF( 'COMPUTE PARAMETERS'!E17&lt;&gt;"", 'COMPUTE PARAMETERS'!E17-'APPLY TRANSFORMATION'!F18," ")</f>
        <v xml:space="preserve"> </v>
      </c>
      <c r="C17" s="35" t="str">
        <f>IF( 'COMPUTE PARAMETERS'!F17&lt;&gt;"", 'COMPUTE PARAMETERS'!F17-'APPLY TRANSFORMATION'!G18," ")</f>
        <v xml:space="preserve"> </v>
      </c>
      <c r="D17" s="35" t="str">
        <f>IF( 'COMPUTE PARAMETERS'!G17&lt;&gt;"", 'COMPUTE PARAMETERS'!G17-'APPLY TRANSFORMATION'!H18," ")</f>
        <v xml:space="preserve"> </v>
      </c>
      <c r="E17" s="35" t="str">
        <f t="shared" si="2"/>
        <v/>
      </c>
      <c r="F17" s="73" t="str">
        <f t="shared" si="1"/>
        <v/>
      </c>
      <c r="G17" s="76"/>
    </row>
    <row r="18" spans="1:7" x14ac:dyDescent="0.25">
      <c r="A18" s="1"/>
      <c r="B18" s="35" t="str">
        <f>IF( 'COMPUTE PARAMETERS'!E18&lt;&gt;"", 'COMPUTE PARAMETERS'!E18-'APPLY TRANSFORMATION'!F19," ")</f>
        <v xml:space="preserve"> </v>
      </c>
      <c r="C18" s="35" t="str">
        <f>IF( 'COMPUTE PARAMETERS'!F18&lt;&gt;"", 'COMPUTE PARAMETERS'!F18-'APPLY TRANSFORMATION'!G19," ")</f>
        <v xml:space="preserve"> </v>
      </c>
      <c r="D18" s="35" t="str">
        <f>IF( 'COMPUTE PARAMETERS'!G18&lt;&gt;"", 'COMPUTE PARAMETERS'!G18-'APPLY TRANSFORMATION'!H19," ")</f>
        <v xml:space="preserve"> </v>
      </c>
      <c r="E18" s="35" t="str">
        <f t="shared" si="2"/>
        <v/>
      </c>
      <c r="F18" s="73" t="str">
        <f t="shared" si="1"/>
        <v/>
      </c>
      <c r="G18" s="76"/>
    </row>
    <row r="19" spans="1:7" x14ac:dyDescent="0.25">
      <c r="A19" s="1"/>
      <c r="B19" s="35" t="str">
        <f>IF( 'COMPUTE PARAMETERS'!E19&lt;&gt;"", 'COMPUTE PARAMETERS'!E19-'APPLY TRANSFORMATION'!F20," ")</f>
        <v xml:space="preserve"> </v>
      </c>
      <c r="C19" s="35" t="str">
        <f>IF( 'COMPUTE PARAMETERS'!F19&lt;&gt;"", 'COMPUTE PARAMETERS'!F19-'APPLY TRANSFORMATION'!G20," ")</f>
        <v xml:space="preserve"> </v>
      </c>
      <c r="D19" s="35" t="str">
        <f>IF( 'COMPUTE PARAMETERS'!G19&lt;&gt;"", 'COMPUTE PARAMETERS'!G19-'APPLY TRANSFORMATION'!H20," ")</f>
        <v xml:space="preserve"> </v>
      </c>
      <c r="E19" s="35" t="str">
        <f t="shared" si="2"/>
        <v/>
      </c>
      <c r="F19" s="73" t="str">
        <f t="shared" si="1"/>
        <v/>
      </c>
      <c r="G19" s="76"/>
    </row>
    <row r="20" spans="1:7" x14ac:dyDescent="0.25">
      <c r="A20" s="1"/>
      <c r="B20" s="35" t="str">
        <f>IF( 'COMPUTE PARAMETERS'!E20&lt;&gt;"", 'COMPUTE PARAMETERS'!E20-'APPLY TRANSFORMATION'!F21," ")</f>
        <v xml:space="preserve"> </v>
      </c>
      <c r="C20" s="35" t="str">
        <f>IF( 'COMPUTE PARAMETERS'!F20&lt;&gt;"", 'COMPUTE PARAMETERS'!F20-'APPLY TRANSFORMATION'!G21," ")</f>
        <v xml:space="preserve"> </v>
      </c>
      <c r="D20" s="35" t="str">
        <f>IF( 'COMPUTE PARAMETERS'!G20&lt;&gt;"", 'COMPUTE PARAMETERS'!G20-'APPLY TRANSFORMATION'!H21," ")</f>
        <v xml:space="preserve"> </v>
      </c>
      <c r="E20" s="35" t="str">
        <f t="shared" si="2"/>
        <v/>
      </c>
      <c r="F20" s="73" t="str">
        <f t="shared" si="1"/>
        <v/>
      </c>
      <c r="G20" s="76"/>
    </row>
    <row r="21" spans="1:7" x14ac:dyDescent="0.25">
      <c r="A21" s="1"/>
      <c r="B21" s="35" t="str">
        <f>IF( 'COMPUTE PARAMETERS'!E21&lt;&gt;"", 'COMPUTE PARAMETERS'!E21-'APPLY TRANSFORMATION'!F22," ")</f>
        <v xml:space="preserve"> </v>
      </c>
      <c r="C21" s="35" t="str">
        <f>IF( 'COMPUTE PARAMETERS'!F21&lt;&gt;"", 'COMPUTE PARAMETERS'!F21-'APPLY TRANSFORMATION'!G22," ")</f>
        <v xml:space="preserve"> </v>
      </c>
      <c r="D21" s="35" t="str">
        <f>IF( 'COMPUTE PARAMETERS'!G21&lt;&gt;"", 'COMPUTE PARAMETERS'!G21-'APPLY TRANSFORMATION'!H22," ")</f>
        <v xml:space="preserve"> </v>
      </c>
      <c r="E21" s="35" t="str">
        <f t="shared" si="2"/>
        <v/>
      </c>
      <c r="F21" s="73" t="str">
        <f t="shared" si="1"/>
        <v/>
      </c>
      <c r="G21" s="76"/>
    </row>
    <row r="22" spans="1:7" x14ac:dyDescent="0.25">
      <c r="A22" s="1"/>
      <c r="B22" s="35" t="str">
        <f>IF( 'COMPUTE PARAMETERS'!E22&lt;&gt;"", 'COMPUTE PARAMETERS'!E22-'APPLY TRANSFORMATION'!F23," ")</f>
        <v xml:space="preserve"> </v>
      </c>
      <c r="C22" s="35" t="str">
        <f>IF( 'COMPUTE PARAMETERS'!F22&lt;&gt;"", 'COMPUTE PARAMETERS'!F22-'APPLY TRANSFORMATION'!G23," ")</f>
        <v xml:space="preserve"> </v>
      </c>
      <c r="D22" s="35" t="str">
        <f>IF( 'COMPUTE PARAMETERS'!G22&lt;&gt;"", 'COMPUTE PARAMETERS'!G22-'APPLY TRANSFORMATION'!H23," ")</f>
        <v xml:space="preserve"> </v>
      </c>
      <c r="E22" s="35" t="str">
        <f t="shared" si="2"/>
        <v/>
      </c>
      <c r="F22" s="73" t="str">
        <f t="shared" si="1"/>
        <v/>
      </c>
      <c r="G22" s="76"/>
    </row>
    <row r="23" spans="1:7" x14ac:dyDescent="0.25">
      <c r="A23" s="1"/>
      <c r="B23" s="35" t="str">
        <f>IF( 'COMPUTE PARAMETERS'!E23&lt;&gt;"", 'COMPUTE PARAMETERS'!E23-'APPLY TRANSFORMATION'!F24," ")</f>
        <v xml:space="preserve"> </v>
      </c>
      <c r="C23" s="35" t="str">
        <f>IF( 'COMPUTE PARAMETERS'!F23&lt;&gt;"", 'COMPUTE PARAMETERS'!F23-'APPLY TRANSFORMATION'!G24," ")</f>
        <v xml:space="preserve"> </v>
      </c>
      <c r="D23" s="35" t="str">
        <f>IF( 'COMPUTE PARAMETERS'!G23&lt;&gt;"", 'COMPUTE PARAMETERS'!G23-'APPLY TRANSFORMATION'!H24," ")</f>
        <v xml:space="preserve"> </v>
      </c>
      <c r="E23" s="35" t="str">
        <f t="shared" si="2"/>
        <v/>
      </c>
      <c r="F23" s="73" t="str">
        <f t="shared" si="1"/>
        <v/>
      </c>
      <c r="G23" s="76"/>
    </row>
    <row r="24" spans="1:7" x14ac:dyDescent="0.25">
      <c r="A24" s="1"/>
      <c r="B24" s="35" t="str">
        <f>IF( 'COMPUTE PARAMETERS'!E24&lt;&gt;"", 'COMPUTE PARAMETERS'!E24-'APPLY TRANSFORMATION'!F25," ")</f>
        <v xml:space="preserve"> </v>
      </c>
      <c r="C24" s="35" t="str">
        <f>IF( 'COMPUTE PARAMETERS'!F24&lt;&gt;"", 'COMPUTE PARAMETERS'!F24-'APPLY TRANSFORMATION'!G25," ")</f>
        <v xml:space="preserve"> </v>
      </c>
      <c r="D24" s="35" t="str">
        <f>IF( 'COMPUTE PARAMETERS'!G24&lt;&gt;"", 'COMPUTE PARAMETERS'!G24-'APPLY TRANSFORMATION'!H25," ")</f>
        <v xml:space="preserve"> </v>
      </c>
      <c r="E24" s="35" t="str">
        <f t="shared" si="2"/>
        <v/>
      </c>
      <c r="F24" s="73" t="str">
        <f t="shared" si="1"/>
        <v/>
      </c>
      <c r="G24" s="76"/>
    </row>
    <row r="25" spans="1:7" x14ac:dyDescent="0.25">
      <c r="A25" s="1"/>
      <c r="B25" s="35" t="str">
        <f>IF( 'COMPUTE PARAMETERS'!E25&lt;&gt;"", 'COMPUTE PARAMETERS'!E25-'APPLY TRANSFORMATION'!F26," ")</f>
        <v xml:space="preserve"> </v>
      </c>
      <c r="C25" s="35" t="str">
        <f>IF( 'COMPUTE PARAMETERS'!F25&lt;&gt;"", 'COMPUTE PARAMETERS'!F25-'APPLY TRANSFORMATION'!G26," ")</f>
        <v xml:space="preserve"> </v>
      </c>
      <c r="D25" s="35" t="str">
        <f>IF( 'COMPUTE PARAMETERS'!G25&lt;&gt;"", 'COMPUTE PARAMETERS'!G25-'APPLY TRANSFORMATION'!H26," ")</f>
        <v xml:space="preserve"> </v>
      </c>
      <c r="E25" s="35" t="str">
        <f t="shared" si="2"/>
        <v/>
      </c>
      <c r="F25" s="73" t="str">
        <f t="shared" si="1"/>
        <v/>
      </c>
      <c r="G25" s="76"/>
    </row>
    <row r="26" spans="1:7" x14ac:dyDescent="0.25">
      <c r="A26" s="1"/>
      <c r="B26" s="35" t="str">
        <f>IF( 'COMPUTE PARAMETERS'!E26&lt;&gt;"", 'COMPUTE PARAMETERS'!E26-'APPLY TRANSFORMATION'!F27," ")</f>
        <v xml:space="preserve"> </v>
      </c>
      <c r="C26" s="35" t="str">
        <f>IF( 'COMPUTE PARAMETERS'!F26&lt;&gt;"", 'COMPUTE PARAMETERS'!F26-'APPLY TRANSFORMATION'!G27," ")</f>
        <v xml:space="preserve"> </v>
      </c>
      <c r="D26" s="35" t="str">
        <f>IF( 'COMPUTE PARAMETERS'!G26&lt;&gt;"", 'COMPUTE PARAMETERS'!G26-'APPLY TRANSFORMATION'!H27," ")</f>
        <v xml:space="preserve"> </v>
      </c>
      <c r="E26" s="35" t="str">
        <f t="shared" si="2"/>
        <v/>
      </c>
      <c r="F26" s="73" t="str">
        <f t="shared" si="1"/>
        <v/>
      </c>
      <c r="G26" s="76"/>
    </row>
    <row r="27" spans="1:7" x14ac:dyDescent="0.25">
      <c r="A27" s="1"/>
      <c r="B27" s="35" t="str">
        <f>IF( 'COMPUTE PARAMETERS'!E27&lt;&gt;"", 'COMPUTE PARAMETERS'!E27-'APPLY TRANSFORMATION'!F28," ")</f>
        <v xml:space="preserve"> </v>
      </c>
      <c r="C27" s="35" t="str">
        <f>IF( 'COMPUTE PARAMETERS'!F27&lt;&gt;"", 'COMPUTE PARAMETERS'!F27-'APPLY TRANSFORMATION'!G28," ")</f>
        <v xml:space="preserve"> </v>
      </c>
      <c r="D27" s="35" t="str">
        <f>IF( 'COMPUTE PARAMETERS'!G27&lt;&gt;"", 'COMPUTE PARAMETERS'!G27-'APPLY TRANSFORMATION'!H28," ")</f>
        <v xml:space="preserve"> </v>
      </c>
      <c r="E27" s="35" t="str">
        <f t="shared" si="2"/>
        <v/>
      </c>
      <c r="F27" s="73" t="str">
        <f t="shared" si="1"/>
        <v/>
      </c>
      <c r="G27" s="76"/>
    </row>
    <row r="28" spans="1:7" x14ac:dyDescent="0.25">
      <c r="A28" s="1"/>
      <c r="B28" s="35" t="str">
        <f>IF( 'COMPUTE PARAMETERS'!E28&lt;&gt;"", 'COMPUTE PARAMETERS'!E28-'APPLY TRANSFORMATION'!F29," ")</f>
        <v xml:space="preserve"> </v>
      </c>
      <c r="C28" s="35" t="str">
        <f>IF( 'COMPUTE PARAMETERS'!F28&lt;&gt;"", 'COMPUTE PARAMETERS'!F28-'APPLY TRANSFORMATION'!G29," ")</f>
        <v xml:space="preserve"> </v>
      </c>
      <c r="D28" s="35" t="str">
        <f>IF( 'COMPUTE PARAMETERS'!G28&lt;&gt;"", 'COMPUTE PARAMETERS'!G28-'APPLY TRANSFORMATION'!H29," ")</f>
        <v xml:space="preserve"> </v>
      </c>
      <c r="E28" s="35" t="str">
        <f t="shared" si="2"/>
        <v/>
      </c>
      <c r="F28" s="73" t="str">
        <f t="shared" si="1"/>
        <v/>
      </c>
      <c r="G28" s="76"/>
    </row>
    <row r="29" spans="1:7" x14ac:dyDescent="0.25">
      <c r="A29" s="1"/>
      <c r="B29" s="35" t="str">
        <f>IF( 'COMPUTE PARAMETERS'!E29&lt;&gt;"", 'COMPUTE PARAMETERS'!E29-'APPLY TRANSFORMATION'!F30," ")</f>
        <v xml:space="preserve"> </v>
      </c>
      <c r="C29" s="35" t="str">
        <f>IF( 'COMPUTE PARAMETERS'!F29&lt;&gt;"", 'COMPUTE PARAMETERS'!F29-'APPLY TRANSFORMATION'!G30," ")</f>
        <v xml:space="preserve"> </v>
      </c>
      <c r="D29" s="35" t="str">
        <f>IF( 'COMPUTE PARAMETERS'!G29&lt;&gt;"", 'COMPUTE PARAMETERS'!G29-'APPLY TRANSFORMATION'!H30," ")</f>
        <v xml:space="preserve"> </v>
      </c>
      <c r="E29" s="35" t="str">
        <f t="shared" si="2"/>
        <v/>
      </c>
      <c r="F29" s="73" t="str">
        <f t="shared" si="1"/>
        <v/>
      </c>
      <c r="G29" s="76"/>
    </row>
    <row r="30" spans="1:7" x14ac:dyDescent="0.25">
      <c r="A30" s="1"/>
      <c r="B30" s="35" t="str">
        <f>IF( 'COMPUTE PARAMETERS'!E30&lt;&gt;"", 'COMPUTE PARAMETERS'!E30-'APPLY TRANSFORMATION'!F31," ")</f>
        <v xml:space="preserve"> </v>
      </c>
      <c r="C30" s="35" t="str">
        <f>IF( 'COMPUTE PARAMETERS'!F30&lt;&gt;"", 'COMPUTE PARAMETERS'!F30-'APPLY TRANSFORMATION'!G31," ")</f>
        <v xml:space="preserve"> </v>
      </c>
      <c r="D30" s="35" t="str">
        <f>IF( 'COMPUTE PARAMETERS'!G30&lt;&gt;"", 'COMPUTE PARAMETERS'!G30-'APPLY TRANSFORMATION'!H31," ")</f>
        <v xml:space="preserve"> </v>
      </c>
      <c r="E30" s="35" t="str">
        <f t="shared" si="2"/>
        <v/>
      </c>
      <c r="F30" s="73" t="str">
        <f t="shared" si="1"/>
        <v/>
      </c>
      <c r="G30" s="76"/>
    </row>
    <row r="31" spans="1:7" x14ac:dyDescent="0.25">
      <c r="A31" s="1"/>
      <c r="B31" s="35" t="str">
        <f>IF( 'COMPUTE PARAMETERS'!E31&lt;&gt;"", 'COMPUTE PARAMETERS'!E31-'APPLY TRANSFORMATION'!F32," ")</f>
        <v xml:space="preserve"> </v>
      </c>
      <c r="C31" s="35" t="str">
        <f>IF( 'COMPUTE PARAMETERS'!F31&lt;&gt;"", 'COMPUTE PARAMETERS'!F31-'APPLY TRANSFORMATION'!G32," ")</f>
        <v xml:space="preserve"> </v>
      </c>
      <c r="D31" s="35" t="str">
        <f>IF( 'COMPUTE PARAMETERS'!G31&lt;&gt;"", 'COMPUTE PARAMETERS'!G31-'APPLY TRANSFORMATION'!H32," ")</f>
        <v xml:space="preserve"> </v>
      </c>
      <c r="E31" s="35" t="str">
        <f t="shared" si="2"/>
        <v/>
      </c>
      <c r="F31" s="73" t="str">
        <f t="shared" si="1"/>
        <v/>
      </c>
      <c r="G31" s="76"/>
    </row>
    <row r="32" spans="1:7" x14ac:dyDescent="0.25">
      <c r="A32" s="1"/>
      <c r="B32" s="35" t="str">
        <f>IF( 'COMPUTE PARAMETERS'!E32&lt;&gt;"", 'COMPUTE PARAMETERS'!E32-'APPLY TRANSFORMATION'!F33," ")</f>
        <v xml:space="preserve"> </v>
      </c>
      <c r="C32" s="35" t="str">
        <f>IF( 'COMPUTE PARAMETERS'!F32&lt;&gt;"", 'COMPUTE PARAMETERS'!F32-'APPLY TRANSFORMATION'!G33," ")</f>
        <v xml:space="preserve"> </v>
      </c>
      <c r="D32" s="35" t="str">
        <f>IF( 'COMPUTE PARAMETERS'!G32&lt;&gt;"", 'COMPUTE PARAMETERS'!G32-'APPLY TRANSFORMATION'!H33," ")</f>
        <v xml:space="preserve"> </v>
      </c>
      <c r="E32" s="35" t="str">
        <f t="shared" si="2"/>
        <v/>
      </c>
      <c r="F32" s="73" t="str">
        <f t="shared" si="1"/>
        <v/>
      </c>
      <c r="G32" s="76"/>
    </row>
    <row r="33" spans="1:7" x14ac:dyDescent="0.25">
      <c r="A33" s="1"/>
      <c r="B33" s="35" t="str">
        <f>IF( 'COMPUTE PARAMETERS'!E33&lt;&gt;"", 'COMPUTE PARAMETERS'!E33-'APPLY TRANSFORMATION'!F34," ")</f>
        <v xml:space="preserve"> </v>
      </c>
      <c r="C33" s="35" t="str">
        <f>IF( 'COMPUTE PARAMETERS'!F33&lt;&gt;"", 'COMPUTE PARAMETERS'!F33-'APPLY TRANSFORMATION'!G34," ")</f>
        <v xml:space="preserve"> </v>
      </c>
      <c r="D33" s="35" t="str">
        <f>IF( 'COMPUTE PARAMETERS'!G33&lt;&gt;"", 'COMPUTE PARAMETERS'!G33-'APPLY TRANSFORMATION'!H34," ")</f>
        <v xml:space="preserve"> </v>
      </c>
      <c r="E33" s="35" t="str">
        <f t="shared" si="2"/>
        <v/>
      </c>
      <c r="F33" s="73" t="str">
        <f t="shared" si="1"/>
        <v/>
      </c>
      <c r="G33" s="76"/>
    </row>
    <row r="34" spans="1:7" x14ac:dyDescent="0.25">
      <c r="A34" s="1"/>
      <c r="B34" s="35" t="str">
        <f>IF( 'COMPUTE PARAMETERS'!E34&lt;&gt;"", 'COMPUTE PARAMETERS'!E34-'APPLY TRANSFORMATION'!F35," ")</f>
        <v xml:space="preserve"> </v>
      </c>
      <c r="C34" s="35" t="str">
        <f>IF( 'COMPUTE PARAMETERS'!F34&lt;&gt;"", 'COMPUTE PARAMETERS'!F34-'APPLY TRANSFORMATION'!G35," ")</f>
        <v xml:space="preserve"> </v>
      </c>
      <c r="D34" s="35" t="str">
        <f>IF( 'COMPUTE PARAMETERS'!G34&lt;&gt;"", 'COMPUTE PARAMETERS'!G34-'APPLY TRANSFORMATION'!H35," ")</f>
        <v xml:space="preserve"> </v>
      </c>
      <c r="E34" s="35" t="str">
        <f t="shared" si="2"/>
        <v/>
      </c>
      <c r="F34" s="73" t="str">
        <f t="shared" si="1"/>
        <v/>
      </c>
      <c r="G34" s="76"/>
    </row>
    <row r="35" spans="1:7" x14ac:dyDescent="0.25">
      <c r="A35" s="1"/>
      <c r="B35" s="35" t="str">
        <f>IF( 'COMPUTE PARAMETERS'!E35&lt;&gt;"", 'COMPUTE PARAMETERS'!E35-'APPLY TRANSFORMATION'!F36," ")</f>
        <v xml:space="preserve"> </v>
      </c>
      <c r="C35" s="35" t="str">
        <f>IF( 'COMPUTE PARAMETERS'!F35&lt;&gt;"", 'COMPUTE PARAMETERS'!F35-'APPLY TRANSFORMATION'!G36," ")</f>
        <v xml:space="preserve"> </v>
      </c>
      <c r="D35" s="35" t="str">
        <f>IF( 'COMPUTE PARAMETERS'!G35&lt;&gt;"", 'COMPUTE PARAMETERS'!G35-'APPLY TRANSFORMATION'!H36," ")</f>
        <v xml:space="preserve"> </v>
      </c>
      <c r="E35" s="35" t="str">
        <f t="shared" si="2"/>
        <v/>
      </c>
      <c r="F35" s="73" t="str">
        <f t="shared" si="1"/>
        <v/>
      </c>
      <c r="G35" s="76"/>
    </row>
    <row r="36" spans="1:7" x14ac:dyDescent="0.25">
      <c r="A36" s="1"/>
      <c r="B36" s="35" t="str">
        <f>IF( 'COMPUTE PARAMETERS'!E36&lt;&gt;"", 'COMPUTE PARAMETERS'!E36-'APPLY TRANSFORMATION'!F37," ")</f>
        <v xml:space="preserve"> </v>
      </c>
      <c r="C36" s="35" t="str">
        <f>IF( 'COMPUTE PARAMETERS'!F36&lt;&gt;"", 'COMPUTE PARAMETERS'!F36-'APPLY TRANSFORMATION'!G37," ")</f>
        <v xml:space="preserve"> </v>
      </c>
      <c r="D36" s="35" t="str">
        <f>IF( 'COMPUTE PARAMETERS'!G36&lt;&gt;"", 'COMPUTE PARAMETERS'!G36-'APPLY TRANSFORMATION'!H37," ")</f>
        <v xml:space="preserve"> </v>
      </c>
      <c r="E36" s="35" t="str">
        <f t="shared" si="2"/>
        <v/>
      </c>
      <c r="F36" s="73" t="str">
        <f t="shared" si="1"/>
        <v/>
      </c>
      <c r="G36" s="76"/>
    </row>
    <row r="37" spans="1:7" x14ac:dyDescent="0.25">
      <c r="A37" s="1"/>
      <c r="B37" s="35" t="str">
        <f>IF( 'COMPUTE PARAMETERS'!E37&lt;&gt;"", 'COMPUTE PARAMETERS'!E37-'APPLY TRANSFORMATION'!F38," ")</f>
        <v xml:space="preserve"> </v>
      </c>
      <c r="C37" s="35" t="str">
        <f>IF( 'COMPUTE PARAMETERS'!F37&lt;&gt;"", 'COMPUTE PARAMETERS'!F37-'APPLY TRANSFORMATION'!G38," ")</f>
        <v xml:space="preserve"> </v>
      </c>
      <c r="D37" s="35" t="str">
        <f>IF( 'COMPUTE PARAMETERS'!G37&lt;&gt;"", 'COMPUTE PARAMETERS'!G37-'APPLY TRANSFORMATION'!H38," ")</f>
        <v xml:space="preserve"> </v>
      </c>
      <c r="E37" s="35" t="str">
        <f t="shared" si="2"/>
        <v/>
      </c>
      <c r="F37" s="73" t="str">
        <f t="shared" si="1"/>
        <v/>
      </c>
      <c r="G37" s="76"/>
    </row>
    <row r="38" spans="1:7" x14ac:dyDescent="0.25">
      <c r="A38" s="1"/>
      <c r="B38" s="35" t="str">
        <f>IF( 'COMPUTE PARAMETERS'!E38&lt;&gt;"", 'COMPUTE PARAMETERS'!E38-'APPLY TRANSFORMATION'!F39," ")</f>
        <v xml:space="preserve"> </v>
      </c>
      <c r="C38" s="35" t="str">
        <f>IF( 'COMPUTE PARAMETERS'!F38&lt;&gt;"", 'COMPUTE PARAMETERS'!F38-'APPLY TRANSFORMATION'!G39," ")</f>
        <v xml:space="preserve"> </v>
      </c>
      <c r="D38" s="35" t="str">
        <f>IF( 'COMPUTE PARAMETERS'!G38&lt;&gt;"", 'COMPUTE PARAMETERS'!G38-'APPLY TRANSFORMATION'!H39," ")</f>
        <v xml:space="preserve"> </v>
      </c>
      <c r="E38" s="35" t="str">
        <f t="shared" si="2"/>
        <v/>
      </c>
      <c r="F38" s="73" t="str">
        <f t="shared" si="1"/>
        <v/>
      </c>
      <c r="G38" s="76"/>
    </row>
    <row r="39" spans="1:7" x14ac:dyDescent="0.25">
      <c r="A39" s="1"/>
      <c r="B39" s="35" t="str">
        <f>IF( 'COMPUTE PARAMETERS'!E39&lt;&gt;"", 'COMPUTE PARAMETERS'!E39-'APPLY TRANSFORMATION'!F40," ")</f>
        <v xml:space="preserve"> </v>
      </c>
      <c r="C39" s="35" t="str">
        <f>IF( 'COMPUTE PARAMETERS'!F39&lt;&gt;"", 'COMPUTE PARAMETERS'!F39-'APPLY TRANSFORMATION'!G40," ")</f>
        <v xml:space="preserve"> </v>
      </c>
      <c r="D39" s="35" t="str">
        <f>IF( 'COMPUTE PARAMETERS'!G39&lt;&gt;"", 'COMPUTE PARAMETERS'!G39-'APPLY TRANSFORMATION'!H40," ")</f>
        <v xml:space="preserve"> </v>
      </c>
      <c r="E39" s="35" t="str">
        <f t="shared" si="2"/>
        <v/>
      </c>
      <c r="F39" s="73" t="str">
        <f t="shared" si="1"/>
        <v/>
      </c>
      <c r="G39" s="76"/>
    </row>
    <row r="40" spans="1:7" x14ac:dyDescent="0.25">
      <c r="A40" s="1"/>
      <c r="B40" s="35" t="str">
        <f>IF( 'COMPUTE PARAMETERS'!E40&lt;&gt;"", 'COMPUTE PARAMETERS'!E40-'APPLY TRANSFORMATION'!F41," ")</f>
        <v xml:space="preserve"> </v>
      </c>
      <c r="C40" s="35" t="str">
        <f>IF( 'COMPUTE PARAMETERS'!F40&lt;&gt;"", 'COMPUTE PARAMETERS'!F40-'APPLY TRANSFORMATION'!G41," ")</f>
        <v xml:space="preserve"> </v>
      </c>
      <c r="D40" s="35" t="str">
        <f>IF( 'COMPUTE PARAMETERS'!G40&lt;&gt;"", 'COMPUTE PARAMETERS'!G40-'APPLY TRANSFORMATION'!H41," ")</f>
        <v xml:space="preserve"> </v>
      </c>
      <c r="E40" s="35" t="str">
        <f t="shared" si="2"/>
        <v/>
      </c>
      <c r="F40" s="73" t="str">
        <f t="shared" si="1"/>
        <v/>
      </c>
      <c r="G40" s="76"/>
    </row>
    <row r="41" spans="1:7" x14ac:dyDescent="0.25">
      <c r="A41" s="1"/>
      <c r="B41" s="35" t="str">
        <f>IF( 'COMPUTE PARAMETERS'!E41&lt;&gt;"", 'COMPUTE PARAMETERS'!E41-'APPLY TRANSFORMATION'!F42," ")</f>
        <v xml:space="preserve"> </v>
      </c>
      <c r="C41" s="35" t="str">
        <f>IF( 'COMPUTE PARAMETERS'!F41&lt;&gt;"", 'COMPUTE PARAMETERS'!F41-'APPLY TRANSFORMATION'!G42," ")</f>
        <v xml:space="preserve"> </v>
      </c>
      <c r="D41" s="35" t="str">
        <f>IF( 'COMPUTE PARAMETERS'!G41&lt;&gt;"", 'COMPUTE PARAMETERS'!G41-'APPLY TRANSFORMATION'!H42," ")</f>
        <v xml:space="preserve"> </v>
      </c>
      <c r="E41" s="35" t="str">
        <f t="shared" si="2"/>
        <v/>
      </c>
      <c r="F41" s="73" t="str">
        <f t="shared" si="1"/>
        <v/>
      </c>
      <c r="G41" s="76"/>
    </row>
    <row r="42" spans="1:7" x14ac:dyDescent="0.25">
      <c r="A42" s="1"/>
      <c r="B42" s="35" t="str">
        <f>IF( 'COMPUTE PARAMETERS'!E42&lt;&gt;"", 'COMPUTE PARAMETERS'!E42-'APPLY TRANSFORMATION'!F43," ")</f>
        <v xml:space="preserve"> </v>
      </c>
      <c r="C42" s="35" t="str">
        <f>IF( 'COMPUTE PARAMETERS'!F42&lt;&gt;"", 'COMPUTE PARAMETERS'!F42-'APPLY TRANSFORMATION'!G43," ")</f>
        <v xml:space="preserve"> </v>
      </c>
      <c r="D42" s="35" t="str">
        <f>IF( 'COMPUTE PARAMETERS'!G42&lt;&gt;"", 'COMPUTE PARAMETERS'!G42-'APPLY TRANSFORMATION'!H43," ")</f>
        <v xml:space="preserve"> </v>
      </c>
      <c r="E42" s="35" t="str">
        <f t="shared" si="2"/>
        <v/>
      </c>
      <c r="F42" s="73" t="str">
        <f t="shared" si="1"/>
        <v/>
      </c>
      <c r="G42" s="76"/>
    </row>
    <row r="43" spans="1:7" x14ac:dyDescent="0.25">
      <c r="A43" s="1"/>
      <c r="B43" s="35" t="str">
        <f>IF( 'COMPUTE PARAMETERS'!E43&lt;&gt;"", 'COMPUTE PARAMETERS'!E43-'APPLY TRANSFORMATION'!F44," ")</f>
        <v xml:space="preserve"> </v>
      </c>
      <c r="C43" s="35" t="str">
        <f>IF( 'COMPUTE PARAMETERS'!F43&lt;&gt;"", 'COMPUTE PARAMETERS'!F43-'APPLY TRANSFORMATION'!G44," ")</f>
        <v xml:space="preserve"> </v>
      </c>
      <c r="D43" s="35" t="str">
        <f>IF( 'COMPUTE PARAMETERS'!G43&lt;&gt;"", 'COMPUTE PARAMETERS'!G43-'APPLY TRANSFORMATION'!H44," ")</f>
        <v xml:space="preserve"> </v>
      </c>
      <c r="E43" s="35" t="str">
        <f t="shared" si="2"/>
        <v/>
      </c>
      <c r="F43" s="73" t="str">
        <f t="shared" si="1"/>
        <v/>
      </c>
      <c r="G43" s="76"/>
    </row>
    <row r="44" spans="1:7" x14ac:dyDescent="0.25">
      <c r="A44" s="1"/>
      <c r="B44" s="35" t="str">
        <f>IF( 'COMPUTE PARAMETERS'!E44&lt;&gt;"", 'COMPUTE PARAMETERS'!E44-'APPLY TRANSFORMATION'!F45," ")</f>
        <v xml:space="preserve"> </v>
      </c>
      <c r="C44" s="35" t="str">
        <f>IF( 'COMPUTE PARAMETERS'!F44&lt;&gt;"", 'COMPUTE PARAMETERS'!F44-'APPLY TRANSFORMATION'!G45," ")</f>
        <v xml:space="preserve"> </v>
      </c>
      <c r="D44" s="35" t="str">
        <f>IF( 'COMPUTE PARAMETERS'!G44&lt;&gt;"", 'COMPUTE PARAMETERS'!G44-'APPLY TRANSFORMATION'!H45," ")</f>
        <v xml:space="preserve"> </v>
      </c>
      <c r="E44" s="35" t="str">
        <f t="shared" si="2"/>
        <v/>
      </c>
      <c r="F44" s="73" t="str">
        <f t="shared" si="1"/>
        <v/>
      </c>
      <c r="G44" s="76"/>
    </row>
    <row r="45" spans="1:7" x14ac:dyDescent="0.25">
      <c r="A45" s="1"/>
      <c r="B45" s="35" t="str">
        <f>IF( 'COMPUTE PARAMETERS'!E45&lt;&gt;"", 'COMPUTE PARAMETERS'!E45-'APPLY TRANSFORMATION'!F46," ")</f>
        <v xml:space="preserve"> </v>
      </c>
      <c r="C45" s="35" t="str">
        <f>IF( 'COMPUTE PARAMETERS'!F45&lt;&gt;"", 'COMPUTE PARAMETERS'!F45-'APPLY TRANSFORMATION'!G46," ")</f>
        <v xml:space="preserve"> </v>
      </c>
      <c r="D45" s="35" t="str">
        <f>IF( 'COMPUTE PARAMETERS'!G45&lt;&gt;"", 'COMPUTE PARAMETERS'!G45-'APPLY TRANSFORMATION'!H46," ")</f>
        <v xml:space="preserve"> </v>
      </c>
      <c r="E45" s="35" t="str">
        <f t="shared" si="2"/>
        <v/>
      </c>
      <c r="F45" s="73" t="str">
        <f t="shared" si="1"/>
        <v/>
      </c>
      <c r="G45" s="76"/>
    </row>
    <row r="46" spans="1:7" x14ac:dyDescent="0.25">
      <c r="A46" s="1"/>
      <c r="B46" s="35" t="str">
        <f>IF( 'COMPUTE PARAMETERS'!E46&lt;&gt;"", 'COMPUTE PARAMETERS'!E46-'APPLY TRANSFORMATION'!F47," ")</f>
        <v xml:space="preserve"> </v>
      </c>
      <c r="C46" s="35" t="str">
        <f>IF( 'COMPUTE PARAMETERS'!F46&lt;&gt;"", 'COMPUTE PARAMETERS'!F46-'APPLY TRANSFORMATION'!G47," ")</f>
        <v xml:space="preserve"> </v>
      </c>
      <c r="D46" s="35" t="str">
        <f>IF( 'COMPUTE PARAMETERS'!G46&lt;&gt;"", 'COMPUTE PARAMETERS'!G46-'APPLY TRANSFORMATION'!H47," ")</f>
        <v xml:space="preserve"> </v>
      </c>
      <c r="E46" s="35" t="str">
        <f t="shared" si="2"/>
        <v/>
      </c>
      <c r="F46" s="73" t="str">
        <f t="shared" si="1"/>
        <v/>
      </c>
      <c r="G46" s="76"/>
    </row>
    <row r="47" spans="1:7" x14ac:dyDescent="0.25">
      <c r="A47" s="1"/>
      <c r="B47" s="35" t="str">
        <f>IF( 'COMPUTE PARAMETERS'!E47&lt;&gt;"", 'COMPUTE PARAMETERS'!E47-'APPLY TRANSFORMATION'!F48," ")</f>
        <v xml:space="preserve"> </v>
      </c>
      <c r="C47" s="35" t="str">
        <f>IF( 'COMPUTE PARAMETERS'!F47&lt;&gt;"", 'COMPUTE PARAMETERS'!F47-'APPLY TRANSFORMATION'!G48," ")</f>
        <v xml:space="preserve"> </v>
      </c>
      <c r="D47" s="35" t="str">
        <f>IF( 'COMPUTE PARAMETERS'!G47&lt;&gt;"", 'COMPUTE PARAMETERS'!G47-'APPLY TRANSFORMATION'!H48," ")</f>
        <v xml:space="preserve"> </v>
      </c>
      <c r="E47" s="35" t="str">
        <f t="shared" si="2"/>
        <v/>
      </c>
      <c r="F47" s="73" t="str">
        <f t="shared" si="1"/>
        <v/>
      </c>
      <c r="G47" s="76"/>
    </row>
    <row r="48" spans="1:7" x14ac:dyDescent="0.25">
      <c r="A48" s="1"/>
      <c r="B48" s="35" t="str">
        <f>IF( 'COMPUTE PARAMETERS'!E48&lt;&gt;"", 'COMPUTE PARAMETERS'!E48-'APPLY TRANSFORMATION'!F49," ")</f>
        <v xml:space="preserve"> </v>
      </c>
      <c r="C48" s="35" t="str">
        <f>IF( 'COMPUTE PARAMETERS'!F48&lt;&gt;"", 'COMPUTE PARAMETERS'!F48-'APPLY TRANSFORMATION'!G49," ")</f>
        <v xml:space="preserve"> </v>
      </c>
      <c r="D48" s="35" t="str">
        <f>IF( 'COMPUTE PARAMETERS'!G48&lt;&gt;"", 'COMPUTE PARAMETERS'!G48-'APPLY TRANSFORMATION'!H49," ")</f>
        <v xml:space="preserve"> </v>
      </c>
      <c r="E48" s="35" t="str">
        <f t="shared" si="2"/>
        <v/>
      </c>
      <c r="F48" s="73" t="str">
        <f t="shared" si="1"/>
        <v/>
      </c>
      <c r="G48" s="76"/>
    </row>
    <row r="49" spans="1:7" x14ac:dyDescent="0.25">
      <c r="A49" s="1"/>
      <c r="B49" s="35" t="str">
        <f>IF( 'COMPUTE PARAMETERS'!E49&lt;&gt;"", 'COMPUTE PARAMETERS'!E49-'APPLY TRANSFORMATION'!F50," ")</f>
        <v xml:space="preserve"> </v>
      </c>
      <c r="C49" s="35" t="str">
        <f>IF( 'COMPUTE PARAMETERS'!F49&lt;&gt;"", 'COMPUTE PARAMETERS'!F49-'APPLY TRANSFORMATION'!G50," ")</f>
        <v xml:space="preserve"> </v>
      </c>
      <c r="D49" s="35" t="str">
        <f>IF( 'COMPUTE PARAMETERS'!G49&lt;&gt;"", 'COMPUTE PARAMETERS'!G49-'APPLY TRANSFORMATION'!H50," ")</f>
        <v xml:space="preserve"> </v>
      </c>
      <c r="E49" s="35" t="str">
        <f t="shared" si="2"/>
        <v/>
      </c>
      <c r="F49" s="73" t="str">
        <f t="shared" si="1"/>
        <v/>
      </c>
      <c r="G49" s="76"/>
    </row>
    <row r="50" spans="1:7" x14ac:dyDescent="0.25">
      <c r="A50" s="1"/>
      <c r="B50" s="35" t="str">
        <f>IF( 'COMPUTE PARAMETERS'!E50&lt;&gt;"", 'COMPUTE PARAMETERS'!E50-'APPLY TRANSFORMATION'!F51," ")</f>
        <v xml:space="preserve"> </v>
      </c>
      <c r="C50" s="35" t="str">
        <f>IF( 'COMPUTE PARAMETERS'!F50&lt;&gt;"", 'COMPUTE PARAMETERS'!F50-'APPLY TRANSFORMATION'!G51," ")</f>
        <v xml:space="preserve"> </v>
      </c>
      <c r="D50" s="35" t="str">
        <f>IF( 'COMPUTE PARAMETERS'!G50&lt;&gt;"", 'COMPUTE PARAMETERS'!G50-'APPLY TRANSFORMATION'!H51," ")</f>
        <v xml:space="preserve"> </v>
      </c>
      <c r="E50" s="35" t="str">
        <f t="shared" si="2"/>
        <v/>
      </c>
      <c r="F50" s="73" t="str">
        <f t="shared" si="1"/>
        <v/>
      </c>
      <c r="G50" s="76"/>
    </row>
    <row r="51" spans="1:7" x14ac:dyDescent="0.25">
      <c r="A51" s="1"/>
      <c r="B51" s="35" t="str">
        <f>IF( 'COMPUTE PARAMETERS'!E51&lt;&gt;"", 'COMPUTE PARAMETERS'!E51-'APPLY TRANSFORMATION'!F52," ")</f>
        <v xml:space="preserve"> </v>
      </c>
      <c r="C51" s="35" t="str">
        <f>IF( 'COMPUTE PARAMETERS'!F51&lt;&gt;"", 'COMPUTE PARAMETERS'!F51-'APPLY TRANSFORMATION'!G52," ")</f>
        <v xml:space="preserve"> </v>
      </c>
      <c r="D51" s="35" t="str">
        <f>IF( 'COMPUTE PARAMETERS'!G51&lt;&gt;"", 'COMPUTE PARAMETERS'!G51-'APPLY TRANSFORMATION'!H52," ")</f>
        <v xml:space="preserve"> </v>
      </c>
      <c r="E51" s="35" t="str">
        <f t="shared" si="2"/>
        <v/>
      </c>
      <c r="F51" s="73" t="str">
        <f t="shared" si="1"/>
        <v/>
      </c>
      <c r="G51" s="76"/>
    </row>
    <row r="52" spans="1:7" x14ac:dyDescent="0.25">
      <c r="A52" s="1"/>
      <c r="B52" s="35" t="str">
        <f>IF( 'COMPUTE PARAMETERS'!E52&lt;&gt;"", 'COMPUTE PARAMETERS'!E52-'APPLY TRANSFORMATION'!F53," ")</f>
        <v xml:space="preserve"> </v>
      </c>
      <c r="C52" s="35" t="str">
        <f>IF( 'COMPUTE PARAMETERS'!F52&lt;&gt;"", 'COMPUTE PARAMETERS'!F52-'APPLY TRANSFORMATION'!G53," ")</f>
        <v xml:space="preserve"> </v>
      </c>
      <c r="D52" s="35" t="str">
        <f>IF( 'COMPUTE PARAMETERS'!G52&lt;&gt;"", 'COMPUTE PARAMETERS'!G52-'APPLY TRANSFORMATION'!H53," ")</f>
        <v xml:space="preserve"> </v>
      </c>
      <c r="E52" s="35" t="str">
        <f t="shared" si="2"/>
        <v/>
      </c>
      <c r="F52" s="73" t="str">
        <f t="shared" si="1"/>
        <v/>
      </c>
      <c r="G52" s="76"/>
    </row>
    <row r="53" spans="1:7" x14ac:dyDescent="0.25">
      <c r="A53" s="1"/>
      <c r="B53" s="35" t="str">
        <f>IF( 'COMPUTE PARAMETERS'!E53&lt;&gt;"", 'COMPUTE PARAMETERS'!E53-'APPLY TRANSFORMATION'!F54," ")</f>
        <v xml:space="preserve"> </v>
      </c>
      <c r="C53" s="35" t="str">
        <f>IF( 'COMPUTE PARAMETERS'!F53&lt;&gt;"", 'COMPUTE PARAMETERS'!F53-'APPLY TRANSFORMATION'!G54," ")</f>
        <v xml:space="preserve"> </v>
      </c>
      <c r="D53" s="35" t="str">
        <f>IF( 'COMPUTE PARAMETERS'!G53&lt;&gt;"", 'COMPUTE PARAMETERS'!G53-'APPLY TRANSFORMATION'!H54," ")</f>
        <v xml:space="preserve"> </v>
      </c>
      <c r="E53" s="35" t="str">
        <f t="shared" si="2"/>
        <v/>
      </c>
      <c r="F53" s="73" t="str">
        <f t="shared" si="1"/>
        <v/>
      </c>
      <c r="G53" s="76"/>
    </row>
    <row r="54" spans="1:7" x14ac:dyDescent="0.25">
      <c r="A54" s="1"/>
      <c r="B54" s="35" t="str">
        <f>IF( 'COMPUTE PARAMETERS'!E54&lt;&gt;"", 'COMPUTE PARAMETERS'!E54-'APPLY TRANSFORMATION'!F55," ")</f>
        <v xml:space="preserve"> </v>
      </c>
      <c r="C54" s="35" t="str">
        <f>IF( 'COMPUTE PARAMETERS'!F54&lt;&gt;"", 'COMPUTE PARAMETERS'!F54-'APPLY TRANSFORMATION'!G55," ")</f>
        <v xml:space="preserve"> </v>
      </c>
      <c r="D54" s="35" t="str">
        <f>IF( 'COMPUTE PARAMETERS'!G54&lt;&gt;"", 'COMPUTE PARAMETERS'!G54-'APPLY TRANSFORMATION'!H55," ")</f>
        <v xml:space="preserve"> </v>
      </c>
      <c r="E54" s="35" t="str">
        <f t="shared" si="2"/>
        <v/>
      </c>
      <c r="F54" s="73" t="str">
        <f t="shared" si="1"/>
        <v/>
      </c>
      <c r="G54" s="76"/>
    </row>
    <row r="55" spans="1:7" x14ac:dyDescent="0.25">
      <c r="A55" s="1"/>
      <c r="B55" s="35" t="str">
        <f>IF( 'COMPUTE PARAMETERS'!E55&lt;&gt;"", 'COMPUTE PARAMETERS'!E55-'APPLY TRANSFORMATION'!F56," ")</f>
        <v xml:space="preserve"> </v>
      </c>
      <c r="C55" s="35" t="str">
        <f>IF( 'COMPUTE PARAMETERS'!F55&lt;&gt;"", 'COMPUTE PARAMETERS'!F55-'APPLY TRANSFORMATION'!G56," ")</f>
        <v xml:space="preserve"> </v>
      </c>
      <c r="D55" s="35" t="str">
        <f>IF( 'COMPUTE PARAMETERS'!G55&lt;&gt;"", 'COMPUTE PARAMETERS'!G55-'APPLY TRANSFORMATION'!H56," ")</f>
        <v xml:space="preserve"> </v>
      </c>
      <c r="E55" s="35" t="str">
        <f t="shared" si="2"/>
        <v/>
      </c>
      <c r="F55" s="73" t="str">
        <f t="shared" si="1"/>
        <v/>
      </c>
      <c r="G55" s="76"/>
    </row>
    <row r="56" spans="1:7" x14ac:dyDescent="0.25">
      <c r="A56" s="1"/>
      <c r="B56" s="35" t="str">
        <f>IF( 'COMPUTE PARAMETERS'!E56&lt;&gt;"", 'COMPUTE PARAMETERS'!E56-'APPLY TRANSFORMATION'!F57," ")</f>
        <v xml:space="preserve"> </v>
      </c>
      <c r="C56" s="35" t="str">
        <f>IF( 'COMPUTE PARAMETERS'!F56&lt;&gt;"", 'COMPUTE PARAMETERS'!F56-'APPLY TRANSFORMATION'!G57," ")</f>
        <v xml:space="preserve"> </v>
      </c>
      <c r="D56" s="35" t="str">
        <f>IF( 'COMPUTE PARAMETERS'!G56&lt;&gt;"", 'COMPUTE PARAMETERS'!G56-'APPLY TRANSFORMATION'!H57," ")</f>
        <v xml:space="preserve"> </v>
      </c>
      <c r="E56" s="35" t="str">
        <f t="shared" si="2"/>
        <v/>
      </c>
      <c r="F56" s="73" t="str">
        <f t="shared" si="1"/>
        <v/>
      </c>
      <c r="G56" s="76"/>
    </row>
    <row r="57" spans="1:7" x14ac:dyDescent="0.25">
      <c r="A57" s="1"/>
      <c r="B57" s="35" t="str">
        <f>IF( 'COMPUTE PARAMETERS'!E57&lt;&gt;"", 'COMPUTE PARAMETERS'!E57-'APPLY TRANSFORMATION'!F58," ")</f>
        <v xml:space="preserve"> </v>
      </c>
      <c r="C57" s="35" t="str">
        <f>IF( 'COMPUTE PARAMETERS'!F57&lt;&gt;"", 'COMPUTE PARAMETERS'!F57-'APPLY TRANSFORMATION'!G58," ")</f>
        <v xml:space="preserve"> </v>
      </c>
      <c r="D57" s="35" t="str">
        <f>IF( 'COMPUTE PARAMETERS'!G57&lt;&gt;"", 'COMPUTE PARAMETERS'!G57-'APPLY TRANSFORMATION'!H58," ")</f>
        <v xml:space="preserve"> </v>
      </c>
      <c r="E57" s="35" t="str">
        <f t="shared" si="2"/>
        <v/>
      </c>
      <c r="F57" s="73" t="str">
        <f t="shared" si="1"/>
        <v/>
      </c>
      <c r="G57" s="76"/>
    </row>
    <row r="58" spans="1:7" x14ac:dyDescent="0.25">
      <c r="A58" s="1"/>
      <c r="B58" s="35" t="str">
        <f>IF( 'COMPUTE PARAMETERS'!E58&lt;&gt;"", 'COMPUTE PARAMETERS'!E58-'APPLY TRANSFORMATION'!F59," ")</f>
        <v xml:space="preserve"> </v>
      </c>
      <c r="C58" s="35" t="str">
        <f>IF( 'COMPUTE PARAMETERS'!F58&lt;&gt;"", 'COMPUTE PARAMETERS'!F58-'APPLY TRANSFORMATION'!G59," ")</f>
        <v xml:space="preserve"> </v>
      </c>
      <c r="D58" s="35" t="str">
        <f>IF( 'COMPUTE PARAMETERS'!G58&lt;&gt;"", 'COMPUTE PARAMETERS'!G58-'APPLY TRANSFORMATION'!H59," ")</f>
        <v xml:space="preserve"> </v>
      </c>
      <c r="E58" s="35" t="str">
        <f t="shared" si="2"/>
        <v/>
      </c>
      <c r="F58" s="73" t="str">
        <f t="shared" si="1"/>
        <v/>
      </c>
      <c r="G58" s="76"/>
    </row>
    <row r="59" spans="1:7" x14ac:dyDescent="0.25">
      <c r="A59" s="1"/>
      <c r="B59" s="35" t="str">
        <f>IF( 'COMPUTE PARAMETERS'!E59&lt;&gt;"", 'COMPUTE PARAMETERS'!E59-'APPLY TRANSFORMATION'!F60," ")</f>
        <v xml:space="preserve"> </v>
      </c>
      <c r="C59" s="35" t="str">
        <f>IF( 'COMPUTE PARAMETERS'!F59&lt;&gt;"", 'COMPUTE PARAMETERS'!F59-'APPLY TRANSFORMATION'!G60," ")</f>
        <v xml:space="preserve"> </v>
      </c>
      <c r="D59" s="35" t="str">
        <f>IF( 'COMPUTE PARAMETERS'!G59&lt;&gt;"", 'COMPUTE PARAMETERS'!G59-'APPLY TRANSFORMATION'!H60," ")</f>
        <v xml:space="preserve"> </v>
      </c>
      <c r="E59" s="35" t="str">
        <f t="shared" si="2"/>
        <v/>
      </c>
      <c r="F59" s="73" t="str">
        <f t="shared" si="1"/>
        <v/>
      </c>
      <c r="G59" s="76"/>
    </row>
    <row r="60" spans="1:7" x14ac:dyDescent="0.25">
      <c r="A60" s="1"/>
      <c r="B60" s="35" t="str">
        <f>IF( 'COMPUTE PARAMETERS'!E60&lt;&gt;"", 'COMPUTE PARAMETERS'!E60-'APPLY TRANSFORMATION'!F61," ")</f>
        <v xml:space="preserve"> </v>
      </c>
      <c r="C60" s="35" t="str">
        <f>IF( 'COMPUTE PARAMETERS'!F60&lt;&gt;"", 'COMPUTE PARAMETERS'!F60-'APPLY TRANSFORMATION'!G61," ")</f>
        <v xml:space="preserve"> </v>
      </c>
      <c r="D60" s="35" t="str">
        <f>IF( 'COMPUTE PARAMETERS'!G60&lt;&gt;"", 'COMPUTE PARAMETERS'!G60-'APPLY TRANSFORMATION'!H61," ")</f>
        <v xml:space="preserve"> </v>
      </c>
      <c r="E60" s="35" t="str">
        <f t="shared" si="2"/>
        <v/>
      </c>
      <c r="F60" s="73" t="str">
        <f t="shared" si="1"/>
        <v/>
      </c>
      <c r="G60" s="76"/>
    </row>
    <row r="61" spans="1:7" x14ac:dyDescent="0.25">
      <c r="A61" s="1"/>
      <c r="B61" s="35" t="str">
        <f>IF( 'COMPUTE PARAMETERS'!E61&lt;&gt;"", 'COMPUTE PARAMETERS'!E61-'APPLY TRANSFORMATION'!F62," ")</f>
        <v xml:space="preserve"> </v>
      </c>
      <c r="C61" s="35" t="str">
        <f>IF( 'COMPUTE PARAMETERS'!F61&lt;&gt;"", 'COMPUTE PARAMETERS'!F61-'APPLY TRANSFORMATION'!G62," ")</f>
        <v xml:space="preserve"> </v>
      </c>
      <c r="D61" s="35" t="str">
        <f>IF( 'COMPUTE PARAMETERS'!G61&lt;&gt;"", 'COMPUTE PARAMETERS'!G61-'APPLY TRANSFORMATION'!H62," ")</f>
        <v xml:space="preserve"> </v>
      </c>
      <c r="E61" s="35" t="str">
        <f t="shared" si="2"/>
        <v/>
      </c>
      <c r="F61" s="73" t="str">
        <f t="shared" si="1"/>
        <v/>
      </c>
      <c r="G61" s="76"/>
    </row>
    <row r="62" spans="1:7" x14ac:dyDescent="0.25">
      <c r="A62" s="1"/>
      <c r="B62" s="35" t="str">
        <f>IF( 'COMPUTE PARAMETERS'!E62&lt;&gt;"", 'COMPUTE PARAMETERS'!E62-'APPLY TRANSFORMATION'!F63," ")</f>
        <v xml:space="preserve"> </v>
      </c>
      <c r="C62" s="35" t="str">
        <f>IF( 'COMPUTE PARAMETERS'!F62&lt;&gt;"", 'COMPUTE PARAMETERS'!F62-'APPLY TRANSFORMATION'!G63," ")</f>
        <v xml:space="preserve"> </v>
      </c>
      <c r="D62" s="35" t="str">
        <f>IF( 'COMPUTE PARAMETERS'!G62&lt;&gt;"", 'COMPUTE PARAMETERS'!G62-'APPLY TRANSFORMATION'!H63," ")</f>
        <v xml:space="preserve"> </v>
      </c>
      <c r="E62" s="35" t="str">
        <f t="shared" si="2"/>
        <v/>
      </c>
      <c r="F62" s="73" t="str">
        <f t="shared" si="1"/>
        <v/>
      </c>
      <c r="G62" s="76"/>
    </row>
    <row r="63" spans="1:7" x14ac:dyDescent="0.25">
      <c r="A63" s="1"/>
      <c r="B63" s="35" t="str">
        <f>IF( 'COMPUTE PARAMETERS'!E63&lt;&gt;"", 'COMPUTE PARAMETERS'!E63-'APPLY TRANSFORMATION'!F64," ")</f>
        <v xml:space="preserve"> </v>
      </c>
      <c r="C63" s="35" t="str">
        <f>IF( 'COMPUTE PARAMETERS'!F63&lt;&gt;"", 'COMPUTE PARAMETERS'!F63-'APPLY TRANSFORMATION'!G64," ")</f>
        <v xml:space="preserve"> </v>
      </c>
      <c r="D63" s="35" t="str">
        <f>IF( 'COMPUTE PARAMETERS'!G63&lt;&gt;"", 'COMPUTE PARAMETERS'!G63-'APPLY TRANSFORMATION'!H64," ")</f>
        <v xml:space="preserve"> </v>
      </c>
      <c r="E63" s="35" t="str">
        <f t="shared" si="2"/>
        <v/>
      </c>
      <c r="F63" s="73" t="str">
        <f t="shared" si="1"/>
        <v/>
      </c>
      <c r="G63" s="76"/>
    </row>
    <row r="64" spans="1:7" x14ac:dyDescent="0.25">
      <c r="A64" s="1"/>
      <c r="B64" s="35" t="str">
        <f>IF( 'COMPUTE PARAMETERS'!E64&lt;&gt;"", 'COMPUTE PARAMETERS'!E64-'APPLY TRANSFORMATION'!F65," ")</f>
        <v xml:space="preserve"> </v>
      </c>
      <c r="C64" s="35" t="str">
        <f>IF( 'COMPUTE PARAMETERS'!F64&lt;&gt;"", 'COMPUTE PARAMETERS'!F64-'APPLY TRANSFORMATION'!G65," ")</f>
        <v xml:space="preserve"> </v>
      </c>
      <c r="D64" s="35" t="str">
        <f>IF( 'COMPUTE PARAMETERS'!G64&lt;&gt;"", 'COMPUTE PARAMETERS'!G64-'APPLY TRANSFORMATION'!H65," ")</f>
        <v xml:space="preserve"> </v>
      </c>
      <c r="E64" s="35" t="str">
        <f t="shared" si="2"/>
        <v/>
      </c>
      <c r="F64" s="73" t="str">
        <f t="shared" si="1"/>
        <v/>
      </c>
      <c r="G64" s="76"/>
    </row>
    <row r="65" spans="1:7" x14ac:dyDescent="0.25">
      <c r="A65" s="1"/>
      <c r="B65" s="35" t="str">
        <f>IF( 'COMPUTE PARAMETERS'!E65&lt;&gt;"", 'COMPUTE PARAMETERS'!E65-'APPLY TRANSFORMATION'!F66," ")</f>
        <v xml:space="preserve"> </v>
      </c>
      <c r="C65" s="35" t="str">
        <f>IF( 'COMPUTE PARAMETERS'!F65&lt;&gt;"", 'COMPUTE PARAMETERS'!F65-'APPLY TRANSFORMATION'!G66," ")</f>
        <v xml:space="preserve"> </v>
      </c>
      <c r="D65" s="35" t="str">
        <f>IF( 'COMPUTE PARAMETERS'!G65&lt;&gt;"", 'COMPUTE PARAMETERS'!G65-'APPLY TRANSFORMATION'!H66," ")</f>
        <v xml:space="preserve"> </v>
      </c>
      <c r="E65" s="35" t="str">
        <f t="shared" si="2"/>
        <v/>
      </c>
      <c r="F65" s="73" t="str">
        <f t="shared" si="1"/>
        <v/>
      </c>
      <c r="G65" s="76"/>
    </row>
    <row r="66" spans="1:7" x14ac:dyDescent="0.25">
      <c r="A66" s="1"/>
      <c r="B66" s="35" t="str">
        <f>IF( 'COMPUTE PARAMETERS'!E66&lt;&gt;"", 'COMPUTE PARAMETERS'!E66-'APPLY TRANSFORMATION'!F67," ")</f>
        <v xml:space="preserve"> </v>
      </c>
      <c r="C66" s="35" t="str">
        <f>IF( 'COMPUTE PARAMETERS'!F66&lt;&gt;"", 'COMPUTE PARAMETERS'!F66-'APPLY TRANSFORMATION'!G67," ")</f>
        <v xml:space="preserve"> </v>
      </c>
      <c r="D66" s="35" t="str">
        <f>IF( 'COMPUTE PARAMETERS'!G66&lt;&gt;"", 'COMPUTE PARAMETERS'!G66-'APPLY TRANSFORMATION'!H67," ")</f>
        <v xml:space="preserve"> </v>
      </c>
      <c r="E66" s="35" t="str">
        <f t="shared" si="2"/>
        <v/>
      </c>
      <c r="F66" s="73" t="str">
        <f t="shared" si="1"/>
        <v/>
      </c>
      <c r="G66" s="76"/>
    </row>
    <row r="67" spans="1:7" x14ac:dyDescent="0.25">
      <c r="A67" s="1"/>
      <c r="B67" s="35" t="str">
        <f>IF( 'COMPUTE PARAMETERS'!E67&lt;&gt;"", 'COMPUTE PARAMETERS'!E67-'APPLY TRANSFORMATION'!F68," ")</f>
        <v xml:space="preserve"> </v>
      </c>
      <c r="C67" s="35" t="str">
        <f>IF( 'COMPUTE PARAMETERS'!F67&lt;&gt;"", 'COMPUTE PARAMETERS'!F67-'APPLY TRANSFORMATION'!G68," ")</f>
        <v xml:space="preserve"> </v>
      </c>
      <c r="D67" s="35" t="str">
        <f>IF( 'COMPUTE PARAMETERS'!G67&lt;&gt;"", 'COMPUTE PARAMETERS'!G67-'APPLY TRANSFORMATION'!H68," ")</f>
        <v xml:space="preserve"> </v>
      </c>
      <c r="E67" s="35" t="str">
        <f t="shared" si="2"/>
        <v/>
      </c>
      <c r="F67" s="73" t="str">
        <f t="shared" si="1"/>
        <v/>
      </c>
      <c r="G67" s="76"/>
    </row>
    <row r="68" spans="1:7" x14ac:dyDescent="0.25">
      <c r="A68" s="1"/>
      <c r="B68" s="35" t="str">
        <f>IF( 'COMPUTE PARAMETERS'!E68&lt;&gt;"", 'COMPUTE PARAMETERS'!E68-'APPLY TRANSFORMATION'!F69," ")</f>
        <v xml:space="preserve"> </v>
      </c>
      <c r="C68" s="35" t="str">
        <f>IF( 'COMPUTE PARAMETERS'!F68&lt;&gt;"", 'COMPUTE PARAMETERS'!F68-'APPLY TRANSFORMATION'!G69," ")</f>
        <v xml:space="preserve"> </v>
      </c>
      <c r="D68" s="35" t="str">
        <f>IF( 'COMPUTE PARAMETERS'!G68&lt;&gt;"", 'COMPUTE PARAMETERS'!G68-'APPLY TRANSFORMATION'!H69," ")</f>
        <v xml:space="preserve"> </v>
      </c>
      <c r="E68" s="35" t="str">
        <f t="shared" si="2"/>
        <v/>
      </c>
      <c r="F68" s="73" t="str">
        <f t="shared" ref="F68:F103" si="3">IF(E68&lt;&gt;"",IF(E68&gt;$I$3*$I$6,"Y","N"),"")</f>
        <v/>
      </c>
      <c r="G68" s="76"/>
    </row>
    <row r="69" spans="1:7" x14ac:dyDescent="0.25">
      <c r="A69" s="1"/>
      <c r="B69" s="35" t="str">
        <f>IF( 'COMPUTE PARAMETERS'!E69&lt;&gt;"", 'COMPUTE PARAMETERS'!E69-'APPLY TRANSFORMATION'!F70," ")</f>
        <v xml:space="preserve"> </v>
      </c>
      <c r="C69" s="35" t="str">
        <f>IF( 'COMPUTE PARAMETERS'!F69&lt;&gt;"", 'COMPUTE PARAMETERS'!F69-'APPLY TRANSFORMATION'!G70," ")</f>
        <v xml:space="preserve"> </v>
      </c>
      <c r="D69" s="35" t="str">
        <f>IF( 'COMPUTE PARAMETERS'!G69&lt;&gt;"", 'COMPUTE PARAMETERS'!G69-'APPLY TRANSFORMATION'!H70," ")</f>
        <v xml:space="preserve"> </v>
      </c>
      <c r="E69" s="35" t="str">
        <f t="shared" si="2"/>
        <v/>
      </c>
      <c r="F69" s="73" t="str">
        <f t="shared" si="3"/>
        <v/>
      </c>
      <c r="G69" s="76"/>
    </row>
    <row r="70" spans="1:7" x14ac:dyDescent="0.25">
      <c r="A70" s="1"/>
      <c r="B70" s="35" t="str">
        <f>IF( 'COMPUTE PARAMETERS'!E70&lt;&gt;"", 'COMPUTE PARAMETERS'!E70-'APPLY TRANSFORMATION'!F71," ")</f>
        <v xml:space="preserve"> </v>
      </c>
      <c r="C70" s="35" t="str">
        <f>IF( 'COMPUTE PARAMETERS'!F70&lt;&gt;"", 'COMPUTE PARAMETERS'!F70-'APPLY TRANSFORMATION'!G71," ")</f>
        <v xml:space="preserve"> </v>
      </c>
      <c r="D70" s="35" t="str">
        <f>IF( 'COMPUTE PARAMETERS'!G70&lt;&gt;"", 'COMPUTE PARAMETERS'!G70-'APPLY TRANSFORMATION'!H71," ")</f>
        <v xml:space="preserve"> </v>
      </c>
      <c r="E70" s="35" t="str">
        <f t="shared" si="2"/>
        <v/>
      </c>
      <c r="F70" s="73" t="str">
        <f t="shared" si="3"/>
        <v/>
      </c>
      <c r="G70" s="76"/>
    </row>
    <row r="71" spans="1:7" x14ac:dyDescent="0.25">
      <c r="A71" s="1"/>
      <c r="B71" s="35" t="str">
        <f>IF( 'COMPUTE PARAMETERS'!E71&lt;&gt;"", 'COMPUTE PARAMETERS'!E71-'APPLY TRANSFORMATION'!F72," ")</f>
        <v xml:space="preserve"> </v>
      </c>
      <c r="C71" s="35" t="str">
        <f>IF( 'COMPUTE PARAMETERS'!F71&lt;&gt;"", 'COMPUTE PARAMETERS'!F71-'APPLY TRANSFORMATION'!G72," ")</f>
        <v xml:space="preserve"> </v>
      </c>
      <c r="D71" s="35" t="str">
        <f>IF( 'COMPUTE PARAMETERS'!G71&lt;&gt;"", 'COMPUTE PARAMETERS'!G71-'APPLY TRANSFORMATION'!H72," ")</f>
        <v xml:space="preserve"> </v>
      </c>
      <c r="E71" s="35" t="str">
        <f t="shared" si="2"/>
        <v/>
      </c>
      <c r="F71" s="73" t="str">
        <f t="shared" si="3"/>
        <v/>
      </c>
      <c r="G71" s="76"/>
    </row>
    <row r="72" spans="1:7" x14ac:dyDescent="0.25">
      <c r="A72" s="1"/>
      <c r="B72" s="35" t="str">
        <f>IF( 'COMPUTE PARAMETERS'!E72&lt;&gt;"", 'COMPUTE PARAMETERS'!E72-'APPLY TRANSFORMATION'!F73," ")</f>
        <v xml:space="preserve"> </v>
      </c>
      <c r="C72" s="35" t="str">
        <f>IF( 'COMPUTE PARAMETERS'!F72&lt;&gt;"", 'COMPUTE PARAMETERS'!F72-'APPLY TRANSFORMATION'!G73," ")</f>
        <v xml:space="preserve"> </v>
      </c>
      <c r="D72" s="35" t="str">
        <f>IF( 'COMPUTE PARAMETERS'!G72&lt;&gt;"", 'COMPUTE PARAMETERS'!G72-'APPLY TRANSFORMATION'!H73," ")</f>
        <v xml:space="preserve"> </v>
      </c>
      <c r="E72" s="35" t="str">
        <f t="shared" si="2"/>
        <v/>
      </c>
      <c r="F72" s="73" t="str">
        <f t="shared" si="3"/>
        <v/>
      </c>
      <c r="G72" s="76"/>
    </row>
    <row r="73" spans="1:7" x14ac:dyDescent="0.25">
      <c r="A73" s="1"/>
      <c r="B73" s="35" t="str">
        <f>IF( 'COMPUTE PARAMETERS'!E73&lt;&gt;"", 'COMPUTE PARAMETERS'!E73-'APPLY TRANSFORMATION'!F74," ")</f>
        <v xml:space="preserve"> </v>
      </c>
      <c r="C73" s="35" t="str">
        <f>IF( 'COMPUTE PARAMETERS'!F73&lt;&gt;"", 'COMPUTE PARAMETERS'!F73-'APPLY TRANSFORMATION'!G74," ")</f>
        <v xml:space="preserve"> </v>
      </c>
      <c r="D73" s="35" t="str">
        <f>IF( 'COMPUTE PARAMETERS'!G73&lt;&gt;"", 'COMPUTE PARAMETERS'!G73-'APPLY TRANSFORMATION'!H74," ")</f>
        <v xml:space="preserve"> </v>
      </c>
      <c r="E73" s="35" t="str">
        <f t="shared" si="2"/>
        <v/>
      </c>
      <c r="F73" s="73" t="str">
        <f t="shared" si="3"/>
        <v/>
      </c>
      <c r="G73" s="76"/>
    </row>
    <row r="74" spans="1:7" x14ac:dyDescent="0.25">
      <c r="A74" s="1"/>
      <c r="B74" s="35" t="str">
        <f>IF( 'COMPUTE PARAMETERS'!E74&lt;&gt;"", 'COMPUTE PARAMETERS'!E74-'APPLY TRANSFORMATION'!F75," ")</f>
        <v xml:space="preserve"> </v>
      </c>
      <c r="C74" s="35" t="str">
        <f>IF( 'COMPUTE PARAMETERS'!F74&lt;&gt;"", 'COMPUTE PARAMETERS'!F74-'APPLY TRANSFORMATION'!G75," ")</f>
        <v xml:space="preserve"> </v>
      </c>
      <c r="D74" s="35" t="str">
        <f>IF( 'COMPUTE PARAMETERS'!G74&lt;&gt;"", 'COMPUTE PARAMETERS'!G74-'APPLY TRANSFORMATION'!H75," ")</f>
        <v xml:space="preserve"> </v>
      </c>
      <c r="E74" s="35" t="str">
        <f t="shared" si="2"/>
        <v/>
      </c>
      <c r="F74" s="73" t="str">
        <f t="shared" si="3"/>
        <v/>
      </c>
      <c r="G74" s="76"/>
    </row>
    <row r="75" spans="1:7" x14ac:dyDescent="0.25">
      <c r="A75" s="1"/>
      <c r="B75" s="35" t="str">
        <f>IF( 'COMPUTE PARAMETERS'!E75&lt;&gt;"", 'COMPUTE PARAMETERS'!E75-'APPLY TRANSFORMATION'!F76," ")</f>
        <v xml:space="preserve"> </v>
      </c>
      <c r="C75" s="35" t="str">
        <f>IF( 'COMPUTE PARAMETERS'!F75&lt;&gt;"", 'COMPUTE PARAMETERS'!F75-'APPLY TRANSFORMATION'!G76," ")</f>
        <v xml:space="preserve"> </v>
      </c>
      <c r="D75" s="35" t="str">
        <f>IF( 'COMPUTE PARAMETERS'!G75&lt;&gt;"", 'COMPUTE PARAMETERS'!G75-'APPLY TRANSFORMATION'!H76," ")</f>
        <v xml:space="preserve"> </v>
      </c>
      <c r="E75" s="35" t="str">
        <f t="shared" si="2"/>
        <v/>
      </c>
      <c r="F75" s="73" t="str">
        <f t="shared" si="3"/>
        <v/>
      </c>
      <c r="G75" s="76"/>
    </row>
    <row r="76" spans="1:7" x14ac:dyDescent="0.25">
      <c r="A76" s="1"/>
      <c r="B76" s="35" t="str">
        <f>IF( 'COMPUTE PARAMETERS'!E76&lt;&gt;"", 'COMPUTE PARAMETERS'!E76-'APPLY TRANSFORMATION'!F77," ")</f>
        <v xml:space="preserve"> </v>
      </c>
      <c r="C76" s="35" t="str">
        <f>IF( 'COMPUTE PARAMETERS'!F76&lt;&gt;"", 'COMPUTE PARAMETERS'!F76-'APPLY TRANSFORMATION'!G77," ")</f>
        <v xml:space="preserve"> </v>
      </c>
      <c r="D76" s="35" t="str">
        <f>IF( 'COMPUTE PARAMETERS'!G76&lt;&gt;"", 'COMPUTE PARAMETERS'!G76-'APPLY TRANSFORMATION'!H77," ")</f>
        <v xml:space="preserve"> </v>
      </c>
      <c r="E76" s="35" t="str">
        <f t="shared" si="2"/>
        <v/>
      </c>
      <c r="F76" s="73" t="str">
        <f t="shared" si="3"/>
        <v/>
      </c>
      <c r="G76" s="76"/>
    </row>
    <row r="77" spans="1:7" x14ac:dyDescent="0.25">
      <c r="A77" s="1"/>
      <c r="B77" s="35" t="str">
        <f>IF( 'COMPUTE PARAMETERS'!E77&lt;&gt;"", 'COMPUTE PARAMETERS'!E77-'APPLY TRANSFORMATION'!F78," ")</f>
        <v xml:space="preserve"> </v>
      </c>
      <c r="C77" s="35" t="str">
        <f>IF( 'COMPUTE PARAMETERS'!F77&lt;&gt;"", 'COMPUTE PARAMETERS'!F77-'APPLY TRANSFORMATION'!G78," ")</f>
        <v xml:space="preserve"> </v>
      </c>
      <c r="D77" s="35" t="str">
        <f>IF( 'COMPUTE PARAMETERS'!G77&lt;&gt;"", 'COMPUTE PARAMETERS'!G77-'APPLY TRANSFORMATION'!H78," ")</f>
        <v xml:space="preserve"> </v>
      </c>
      <c r="E77" s="35" t="str">
        <f t="shared" ref="E77:E103" si="4">IF(B77&lt;&gt;" ",SQRT(B77^2+C77^2+D77^2),"")</f>
        <v/>
      </c>
      <c r="F77" s="73" t="str">
        <f t="shared" si="3"/>
        <v/>
      </c>
      <c r="G77" s="76"/>
    </row>
    <row r="78" spans="1:7" x14ac:dyDescent="0.25">
      <c r="A78" s="1"/>
      <c r="B78" s="35" t="str">
        <f>IF( 'COMPUTE PARAMETERS'!E78&lt;&gt;"", 'COMPUTE PARAMETERS'!E78-'APPLY TRANSFORMATION'!F79," ")</f>
        <v xml:space="preserve"> </v>
      </c>
      <c r="C78" s="35" t="str">
        <f>IF( 'COMPUTE PARAMETERS'!F78&lt;&gt;"", 'COMPUTE PARAMETERS'!F78-'APPLY TRANSFORMATION'!G79," ")</f>
        <v xml:space="preserve"> </v>
      </c>
      <c r="D78" s="35" t="str">
        <f>IF( 'COMPUTE PARAMETERS'!G78&lt;&gt;"", 'COMPUTE PARAMETERS'!G78-'APPLY TRANSFORMATION'!H79," ")</f>
        <v xml:space="preserve"> </v>
      </c>
      <c r="E78" s="35" t="str">
        <f t="shared" si="4"/>
        <v/>
      </c>
      <c r="F78" s="73" t="str">
        <f t="shared" si="3"/>
        <v/>
      </c>
      <c r="G78" s="76"/>
    </row>
    <row r="79" spans="1:7" x14ac:dyDescent="0.25">
      <c r="A79" s="1"/>
      <c r="B79" s="35" t="str">
        <f>IF( 'COMPUTE PARAMETERS'!E79&lt;&gt;"", 'COMPUTE PARAMETERS'!E79-'APPLY TRANSFORMATION'!F80," ")</f>
        <v xml:space="preserve"> </v>
      </c>
      <c r="C79" s="35" t="str">
        <f>IF( 'COMPUTE PARAMETERS'!F79&lt;&gt;"", 'COMPUTE PARAMETERS'!F79-'APPLY TRANSFORMATION'!G80," ")</f>
        <v xml:space="preserve"> </v>
      </c>
      <c r="D79" s="35" t="str">
        <f>IF( 'COMPUTE PARAMETERS'!G79&lt;&gt;"", 'COMPUTE PARAMETERS'!G79-'APPLY TRANSFORMATION'!H80," ")</f>
        <v xml:space="preserve"> </v>
      </c>
      <c r="E79" s="35" t="str">
        <f t="shared" si="4"/>
        <v/>
      </c>
      <c r="F79" s="73" t="str">
        <f t="shared" si="3"/>
        <v/>
      </c>
      <c r="G79" s="76"/>
    </row>
    <row r="80" spans="1:7" x14ac:dyDescent="0.25">
      <c r="A80" s="1"/>
      <c r="B80" s="35" t="str">
        <f>IF( 'COMPUTE PARAMETERS'!E80&lt;&gt;"", 'COMPUTE PARAMETERS'!E80-'APPLY TRANSFORMATION'!F81," ")</f>
        <v xml:space="preserve"> </v>
      </c>
      <c r="C80" s="35" t="str">
        <f>IF( 'COMPUTE PARAMETERS'!F80&lt;&gt;"", 'COMPUTE PARAMETERS'!F80-'APPLY TRANSFORMATION'!G81," ")</f>
        <v xml:space="preserve"> </v>
      </c>
      <c r="D80" s="35" t="str">
        <f>IF( 'COMPUTE PARAMETERS'!G80&lt;&gt;"", 'COMPUTE PARAMETERS'!G80-'APPLY TRANSFORMATION'!H81," ")</f>
        <v xml:space="preserve"> </v>
      </c>
      <c r="E80" s="35" t="str">
        <f t="shared" si="4"/>
        <v/>
      </c>
      <c r="F80" s="73" t="str">
        <f t="shared" si="3"/>
        <v/>
      </c>
      <c r="G80" s="76"/>
    </row>
    <row r="81" spans="1:7" x14ac:dyDescent="0.25">
      <c r="A81" s="1"/>
      <c r="B81" s="35" t="str">
        <f>IF( 'COMPUTE PARAMETERS'!E81&lt;&gt;"", 'COMPUTE PARAMETERS'!E81-'APPLY TRANSFORMATION'!F82," ")</f>
        <v xml:space="preserve"> </v>
      </c>
      <c r="C81" s="35" t="str">
        <f>IF( 'COMPUTE PARAMETERS'!F81&lt;&gt;"", 'COMPUTE PARAMETERS'!F81-'APPLY TRANSFORMATION'!G82," ")</f>
        <v xml:space="preserve"> </v>
      </c>
      <c r="D81" s="35" t="str">
        <f>IF( 'COMPUTE PARAMETERS'!G81&lt;&gt;"", 'COMPUTE PARAMETERS'!G81-'APPLY TRANSFORMATION'!H82," ")</f>
        <v xml:space="preserve"> </v>
      </c>
      <c r="E81" s="35" t="str">
        <f t="shared" si="4"/>
        <v/>
      </c>
      <c r="F81" s="73" t="str">
        <f t="shared" si="3"/>
        <v/>
      </c>
      <c r="G81" s="76"/>
    </row>
    <row r="82" spans="1:7" x14ac:dyDescent="0.25">
      <c r="A82" s="1"/>
      <c r="B82" s="35" t="str">
        <f>IF( 'COMPUTE PARAMETERS'!E82&lt;&gt;"", 'COMPUTE PARAMETERS'!E82-'APPLY TRANSFORMATION'!F83," ")</f>
        <v xml:space="preserve"> </v>
      </c>
      <c r="C82" s="35" t="str">
        <f>IF( 'COMPUTE PARAMETERS'!F82&lt;&gt;"", 'COMPUTE PARAMETERS'!F82-'APPLY TRANSFORMATION'!G83," ")</f>
        <v xml:space="preserve"> </v>
      </c>
      <c r="D82" s="35" t="str">
        <f>IF( 'COMPUTE PARAMETERS'!G82&lt;&gt;"", 'COMPUTE PARAMETERS'!G82-'APPLY TRANSFORMATION'!H83," ")</f>
        <v xml:space="preserve"> </v>
      </c>
      <c r="E82" s="35" t="str">
        <f t="shared" si="4"/>
        <v/>
      </c>
      <c r="F82" s="73" t="str">
        <f t="shared" si="3"/>
        <v/>
      </c>
      <c r="G82" s="76"/>
    </row>
    <row r="83" spans="1:7" x14ac:dyDescent="0.25">
      <c r="A83" s="1"/>
      <c r="B83" s="35" t="str">
        <f>IF( 'COMPUTE PARAMETERS'!E83&lt;&gt;"", 'COMPUTE PARAMETERS'!E83-'APPLY TRANSFORMATION'!F84," ")</f>
        <v xml:space="preserve"> </v>
      </c>
      <c r="C83" s="35" t="str">
        <f>IF( 'COMPUTE PARAMETERS'!F83&lt;&gt;"", 'COMPUTE PARAMETERS'!F83-'APPLY TRANSFORMATION'!G84," ")</f>
        <v xml:space="preserve"> </v>
      </c>
      <c r="D83" s="35" t="str">
        <f>IF( 'COMPUTE PARAMETERS'!G83&lt;&gt;"", 'COMPUTE PARAMETERS'!G83-'APPLY TRANSFORMATION'!H84," ")</f>
        <v xml:space="preserve"> </v>
      </c>
      <c r="E83" s="35" t="str">
        <f t="shared" si="4"/>
        <v/>
      </c>
      <c r="F83" s="73" t="str">
        <f t="shared" si="3"/>
        <v/>
      </c>
      <c r="G83" s="76"/>
    </row>
    <row r="84" spans="1:7" x14ac:dyDescent="0.25">
      <c r="A84" s="1"/>
      <c r="B84" s="35" t="str">
        <f>IF( 'COMPUTE PARAMETERS'!E84&lt;&gt;"", 'COMPUTE PARAMETERS'!E84-'APPLY TRANSFORMATION'!F85," ")</f>
        <v xml:space="preserve"> </v>
      </c>
      <c r="C84" s="35" t="str">
        <f>IF( 'COMPUTE PARAMETERS'!F84&lt;&gt;"", 'COMPUTE PARAMETERS'!F84-'APPLY TRANSFORMATION'!G85," ")</f>
        <v xml:space="preserve"> </v>
      </c>
      <c r="D84" s="35" t="str">
        <f>IF( 'COMPUTE PARAMETERS'!G84&lt;&gt;"", 'COMPUTE PARAMETERS'!G84-'APPLY TRANSFORMATION'!H85," ")</f>
        <v xml:space="preserve"> </v>
      </c>
      <c r="E84" s="35" t="str">
        <f t="shared" si="4"/>
        <v/>
      </c>
      <c r="F84" s="73" t="str">
        <f t="shared" si="3"/>
        <v/>
      </c>
      <c r="G84" s="76"/>
    </row>
    <row r="85" spans="1:7" x14ac:dyDescent="0.25">
      <c r="A85" s="1"/>
      <c r="B85" s="35" t="str">
        <f>IF( 'COMPUTE PARAMETERS'!E85&lt;&gt;"", 'COMPUTE PARAMETERS'!E85-'APPLY TRANSFORMATION'!F86," ")</f>
        <v xml:space="preserve"> </v>
      </c>
      <c r="C85" s="35" t="str">
        <f>IF( 'COMPUTE PARAMETERS'!F85&lt;&gt;"", 'COMPUTE PARAMETERS'!F85-'APPLY TRANSFORMATION'!G86," ")</f>
        <v xml:space="preserve"> </v>
      </c>
      <c r="D85" s="35" t="str">
        <f>IF( 'COMPUTE PARAMETERS'!G85&lt;&gt;"", 'COMPUTE PARAMETERS'!G85-'APPLY TRANSFORMATION'!H86," ")</f>
        <v xml:space="preserve"> </v>
      </c>
      <c r="E85" s="35" t="str">
        <f t="shared" si="4"/>
        <v/>
      </c>
      <c r="F85" s="73" t="str">
        <f t="shared" si="3"/>
        <v/>
      </c>
      <c r="G85" s="76"/>
    </row>
    <row r="86" spans="1:7" x14ac:dyDescent="0.25">
      <c r="A86" s="1"/>
      <c r="B86" s="35" t="str">
        <f>IF( 'COMPUTE PARAMETERS'!E86&lt;&gt;"", 'COMPUTE PARAMETERS'!E86-'APPLY TRANSFORMATION'!F87," ")</f>
        <v xml:space="preserve"> </v>
      </c>
      <c r="C86" s="35" t="str">
        <f>IF( 'COMPUTE PARAMETERS'!F86&lt;&gt;"", 'COMPUTE PARAMETERS'!F86-'APPLY TRANSFORMATION'!G87," ")</f>
        <v xml:space="preserve"> </v>
      </c>
      <c r="D86" s="35" t="str">
        <f>IF( 'COMPUTE PARAMETERS'!G86&lt;&gt;"", 'COMPUTE PARAMETERS'!G86-'APPLY TRANSFORMATION'!H87," ")</f>
        <v xml:space="preserve"> </v>
      </c>
      <c r="E86" s="35" t="str">
        <f t="shared" si="4"/>
        <v/>
      </c>
      <c r="F86" s="73" t="str">
        <f t="shared" si="3"/>
        <v/>
      </c>
      <c r="G86" s="76"/>
    </row>
    <row r="87" spans="1:7" x14ac:dyDescent="0.25">
      <c r="A87" s="1"/>
      <c r="B87" s="35" t="str">
        <f>IF( 'COMPUTE PARAMETERS'!E87&lt;&gt;"", 'COMPUTE PARAMETERS'!E87-'APPLY TRANSFORMATION'!F88," ")</f>
        <v xml:space="preserve"> </v>
      </c>
      <c r="C87" s="35" t="str">
        <f>IF( 'COMPUTE PARAMETERS'!F87&lt;&gt;"", 'COMPUTE PARAMETERS'!F87-'APPLY TRANSFORMATION'!G88," ")</f>
        <v xml:space="preserve"> </v>
      </c>
      <c r="D87" s="35" t="str">
        <f>IF( 'COMPUTE PARAMETERS'!G87&lt;&gt;"", 'COMPUTE PARAMETERS'!G87-'APPLY TRANSFORMATION'!H88," ")</f>
        <v xml:space="preserve"> </v>
      </c>
      <c r="E87" s="35" t="str">
        <f t="shared" si="4"/>
        <v/>
      </c>
      <c r="F87" s="73" t="str">
        <f t="shared" si="3"/>
        <v/>
      </c>
      <c r="G87" s="76"/>
    </row>
    <row r="88" spans="1:7" x14ac:dyDescent="0.25">
      <c r="A88" s="1"/>
      <c r="B88" s="35" t="str">
        <f>IF( 'COMPUTE PARAMETERS'!E88&lt;&gt;"", 'COMPUTE PARAMETERS'!E88-'APPLY TRANSFORMATION'!F89," ")</f>
        <v xml:space="preserve"> </v>
      </c>
      <c r="C88" s="35" t="str">
        <f>IF( 'COMPUTE PARAMETERS'!F88&lt;&gt;"", 'COMPUTE PARAMETERS'!F88-'APPLY TRANSFORMATION'!G89," ")</f>
        <v xml:space="preserve"> </v>
      </c>
      <c r="D88" s="35" t="str">
        <f>IF( 'COMPUTE PARAMETERS'!G88&lt;&gt;"", 'COMPUTE PARAMETERS'!G88-'APPLY TRANSFORMATION'!H89," ")</f>
        <v xml:space="preserve"> </v>
      </c>
      <c r="E88" s="35" t="str">
        <f t="shared" si="4"/>
        <v/>
      </c>
      <c r="F88" s="73" t="str">
        <f t="shared" si="3"/>
        <v/>
      </c>
      <c r="G88" s="76"/>
    </row>
    <row r="89" spans="1:7" x14ac:dyDescent="0.25">
      <c r="A89" s="1"/>
      <c r="B89" s="35" t="str">
        <f>IF( 'COMPUTE PARAMETERS'!E89&lt;&gt;"", 'COMPUTE PARAMETERS'!E89-'APPLY TRANSFORMATION'!F90," ")</f>
        <v xml:space="preserve"> </v>
      </c>
      <c r="C89" s="35" t="str">
        <f>IF( 'COMPUTE PARAMETERS'!F89&lt;&gt;"", 'COMPUTE PARAMETERS'!F89-'APPLY TRANSFORMATION'!G90," ")</f>
        <v xml:space="preserve"> </v>
      </c>
      <c r="D89" s="35" t="str">
        <f>IF( 'COMPUTE PARAMETERS'!G89&lt;&gt;"", 'COMPUTE PARAMETERS'!G89-'APPLY TRANSFORMATION'!H90," ")</f>
        <v xml:space="preserve"> </v>
      </c>
      <c r="E89" s="35" t="str">
        <f t="shared" si="4"/>
        <v/>
      </c>
      <c r="F89" s="73" t="str">
        <f t="shared" si="3"/>
        <v/>
      </c>
      <c r="G89" s="76"/>
    </row>
    <row r="90" spans="1:7" x14ac:dyDescent="0.25">
      <c r="A90" s="1"/>
      <c r="B90" s="35" t="str">
        <f>IF( 'COMPUTE PARAMETERS'!E90&lt;&gt;"", 'COMPUTE PARAMETERS'!E90-'APPLY TRANSFORMATION'!F91," ")</f>
        <v xml:space="preserve"> </v>
      </c>
      <c r="C90" s="35" t="str">
        <f>IF( 'COMPUTE PARAMETERS'!F90&lt;&gt;"", 'COMPUTE PARAMETERS'!F90-'APPLY TRANSFORMATION'!G91," ")</f>
        <v xml:space="preserve"> </v>
      </c>
      <c r="D90" s="35" t="str">
        <f>IF( 'COMPUTE PARAMETERS'!G90&lt;&gt;"", 'COMPUTE PARAMETERS'!G90-'APPLY TRANSFORMATION'!H91," ")</f>
        <v xml:space="preserve"> </v>
      </c>
      <c r="E90" s="35" t="str">
        <f t="shared" si="4"/>
        <v/>
      </c>
      <c r="F90" s="73" t="str">
        <f t="shared" si="3"/>
        <v/>
      </c>
      <c r="G90" s="76"/>
    </row>
    <row r="91" spans="1:7" x14ac:dyDescent="0.25">
      <c r="A91" s="1"/>
      <c r="B91" s="35" t="str">
        <f>IF( 'COMPUTE PARAMETERS'!E91&lt;&gt;"", 'COMPUTE PARAMETERS'!E91-'APPLY TRANSFORMATION'!F92," ")</f>
        <v xml:space="preserve"> </v>
      </c>
      <c r="C91" s="35" t="str">
        <f>IF( 'COMPUTE PARAMETERS'!F91&lt;&gt;"", 'COMPUTE PARAMETERS'!F91-'APPLY TRANSFORMATION'!G92," ")</f>
        <v xml:space="preserve"> </v>
      </c>
      <c r="D91" s="35" t="str">
        <f>IF( 'COMPUTE PARAMETERS'!G91&lt;&gt;"", 'COMPUTE PARAMETERS'!G91-'APPLY TRANSFORMATION'!H92," ")</f>
        <v xml:space="preserve"> </v>
      </c>
      <c r="E91" s="35" t="str">
        <f t="shared" si="4"/>
        <v/>
      </c>
      <c r="F91" s="73" t="str">
        <f t="shared" si="3"/>
        <v/>
      </c>
      <c r="G91" s="76"/>
    </row>
    <row r="92" spans="1:7" x14ac:dyDescent="0.25">
      <c r="A92" s="1"/>
      <c r="B92" s="35" t="str">
        <f>IF( 'COMPUTE PARAMETERS'!E92&lt;&gt;"", 'COMPUTE PARAMETERS'!E92-'APPLY TRANSFORMATION'!F93," ")</f>
        <v xml:space="preserve"> </v>
      </c>
      <c r="C92" s="35" t="str">
        <f>IF( 'COMPUTE PARAMETERS'!F92&lt;&gt;"", 'COMPUTE PARAMETERS'!F92-'APPLY TRANSFORMATION'!G93," ")</f>
        <v xml:space="preserve"> </v>
      </c>
      <c r="D92" s="35" t="str">
        <f>IF( 'COMPUTE PARAMETERS'!G92&lt;&gt;"", 'COMPUTE PARAMETERS'!G92-'APPLY TRANSFORMATION'!H93," ")</f>
        <v xml:space="preserve"> </v>
      </c>
      <c r="E92" s="35" t="str">
        <f t="shared" si="4"/>
        <v/>
      </c>
      <c r="F92" s="73" t="str">
        <f t="shared" si="3"/>
        <v/>
      </c>
      <c r="G92" s="76"/>
    </row>
    <row r="93" spans="1:7" x14ac:dyDescent="0.25">
      <c r="A93" s="1"/>
      <c r="B93" s="35" t="str">
        <f>IF( 'COMPUTE PARAMETERS'!E93&lt;&gt;"", 'COMPUTE PARAMETERS'!E93-'APPLY TRANSFORMATION'!F94," ")</f>
        <v xml:space="preserve"> </v>
      </c>
      <c r="C93" s="35" t="str">
        <f>IF( 'COMPUTE PARAMETERS'!F93&lt;&gt;"", 'COMPUTE PARAMETERS'!F93-'APPLY TRANSFORMATION'!G94," ")</f>
        <v xml:space="preserve"> </v>
      </c>
      <c r="D93" s="35" t="str">
        <f>IF( 'COMPUTE PARAMETERS'!G93&lt;&gt;"", 'COMPUTE PARAMETERS'!G93-'APPLY TRANSFORMATION'!H94," ")</f>
        <v xml:space="preserve"> </v>
      </c>
      <c r="E93" s="35" t="str">
        <f t="shared" si="4"/>
        <v/>
      </c>
      <c r="F93" s="73" t="str">
        <f t="shared" si="3"/>
        <v/>
      </c>
      <c r="G93" s="76"/>
    </row>
    <row r="94" spans="1:7" x14ac:dyDescent="0.25">
      <c r="A94" s="1"/>
      <c r="B94" s="35" t="str">
        <f>IF( 'COMPUTE PARAMETERS'!E94&lt;&gt;"", 'COMPUTE PARAMETERS'!E94-'APPLY TRANSFORMATION'!F95," ")</f>
        <v xml:space="preserve"> </v>
      </c>
      <c r="C94" s="35" t="str">
        <f>IF( 'COMPUTE PARAMETERS'!F94&lt;&gt;"", 'COMPUTE PARAMETERS'!F94-'APPLY TRANSFORMATION'!G95," ")</f>
        <v xml:space="preserve"> </v>
      </c>
      <c r="D94" s="35" t="str">
        <f>IF( 'COMPUTE PARAMETERS'!G94&lt;&gt;"", 'COMPUTE PARAMETERS'!G94-'APPLY TRANSFORMATION'!H95," ")</f>
        <v xml:space="preserve"> </v>
      </c>
      <c r="E94" s="35" t="str">
        <f t="shared" si="4"/>
        <v/>
      </c>
      <c r="F94" s="73" t="str">
        <f t="shared" si="3"/>
        <v/>
      </c>
      <c r="G94" s="76"/>
    </row>
    <row r="95" spans="1:7" x14ac:dyDescent="0.25">
      <c r="A95" s="1"/>
      <c r="B95" s="35" t="str">
        <f>IF( 'COMPUTE PARAMETERS'!E95&lt;&gt;"", 'COMPUTE PARAMETERS'!E95-'APPLY TRANSFORMATION'!F96," ")</f>
        <v xml:space="preserve"> </v>
      </c>
      <c r="C95" s="35" t="str">
        <f>IF( 'COMPUTE PARAMETERS'!F95&lt;&gt;"", 'COMPUTE PARAMETERS'!F95-'APPLY TRANSFORMATION'!G96," ")</f>
        <v xml:space="preserve"> </v>
      </c>
      <c r="D95" s="35" t="str">
        <f>IF( 'COMPUTE PARAMETERS'!G95&lt;&gt;"", 'COMPUTE PARAMETERS'!G95-'APPLY TRANSFORMATION'!H96," ")</f>
        <v xml:space="preserve"> </v>
      </c>
      <c r="E95" s="35" t="str">
        <f t="shared" si="4"/>
        <v/>
      </c>
      <c r="F95" s="73" t="str">
        <f t="shared" si="3"/>
        <v/>
      </c>
      <c r="G95" s="76"/>
    </row>
    <row r="96" spans="1:7" x14ac:dyDescent="0.25">
      <c r="A96" s="1"/>
      <c r="B96" s="35" t="str">
        <f>IF( 'COMPUTE PARAMETERS'!E96&lt;&gt;"", 'COMPUTE PARAMETERS'!E96-'APPLY TRANSFORMATION'!F97," ")</f>
        <v xml:space="preserve"> </v>
      </c>
      <c r="C96" s="35" t="str">
        <f>IF( 'COMPUTE PARAMETERS'!F96&lt;&gt;"", 'COMPUTE PARAMETERS'!F96-'APPLY TRANSFORMATION'!G97," ")</f>
        <v xml:space="preserve"> </v>
      </c>
      <c r="D96" s="35" t="str">
        <f>IF( 'COMPUTE PARAMETERS'!G96&lt;&gt;"", 'COMPUTE PARAMETERS'!G96-'APPLY TRANSFORMATION'!H97," ")</f>
        <v xml:space="preserve"> </v>
      </c>
      <c r="E96" s="35" t="str">
        <f t="shared" si="4"/>
        <v/>
      </c>
      <c r="F96" s="73" t="str">
        <f t="shared" si="3"/>
        <v/>
      </c>
      <c r="G96" s="76"/>
    </row>
    <row r="97" spans="1:7" x14ac:dyDescent="0.25">
      <c r="A97" s="1"/>
      <c r="B97" s="35" t="str">
        <f>IF( 'COMPUTE PARAMETERS'!E97&lt;&gt;"", 'COMPUTE PARAMETERS'!E97-'APPLY TRANSFORMATION'!F98," ")</f>
        <v xml:space="preserve"> </v>
      </c>
      <c r="C97" s="35" t="str">
        <f>IF( 'COMPUTE PARAMETERS'!F97&lt;&gt;"", 'COMPUTE PARAMETERS'!F97-'APPLY TRANSFORMATION'!G98," ")</f>
        <v xml:space="preserve"> </v>
      </c>
      <c r="D97" s="35" t="str">
        <f>IF( 'COMPUTE PARAMETERS'!G97&lt;&gt;"", 'COMPUTE PARAMETERS'!G97-'APPLY TRANSFORMATION'!H98," ")</f>
        <v xml:space="preserve"> </v>
      </c>
      <c r="E97" s="35" t="str">
        <f t="shared" si="4"/>
        <v/>
      </c>
      <c r="F97" s="73" t="str">
        <f t="shared" si="3"/>
        <v/>
      </c>
      <c r="G97" s="76"/>
    </row>
    <row r="98" spans="1:7" x14ac:dyDescent="0.25">
      <c r="A98" s="1"/>
      <c r="B98" s="35" t="str">
        <f>IF( 'COMPUTE PARAMETERS'!E98&lt;&gt;"", 'COMPUTE PARAMETERS'!E98-'APPLY TRANSFORMATION'!F99," ")</f>
        <v xml:space="preserve"> </v>
      </c>
      <c r="C98" s="35" t="str">
        <f>IF( 'COMPUTE PARAMETERS'!F98&lt;&gt;"", 'COMPUTE PARAMETERS'!F98-'APPLY TRANSFORMATION'!G99," ")</f>
        <v xml:space="preserve"> </v>
      </c>
      <c r="D98" s="35" t="str">
        <f>IF( 'COMPUTE PARAMETERS'!G98&lt;&gt;"", 'COMPUTE PARAMETERS'!G98-'APPLY TRANSFORMATION'!H99," ")</f>
        <v xml:space="preserve"> </v>
      </c>
      <c r="E98" s="35" t="str">
        <f t="shared" si="4"/>
        <v/>
      </c>
      <c r="F98" s="73" t="str">
        <f t="shared" si="3"/>
        <v/>
      </c>
      <c r="G98" s="76"/>
    </row>
    <row r="99" spans="1:7" x14ac:dyDescent="0.25">
      <c r="A99" s="1"/>
      <c r="B99" s="35" t="str">
        <f>IF( 'COMPUTE PARAMETERS'!E99&lt;&gt;"", 'COMPUTE PARAMETERS'!E99-'APPLY TRANSFORMATION'!F100," ")</f>
        <v xml:space="preserve"> </v>
      </c>
      <c r="C99" s="35" t="str">
        <f>IF( 'COMPUTE PARAMETERS'!F99&lt;&gt;"", 'COMPUTE PARAMETERS'!F99-'APPLY TRANSFORMATION'!G100," ")</f>
        <v xml:space="preserve"> </v>
      </c>
      <c r="D99" s="35" t="str">
        <f>IF( 'COMPUTE PARAMETERS'!G99&lt;&gt;"", 'COMPUTE PARAMETERS'!G99-'APPLY TRANSFORMATION'!H100," ")</f>
        <v xml:space="preserve"> </v>
      </c>
      <c r="E99" s="35" t="str">
        <f t="shared" si="4"/>
        <v/>
      </c>
      <c r="F99" s="73" t="str">
        <f t="shared" si="3"/>
        <v/>
      </c>
      <c r="G99" s="76"/>
    </row>
    <row r="100" spans="1:7" x14ac:dyDescent="0.25">
      <c r="A100" s="1"/>
      <c r="B100" s="35" t="str">
        <f>IF( 'COMPUTE PARAMETERS'!E100&lt;&gt;"", 'COMPUTE PARAMETERS'!E100-'APPLY TRANSFORMATION'!F101," ")</f>
        <v xml:space="preserve"> </v>
      </c>
      <c r="C100" s="35" t="str">
        <f>IF( 'COMPUTE PARAMETERS'!F100&lt;&gt;"", 'COMPUTE PARAMETERS'!F100-'APPLY TRANSFORMATION'!G101," ")</f>
        <v xml:space="preserve"> </v>
      </c>
      <c r="D100" s="35" t="str">
        <f>IF( 'COMPUTE PARAMETERS'!G100&lt;&gt;"", 'COMPUTE PARAMETERS'!G100-'APPLY TRANSFORMATION'!H101," ")</f>
        <v xml:space="preserve"> </v>
      </c>
      <c r="E100" s="35" t="str">
        <f t="shared" si="4"/>
        <v/>
      </c>
      <c r="F100" s="73" t="str">
        <f t="shared" si="3"/>
        <v/>
      </c>
      <c r="G100" s="76"/>
    </row>
    <row r="101" spans="1:7" x14ac:dyDescent="0.25">
      <c r="A101" s="1"/>
      <c r="B101" s="35" t="str">
        <f>IF( 'COMPUTE PARAMETERS'!E101&lt;&gt;"", 'COMPUTE PARAMETERS'!E101-'APPLY TRANSFORMATION'!F102," ")</f>
        <v xml:space="preserve"> </v>
      </c>
      <c r="C101" s="35" t="str">
        <f>IF( 'COMPUTE PARAMETERS'!F101&lt;&gt;"", 'COMPUTE PARAMETERS'!F101-'APPLY TRANSFORMATION'!G102," ")</f>
        <v xml:space="preserve"> </v>
      </c>
      <c r="D101" s="35" t="str">
        <f>IF( 'COMPUTE PARAMETERS'!G101&lt;&gt;"", 'COMPUTE PARAMETERS'!G101-'APPLY TRANSFORMATION'!H102," ")</f>
        <v xml:space="preserve"> </v>
      </c>
      <c r="E101" s="35" t="str">
        <f t="shared" si="4"/>
        <v/>
      </c>
      <c r="F101" s="73" t="str">
        <f t="shared" si="3"/>
        <v/>
      </c>
      <c r="G101" s="76"/>
    </row>
    <row r="102" spans="1:7" x14ac:dyDescent="0.25">
      <c r="A102" s="1"/>
      <c r="B102" s="35" t="str">
        <f>IF( 'COMPUTE PARAMETERS'!E102&lt;&gt;"", 'COMPUTE PARAMETERS'!E102-'APPLY TRANSFORMATION'!F103," ")</f>
        <v xml:space="preserve"> </v>
      </c>
      <c r="C102" s="35" t="str">
        <f>IF( 'COMPUTE PARAMETERS'!F102&lt;&gt;"", 'COMPUTE PARAMETERS'!F102-'APPLY TRANSFORMATION'!G103," ")</f>
        <v xml:space="preserve"> </v>
      </c>
      <c r="D102" s="35" t="str">
        <f>IF( 'COMPUTE PARAMETERS'!G102&lt;&gt;"", 'COMPUTE PARAMETERS'!G102-'APPLY TRANSFORMATION'!H103," ")</f>
        <v xml:space="preserve"> </v>
      </c>
      <c r="E102" s="35" t="str">
        <f t="shared" si="4"/>
        <v/>
      </c>
      <c r="F102" s="73" t="str">
        <f t="shared" si="3"/>
        <v/>
      </c>
      <c r="G102" s="76"/>
    </row>
    <row r="103" spans="1:7" x14ac:dyDescent="0.25">
      <c r="A103" s="1"/>
      <c r="B103" s="35" t="str">
        <f>IF( 'COMPUTE PARAMETERS'!E103&lt;&gt;"", 'COMPUTE PARAMETERS'!E103-'APPLY TRANSFORMATION'!F104," ")</f>
        <v xml:space="preserve"> </v>
      </c>
      <c r="C103" s="35" t="str">
        <f>IF( 'COMPUTE PARAMETERS'!F103&lt;&gt;"", 'COMPUTE PARAMETERS'!F103-'APPLY TRANSFORMATION'!G104," ")</f>
        <v xml:space="preserve"> </v>
      </c>
      <c r="D103" s="35" t="str">
        <f>IF( 'COMPUTE PARAMETERS'!G103&lt;&gt;"", 'COMPUTE PARAMETERS'!G103-'APPLY TRANSFORMATION'!H104," ")</f>
        <v xml:space="preserve"> </v>
      </c>
      <c r="E103" s="35" t="str">
        <f t="shared" si="4"/>
        <v/>
      </c>
      <c r="F103" s="73" t="str">
        <f t="shared" si="3"/>
        <v/>
      </c>
      <c r="G103" s="76"/>
    </row>
  </sheetData>
  <mergeCells count="2">
    <mergeCell ref="B1:E1"/>
    <mergeCell ref="H5:I5"/>
  </mergeCells>
  <conditionalFormatting sqref="F3:G103">
    <cfRule type="cellIs" dxfId="1" priority="1" operator="equal">
      <formula>"N"</formula>
    </cfRule>
    <cfRule type="cellIs" dxfId="0" priority="2" operator="equal">
      <formula>"Y"</formula>
    </cfRule>
  </conditionalFormatting>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8607D-77AE-432A-A6AE-F297FF6C1241}">
  <sheetPr codeName="Sheet4"/>
  <dimension ref="A1:N1033"/>
  <sheetViews>
    <sheetView topLeftCell="A4" workbookViewId="0">
      <selection activeCell="E18" sqref="E18:G18"/>
    </sheetView>
  </sheetViews>
  <sheetFormatPr defaultRowHeight="15" x14ac:dyDescent="0.25"/>
  <cols>
    <col min="1" max="1" width="14.42578125" style="17" customWidth="1"/>
    <col min="2" max="2" width="19.42578125" style="55" customWidth="1"/>
    <col min="3" max="3" width="20.7109375" style="55" customWidth="1"/>
    <col min="4" max="4" width="15.28515625" style="17" customWidth="1"/>
    <col min="5" max="5" width="17.5703125" style="36" customWidth="1"/>
    <col min="6" max="6" width="16.7109375" style="36" customWidth="1"/>
    <col min="7" max="7" width="17.85546875" style="36" customWidth="1"/>
    <col min="8" max="8" width="9.140625" hidden="1" customWidth="1"/>
    <col min="9" max="10" width="5" customWidth="1"/>
    <col min="11" max="11" width="5.7109375" customWidth="1"/>
    <col min="13" max="13" width="17.7109375" customWidth="1"/>
    <col min="14" max="14" width="2.85546875" customWidth="1"/>
  </cols>
  <sheetData>
    <row r="1" spans="1:14" ht="18.75" x14ac:dyDescent="0.3">
      <c r="A1" s="100" t="s">
        <v>53</v>
      </c>
      <c r="B1" s="101"/>
      <c r="C1" s="101"/>
      <c r="D1" s="101"/>
      <c r="E1" s="101"/>
      <c r="F1" s="101"/>
      <c r="G1" s="102"/>
      <c r="L1" s="103" t="s">
        <v>57</v>
      </c>
      <c r="M1" s="104"/>
      <c r="N1" s="105"/>
    </row>
    <row r="2" spans="1:14" ht="15.75" x14ac:dyDescent="0.25">
      <c r="A2" s="48" t="s">
        <v>0</v>
      </c>
      <c r="B2" s="52" t="s">
        <v>54</v>
      </c>
      <c r="C2" s="52" t="s">
        <v>55</v>
      </c>
      <c r="D2" s="47" t="s">
        <v>56</v>
      </c>
      <c r="E2" s="56" t="s">
        <v>49</v>
      </c>
      <c r="F2" s="56" t="s">
        <v>50</v>
      </c>
      <c r="G2" s="57" t="s">
        <v>51</v>
      </c>
      <c r="H2" s="50" t="s">
        <v>60</v>
      </c>
      <c r="L2" s="49" t="s">
        <v>58</v>
      </c>
      <c r="M2" s="62">
        <f>6378137/0.3048</f>
        <v>20925646.325459316</v>
      </c>
      <c r="N2" s="2" t="s">
        <v>62</v>
      </c>
    </row>
    <row r="3" spans="1:14" ht="15.75" x14ac:dyDescent="0.25">
      <c r="A3" s="66" t="s">
        <v>92</v>
      </c>
      <c r="B3" s="67">
        <v>45.183941787999998</v>
      </c>
      <c r="C3" s="67">
        <v>118.03522589000001</v>
      </c>
      <c r="D3" s="61">
        <v>2686.056</v>
      </c>
      <c r="E3" s="35">
        <f t="shared" ref="E3:E66" si="0">IF(B3&lt;&gt;"",(H3+D3)*COS(RADIANS(HMSTOHDD(B3)))*COS(RADIANS(HMSTOHDD(-C3))),"")</f>
        <v>-6936070.087781487</v>
      </c>
      <c r="F3" s="35">
        <f t="shared" ref="F3:F66" si="1">IF(B3&lt;&gt;"",(H3+D3)*COS(RADIANS(HMSTOHDD(B3)))*SIN(RADIANS(HMSTOHDD(-C3))),"")</f>
        <v>-13009489.659638042</v>
      </c>
      <c r="G3" s="58">
        <f>IF(B3&lt;&gt;"",SIN(RADIANS(HMSTOHDD(B3)))*(H3*(1-$M$4)+D3),"")</f>
        <v>14804132.98760839</v>
      </c>
      <c r="H3">
        <f>$M$2/(1-$M$4*(SIN(RADIANS(HMSTOHDD(B3))))^2)^0.5</f>
        <v>20961137.589605194</v>
      </c>
      <c r="L3" s="49" t="s">
        <v>59</v>
      </c>
      <c r="M3" s="62">
        <v>298.25722210088202</v>
      </c>
      <c r="N3" s="2"/>
    </row>
    <row r="4" spans="1:14" x14ac:dyDescent="0.25">
      <c r="A4" s="66" t="s">
        <v>93</v>
      </c>
      <c r="B4" s="67">
        <v>45.174836601000003</v>
      </c>
      <c r="C4" s="67">
        <v>117.491211009</v>
      </c>
      <c r="D4" s="61">
        <v>2775.1280000000002</v>
      </c>
      <c r="E4" s="35">
        <f t="shared" si="0"/>
        <v>-6882239.4162189225</v>
      </c>
      <c r="F4" s="35">
        <f t="shared" si="1"/>
        <v>-13042274.534973184</v>
      </c>
      <c r="G4" s="58">
        <f t="shared" ref="G4:G67" si="2">IF(B4&lt;&gt;"",SIN(RADIANS(HMSTOHDD(B4)))*(H4*(1-$M$4)+D4),"")</f>
        <v>14800558.980479248</v>
      </c>
      <c r="H4">
        <f t="shared" ref="H4:H67" si="3">$M$2/(1-$M$4*(SIN(RADIANS(HMSTOHDD(B4))))^2)^0.5</f>
        <v>20961120.166374095</v>
      </c>
      <c r="L4" s="51" t="s">
        <v>61</v>
      </c>
      <c r="M4" s="2">
        <f>(1/M3)*(2-1/M3)</f>
        <v>6.6943800229034324E-3</v>
      </c>
      <c r="N4" s="2"/>
    </row>
    <row r="5" spans="1:14" x14ac:dyDescent="0.25">
      <c r="A5" s="61"/>
      <c r="B5" s="67"/>
      <c r="C5" s="67"/>
      <c r="D5" s="61"/>
      <c r="E5" s="35" t="str">
        <f t="shared" si="0"/>
        <v/>
      </c>
      <c r="F5" s="35" t="str">
        <f t="shared" si="1"/>
        <v/>
      </c>
      <c r="G5" s="58" t="str">
        <f t="shared" si="2"/>
        <v/>
      </c>
      <c r="H5">
        <f t="shared" si="3"/>
        <v>20925646.325459316</v>
      </c>
    </row>
    <row r="6" spans="1:14" x14ac:dyDescent="0.25">
      <c r="A6" s="61"/>
      <c r="B6" s="67"/>
      <c r="C6" s="67"/>
      <c r="D6" s="61"/>
      <c r="E6" s="35" t="str">
        <f t="shared" si="0"/>
        <v/>
      </c>
      <c r="F6" s="35" t="str">
        <f t="shared" si="1"/>
        <v/>
      </c>
      <c r="G6" s="58" t="str">
        <f t="shared" si="2"/>
        <v/>
      </c>
      <c r="H6">
        <f t="shared" si="3"/>
        <v>20925646.325459316</v>
      </c>
      <c r="J6" s="6"/>
    </row>
    <row r="7" spans="1:14" x14ac:dyDescent="0.25">
      <c r="A7" s="61"/>
      <c r="B7" s="67"/>
      <c r="C7" s="67"/>
      <c r="D7" s="61"/>
      <c r="E7" s="35" t="str">
        <f t="shared" si="0"/>
        <v/>
      </c>
      <c r="F7" s="35" t="str">
        <f t="shared" si="1"/>
        <v/>
      </c>
      <c r="G7" s="58" t="str">
        <f t="shared" si="2"/>
        <v/>
      </c>
      <c r="H7">
        <f t="shared" si="3"/>
        <v>20925646.325459316</v>
      </c>
      <c r="J7" s="6"/>
    </row>
    <row r="8" spans="1:14" x14ac:dyDescent="0.25">
      <c r="A8" s="61" t="s">
        <v>10</v>
      </c>
      <c r="B8" s="67">
        <v>45.012220016999997</v>
      </c>
      <c r="C8" s="67">
        <v>117.554069003</v>
      </c>
      <c r="D8" s="61">
        <v>3219.3139999999999</v>
      </c>
      <c r="E8" s="35">
        <f t="shared" si="0"/>
        <v>-6940119.6666497476</v>
      </c>
      <c r="F8" s="35">
        <f t="shared" si="1"/>
        <v>-13092146.645995906</v>
      </c>
      <c r="G8" s="58">
        <f t="shared" si="2"/>
        <v>14730434.616307516</v>
      </c>
      <c r="H8">
        <f t="shared" si="3"/>
        <v>20960783.598996654</v>
      </c>
    </row>
    <row r="9" spans="1:14" x14ac:dyDescent="0.25">
      <c r="A9" s="61">
        <v>9213</v>
      </c>
      <c r="B9" s="67">
        <v>45.174836603000003</v>
      </c>
      <c r="C9" s="67">
        <v>117.491211005</v>
      </c>
      <c r="D9" s="61">
        <v>2775.3510000000001</v>
      </c>
      <c r="E9" s="35">
        <f t="shared" si="0"/>
        <v>-6882239.4862263547</v>
      </c>
      <c r="F9" s="35">
        <f t="shared" si="1"/>
        <v>-13042274.673769349</v>
      </c>
      <c r="G9" s="58">
        <f t="shared" si="2"/>
        <v>14800559.140403816</v>
      </c>
      <c r="H9">
        <f t="shared" si="3"/>
        <v>20961120.16638092</v>
      </c>
    </row>
    <row r="10" spans="1:14" x14ac:dyDescent="0.25">
      <c r="A10" s="61">
        <v>9220</v>
      </c>
      <c r="B10" s="67">
        <v>45.183941791000002</v>
      </c>
      <c r="C10" s="67">
        <v>118.03522587099999</v>
      </c>
      <c r="D10" s="61">
        <v>2686.2469999999998</v>
      </c>
      <c r="E10" s="35">
        <f t="shared" si="0"/>
        <v>-6936070.1379754804</v>
      </c>
      <c r="F10" s="35">
        <f t="shared" si="1"/>
        <v>-13009489.782649314</v>
      </c>
      <c r="G10" s="58">
        <f t="shared" si="2"/>
        <v>14804133.12553392</v>
      </c>
      <c r="H10">
        <f t="shared" si="3"/>
        <v>20961137.589615431</v>
      </c>
    </row>
    <row r="11" spans="1:14" x14ac:dyDescent="0.25">
      <c r="A11" s="61">
        <v>200704</v>
      </c>
      <c r="B11" s="67">
        <v>45.290926216000003</v>
      </c>
      <c r="C11" s="67">
        <v>118.001438514</v>
      </c>
      <c r="D11" s="61">
        <v>2643.9009999999998</v>
      </c>
      <c r="E11" s="35">
        <f t="shared" si="0"/>
        <v>-6900980.6765585626</v>
      </c>
      <c r="F11" s="35">
        <f t="shared" si="1"/>
        <v>-12976673.640876928</v>
      </c>
      <c r="G11" s="58">
        <f t="shared" si="2"/>
        <v>14848903.539965954</v>
      </c>
      <c r="H11">
        <f t="shared" si="3"/>
        <v>20961352.540476549</v>
      </c>
    </row>
    <row r="12" spans="1:14" x14ac:dyDescent="0.25">
      <c r="A12" s="61" t="s">
        <v>11</v>
      </c>
      <c r="B12" s="67">
        <v>45.342100344999999</v>
      </c>
      <c r="C12" s="67">
        <v>117.561489807</v>
      </c>
      <c r="D12" s="61">
        <v>2705.3249999999998</v>
      </c>
      <c r="E12" s="35">
        <f t="shared" si="0"/>
        <v>-6875371.2757263947</v>
      </c>
      <c r="F12" s="35">
        <f t="shared" si="1"/>
        <v>-12964806.048485992</v>
      </c>
      <c r="G12" s="58">
        <f t="shared" si="2"/>
        <v>14871070.550915943</v>
      </c>
      <c r="H12">
        <f t="shared" si="3"/>
        <v>20961458.925071482</v>
      </c>
    </row>
    <row r="13" spans="1:14" x14ac:dyDescent="0.25">
      <c r="A13" s="61">
        <v>201502</v>
      </c>
      <c r="B13" s="67">
        <v>45.150820727999999</v>
      </c>
      <c r="C13" s="67">
        <v>118.225931977</v>
      </c>
      <c r="D13" s="61">
        <v>3302.2339999999999</v>
      </c>
      <c r="E13" s="35">
        <f t="shared" si="0"/>
        <v>-7015742.7199819069</v>
      </c>
      <c r="F13" s="35">
        <f t="shared" si="1"/>
        <v>-12984473.323470881</v>
      </c>
      <c r="G13" s="58">
        <f t="shared" si="2"/>
        <v>14789516.543365769</v>
      </c>
      <c r="H13">
        <f t="shared" si="3"/>
        <v>20961065.50634373</v>
      </c>
    </row>
    <row r="14" spans="1:14" x14ac:dyDescent="0.25">
      <c r="A14" s="61" t="s">
        <v>22</v>
      </c>
      <c r="B14" s="67">
        <v>45.185109224000001</v>
      </c>
      <c r="C14" s="67">
        <v>118.05292433300001</v>
      </c>
      <c r="D14" s="61">
        <v>2763.114</v>
      </c>
      <c r="E14" s="35">
        <f t="shared" si="0"/>
        <v>-6941815.9183686916</v>
      </c>
      <c r="F14" s="35">
        <f t="shared" si="1"/>
        <v>-13005533.008670675</v>
      </c>
      <c r="G14" s="58">
        <f t="shared" si="2"/>
        <v>14805019.415728787</v>
      </c>
      <c r="H14">
        <f t="shared" si="3"/>
        <v>20961141.573880795</v>
      </c>
    </row>
    <row r="15" spans="1:14" x14ac:dyDescent="0.25">
      <c r="A15" s="61">
        <v>9935</v>
      </c>
      <c r="B15" s="67">
        <v>45.120866962999997</v>
      </c>
      <c r="C15" s="67">
        <v>117.513716178</v>
      </c>
      <c r="D15" s="61">
        <v>2740.1439999999998</v>
      </c>
      <c r="E15" s="35">
        <f t="shared" si="0"/>
        <v>-6902818.0021357061</v>
      </c>
      <c r="F15" s="35">
        <f t="shared" si="1"/>
        <v>-13059014.667184845</v>
      </c>
      <c r="G15" s="58">
        <f t="shared" si="2"/>
        <v>14776308.624904627</v>
      </c>
      <c r="H15">
        <f t="shared" si="3"/>
        <v>20961004.232173413</v>
      </c>
    </row>
    <row r="16" spans="1:14" x14ac:dyDescent="0.25">
      <c r="A16" s="61"/>
      <c r="B16" s="67"/>
      <c r="C16" s="67"/>
      <c r="D16" s="61"/>
      <c r="E16" s="35" t="str">
        <f t="shared" si="0"/>
        <v/>
      </c>
      <c r="F16" s="35" t="str">
        <f t="shared" si="1"/>
        <v/>
      </c>
      <c r="G16" s="58" t="str">
        <f t="shared" si="2"/>
        <v/>
      </c>
      <c r="H16">
        <f t="shared" si="3"/>
        <v>20925646.325459316</v>
      </c>
    </row>
    <row r="17" spans="1:8" x14ac:dyDescent="0.25">
      <c r="A17" s="61"/>
      <c r="B17" s="67"/>
      <c r="C17" s="67"/>
      <c r="D17" s="61"/>
      <c r="E17" s="35" t="str">
        <f t="shared" si="0"/>
        <v/>
      </c>
      <c r="F17" s="35" t="str">
        <f t="shared" si="1"/>
        <v/>
      </c>
      <c r="G17" s="58" t="str">
        <f t="shared" si="2"/>
        <v/>
      </c>
      <c r="H17">
        <f t="shared" si="3"/>
        <v>20925646.325459316</v>
      </c>
    </row>
    <row r="18" spans="1:8" x14ac:dyDescent="0.25">
      <c r="A18" s="61"/>
      <c r="B18" s="67" cm="1">
        <f t="array" ref="B18">hddtohms(45.12345)</f>
        <v>45.072442000000002</v>
      </c>
      <c r="C18" s="67" cm="1">
        <f t="array" ref="C18">hddtohms(118.12345)</f>
        <v>118.072442</v>
      </c>
      <c r="D18" s="61">
        <v>3000</v>
      </c>
      <c r="E18" s="35">
        <f t="shared" si="0"/>
        <v>-6972428.4777047317</v>
      </c>
      <c r="F18" s="35">
        <f t="shared" si="1"/>
        <v>-13045345.063934438</v>
      </c>
      <c r="G18" s="58">
        <f t="shared" si="2"/>
        <v>14756190.871413466</v>
      </c>
      <c r="H18">
        <f t="shared" si="3"/>
        <v>20960907.220619556</v>
      </c>
    </row>
    <row r="19" spans="1:8" x14ac:dyDescent="0.25">
      <c r="A19" s="61"/>
      <c r="B19" s="67"/>
      <c r="C19" s="67"/>
      <c r="D19" s="61"/>
      <c r="E19" s="35" t="str">
        <f t="shared" si="0"/>
        <v/>
      </c>
      <c r="F19" s="35" t="str">
        <f t="shared" si="1"/>
        <v/>
      </c>
      <c r="G19" s="58" t="str">
        <f t="shared" si="2"/>
        <v/>
      </c>
      <c r="H19">
        <f t="shared" si="3"/>
        <v>20925646.325459316</v>
      </c>
    </row>
    <row r="20" spans="1:8" x14ac:dyDescent="0.25">
      <c r="A20" s="61"/>
      <c r="B20" s="67"/>
      <c r="C20" s="67"/>
      <c r="D20" s="61"/>
      <c r="E20" s="35" t="str">
        <f t="shared" si="0"/>
        <v/>
      </c>
      <c r="F20" s="35" t="str">
        <f t="shared" si="1"/>
        <v/>
      </c>
      <c r="G20" s="58" t="str">
        <f t="shared" si="2"/>
        <v/>
      </c>
      <c r="H20">
        <f t="shared" si="3"/>
        <v>20925646.325459316</v>
      </c>
    </row>
    <row r="21" spans="1:8" x14ac:dyDescent="0.25">
      <c r="A21" s="61"/>
      <c r="B21" s="67"/>
      <c r="C21" s="67"/>
      <c r="D21" s="61"/>
      <c r="E21" s="35" t="str">
        <f t="shared" si="0"/>
        <v/>
      </c>
      <c r="F21" s="35" t="str">
        <f t="shared" si="1"/>
        <v/>
      </c>
      <c r="G21" s="58" t="str">
        <f t="shared" si="2"/>
        <v/>
      </c>
      <c r="H21">
        <f t="shared" si="3"/>
        <v>20925646.325459316</v>
      </c>
    </row>
    <row r="22" spans="1:8" x14ac:dyDescent="0.25">
      <c r="A22" s="61"/>
      <c r="B22" s="67"/>
      <c r="C22" s="67"/>
      <c r="D22" s="61"/>
      <c r="E22" s="35" t="str">
        <f t="shared" si="0"/>
        <v/>
      </c>
      <c r="F22" s="35" t="str">
        <f t="shared" si="1"/>
        <v/>
      </c>
      <c r="G22" s="58" t="str">
        <f t="shared" si="2"/>
        <v/>
      </c>
      <c r="H22">
        <f t="shared" si="3"/>
        <v>20925646.325459316</v>
      </c>
    </row>
    <row r="23" spans="1:8" x14ac:dyDescent="0.25">
      <c r="A23" s="61"/>
      <c r="B23" s="67"/>
      <c r="C23" s="67"/>
      <c r="D23" s="61"/>
      <c r="E23" s="35" t="str">
        <f t="shared" si="0"/>
        <v/>
      </c>
      <c r="F23" s="35" t="str">
        <f t="shared" si="1"/>
        <v/>
      </c>
      <c r="G23" s="58" t="str">
        <f t="shared" si="2"/>
        <v/>
      </c>
      <c r="H23">
        <f t="shared" si="3"/>
        <v>20925646.325459316</v>
      </c>
    </row>
    <row r="24" spans="1:8" x14ac:dyDescent="0.25">
      <c r="A24" s="61"/>
      <c r="B24" s="67"/>
      <c r="C24" s="67"/>
      <c r="D24" s="61"/>
      <c r="E24" s="35" t="str">
        <f t="shared" si="0"/>
        <v/>
      </c>
      <c r="F24" s="35" t="str">
        <f t="shared" si="1"/>
        <v/>
      </c>
      <c r="G24" s="58" t="str">
        <f t="shared" si="2"/>
        <v/>
      </c>
      <c r="H24">
        <f t="shared" si="3"/>
        <v>20925646.325459316</v>
      </c>
    </row>
    <row r="25" spans="1:8" x14ac:dyDescent="0.25">
      <c r="A25" s="61"/>
      <c r="B25" s="67"/>
      <c r="C25" s="67"/>
      <c r="D25" s="61"/>
      <c r="E25" s="35" t="str">
        <f t="shared" si="0"/>
        <v/>
      </c>
      <c r="F25" s="35" t="str">
        <f t="shared" si="1"/>
        <v/>
      </c>
      <c r="G25" s="58" t="str">
        <f t="shared" si="2"/>
        <v/>
      </c>
      <c r="H25">
        <f t="shared" si="3"/>
        <v>20925646.325459316</v>
      </c>
    </row>
    <row r="26" spans="1:8" x14ac:dyDescent="0.25">
      <c r="A26" s="61"/>
      <c r="B26" s="67"/>
      <c r="C26" s="67"/>
      <c r="D26" s="61"/>
      <c r="E26" s="35" t="str">
        <f t="shared" si="0"/>
        <v/>
      </c>
      <c r="F26" s="35" t="str">
        <f t="shared" si="1"/>
        <v/>
      </c>
      <c r="G26" s="58" t="str">
        <f t="shared" si="2"/>
        <v/>
      </c>
      <c r="H26">
        <f t="shared" si="3"/>
        <v>20925646.325459316</v>
      </c>
    </row>
    <row r="27" spans="1:8" x14ac:dyDescent="0.25">
      <c r="A27" s="61"/>
      <c r="B27" s="67"/>
      <c r="C27" s="67"/>
      <c r="D27" s="61"/>
      <c r="E27" s="35" t="str">
        <f t="shared" si="0"/>
        <v/>
      </c>
      <c r="F27" s="35" t="str">
        <f t="shared" si="1"/>
        <v/>
      </c>
      <c r="G27" s="58" t="str">
        <f t="shared" si="2"/>
        <v/>
      </c>
      <c r="H27">
        <f t="shared" si="3"/>
        <v>20925646.325459316</v>
      </c>
    </row>
    <row r="28" spans="1:8" x14ac:dyDescent="0.25">
      <c r="A28" s="61"/>
      <c r="B28" s="67"/>
      <c r="C28" s="67"/>
      <c r="D28" s="61"/>
      <c r="E28" s="35" t="str">
        <f t="shared" si="0"/>
        <v/>
      </c>
      <c r="F28" s="35" t="str">
        <f t="shared" si="1"/>
        <v/>
      </c>
      <c r="G28" s="58" t="str">
        <f t="shared" si="2"/>
        <v/>
      </c>
      <c r="H28">
        <f t="shared" si="3"/>
        <v>20925646.325459316</v>
      </c>
    </row>
    <row r="29" spans="1:8" x14ac:dyDescent="0.25">
      <c r="A29" s="61"/>
      <c r="B29" s="67"/>
      <c r="C29" s="67"/>
      <c r="D29" s="61"/>
      <c r="E29" s="35" t="str">
        <f t="shared" si="0"/>
        <v/>
      </c>
      <c r="F29" s="35" t="str">
        <f t="shared" si="1"/>
        <v/>
      </c>
      <c r="G29" s="58" t="str">
        <f t="shared" si="2"/>
        <v/>
      </c>
      <c r="H29">
        <f t="shared" si="3"/>
        <v>20925646.325459316</v>
      </c>
    </row>
    <row r="30" spans="1:8" x14ac:dyDescent="0.25">
      <c r="A30" s="61"/>
      <c r="B30" s="67"/>
      <c r="C30" s="67"/>
      <c r="D30" s="61"/>
      <c r="E30" s="35" t="str">
        <f t="shared" si="0"/>
        <v/>
      </c>
      <c r="F30" s="35" t="str">
        <f t="shared" si="1"/>
        <v/>
      </c>
      <c r="G30" s="58" t="str">
        <f t="shared" si="2"/>
        <v/>
      </c>
      <c r="H30">
        <f t="shared" si="3"/>
        <v>20925646.325459316</v>
      </c>
    </row>
    <row r="31" spans="1:8" x14ac:dyDescent="0.25">
      <c r="A31" s="61"/>
      <c r="B31" s="67"/>
      <c r="C31" s="67"/>
      <c r="D31" s="61"/>
      <c r="E31" s="35" t="str">
        <f t="shared" si="0"/>
        <v/>
      </c>
      <c r="F31" s="35" t="str">
        <f t="shared" si="1"/>
        <v/>
      </c>
      <c r="G31" s="58" t="str">
        <f t="shared" si="2"/>
        <v/>
      </c>
      <c r="H31">
        <f t="shared" si="3"/>
        <v>20925646.325459316</v>
      </c>
    </row>
    <row r="32" spans="1:8" x14ac:dyDescent="0.25">
      <c r="A32" s="61"/>
      <c r="B32" s="67"/>
      <c r="C32" s="67"/>
      <c r="D32" s="61"/>
      <c r="E32" s="35" t="str">
        <f t="shared" si="0"/>
        <v/>
      </c>
      <c r="F32" s="35" t="str">
        <f t="shared" si="1"/>
        <v/>
      </c>
      <c r="G32" s="58" t="str">
        <f t="shared" si="2"/>
        <v/>
      </c>
      <c r="H32">
        <f t="shared" si="3"/>
        <v>20925646.325459316</v>
      </c>
    </row>
    <row r="33" spans="1:8" x14ac:dyDescent="0.25">
      <c r="A33" s="61"/>
      <c r="B33" s="67"/>
      <c r="C33" s="67"/>
      <c r="D33" s="61"/>
      <c r="E33" s="35" t="str">
        <f t="shared" si="0"/>
        <v/>
      </c>
      <c r="F33" s="35" t="str">
        <f t="shared" si="1"/>
        <v/>
      </c>
      <c r="G33" s="58" t="str">
        <f t="shared" si="2"/>
        <v/>
      </c>
      <c r="H33">
        <f t="shared" si="3"/>
        <v>20925646.325459316</v>
      </c>
    </row>
    <row r="34" spans="1:8" x14ac:dyDescent="0.25">
      <c r="A34" s="61"/>
      <c r="B34" s="67"/>
      <c r="C34" s="67"/>
      <c r="D34" s="61"/>
      <c r="E34" s="35" t="str">
        <f t="shared" si="0"/>
        <v/>
      </c>
      <c r="F34" s="35" t="str">
        <f t="shared" si="1"/>
        <v/>
      </c>
      <c r="G34" s="58" t="str">
        <f t="shared" si="2"/>
        <v/>
      </c>
      <c r="H34">
        <f t="shared" si="3"/>
        <v>20925646.325459316</v>
      </c>
    </row>
    <row r="35" spans="1:8" x14ac:dyDescent="0.25">
      <c r="A35" s="61"/>
      <c r="B35" s="67"/>
      <c r="C35" s="67"/>
      <c r="D35" s="61"/>
      <c r="E35" s="35" t="str">
        <f t="shared" si="0"/>
        <v/>
      </c>
      <c r="F35" s="35" t="str">
        <f t="shared" si="1"/>
        <v/>
      </c>
      <c r="G35" s="58" t="str">
        <f t="shared" si="2"/>
        <v/>
      </c>
      <c r="H35">
        <f t="shared" si="3"/>
        <v>20925646.325459316</v>
      </c>
    </row>
    <row r="36" spans="1:8" x14ac:dyDescent="0.25">
      <c r="A36" s="61"/>
      <c r="B36" s="67"/>
      <c r="C36" s="67"/>
      <c r="D36" s="61"/>
      <c r="E36" s="35" t="str">
        <f t="shared" si="0"/>
        <v/>
      </c>
      <c r="F36" s="35" t="str">
        <f t="shared" si="1"/>
        <v/>
      </c>
      <c r="G36" s="58" t="str">
        <f t="shared" si="2"/>
        <v/>
      </c>
      <c r="H36">
        <f t="shared" si="3"/>
        <v>20925646.325459316</v>
      </c>
    </row>
    <row r="37" spans="1:8" x14ac:dyDescent="0.25">
      <c r="A37" s="61"/>
      <c r="B37" s="67"/>
      <c r="C37" s="67"/>
      <c r="D37" s="61"/>
      <c r="E37" s="35" t="str">
        <f t="shared" si="0"/>
        <v/>
      </c>
      <c r="F37" s="35" t="str">
        <f t="shared" si="1"/>
        <v/>
      </c>
      <c r="G37" s="58" t="str">
        <f t="shared" si="2"/>
        <v/>
      </c>
      <c r="H37">
        <f t="shared" si="3"/>
        <v>20925646.325459316</v>
      </c>
    </row>
    <row r="38" spans="1:8" x14ac:dyDescent="0.25">
      <c r="A38" s="61"/>
      <c r="B38" s="67"/>
      <c r="C38" s="67"/>
      <c r="D38" s="61"/>
      <c r="E38" s="35" t="str">
        <f t="shared" si="0"/>
        <v/>
      </c>
      <c r="F38" s="35" t="str">
        <f t="shared" si="1"/>
        <v/>
      </c>
      <c r="G38" s="58" t="str">
        <f t="shared" si="2"/>
        <v/>
      </c>
      <c r="H38">
        <f t="shared" si="3"/>
        <v>20925646.325459316</v>
      </c>
    </row>
    <row r="39" spans="1:8" x14ac:dyDescent="0.25">
      <c r="A39" s="61"/>
      <c r="B39" s="67"/>
      <c r="C39" s="67"/>
      <c r="D39" s="61"/>
      <c r="E39" s="35" t="str">
        <f t="shared" si="0"/>
        <v/>
      </c>
      <c r="F39" s="35" t="str">
        <f t="shared" si="1"/>
        <v/>
      </c>
      <c r="G39" s="58" t="str">
        <f t="shared" si="2"/>
        <v/>
      </c>
      <c r="H39">
        <f t="shared" si="3"/>
        <v>20925646.325459316</v>
      </c>
    </row>
    <row r="40" spans="1:8" x14ac:dyDescent="0.25">
      <c r="A40" s="61"/>
      <c r="B40" s="67"/>
      <c r="C40" s="67"/>
      <c r="D40" s="61"/>
      <c r="E40" s="35" t="str">
        <f t="shared" si="0"/>
        <v/>
      </c>
      <c r="F40" s="35" t="str">
        <f t="shared" si="1"/>
        <v/>
      </c>
      <c r="G40" s="58" t="str">
        <f t="shared" si="2"/>
        <v/>
      </c>
      <c r="H40">
        <f t="shared" si="3"/>
        <v>20925646.325459316</v>
      </c>
    </row>
    <row r="41" spans="1:8" x14ac:dyDescent="0.25">
      <c r="A41" s="61"/>
      <c r="B41" s="67"/>
      <c r="C41" s="67"/>
      <c r="D41" s="61"/>
      <c r="E41" s="35" t="str">
        <f t="shared" si="0"/>
        <v/>
      </c>
      <c r="F41" s="35" t="str">
        <f t="shared" si="1"/>
        <v/>
      </c>
      <c r="G41" s="58" t="str">
        <f t="shared" si="2"/>
        <v/>
      </c>
      <c r="H41">
        <f t="shared" si="3"/>
        <v>20925646.325459316</v>
      </c>
    </row>
    <row r="42" spans="1:8" x14ac:dyDescent="0.25">
      <c r="A42" s="61"/>
      <c r="B42" s="67"/>
      <c r="C42" s="67"/>
      <c r="D42" s="61"/>
      <c r="E42" s="35" t="str">
        <f t="shared" si="0"/>
        <v/>
      </c>
      <c r="F42" s="35" t="str">
        <f t="shared" si="1"/>
        <v/>
      </c>
      <c r="G42" s="58" t="str">
        <f t="shared" si="2"/>
        <v/>
      </c>
      <c r="H42">
        <f t="shared" si="3"/>
        <v>20925646.325459316</v>
      </c>
    </row>
    <row r="43" spans="1:8" x14ac:dyDescent="0.25">
      <c r="A43" s="61"/>
      <c r="B43" s="67"/>
      <c r="C43" s="67"/>
      <c r="D43" s="61"/>
      <c r="E43" s="35" t="str">
        <f t="shared" si="0"/>
        <v/>
      </c>
      <c r="F43" s="35" t="str">
        <f t="shared" si="1"/>
        <v/>
      </c>
      <c r="G43" s="58" t="str">
        <f t="shared" si="2"/>
        <v/>
      </c>
      <c r="H43">
        <f t="shared" si="3"/>
        <v>20925646.325459316</v>
      </c>
    </row>
    <row r="44" spans="1:8" x14ac:dyDescent="0.25">
      <c r="A44" s="61"/>
      <c r="B44" s="67"/>
      <c r="C44" s="67"/>
      <c r="D44" s="61"/>
      <c r="E44" s="35" t="str">
        <f t="shared" si="0"/>
        <v/>
      </c>
      <c r="F44" s="35" t="str">
        <f t="shared" si="1"/>
        <v/>
      </c>
      <c r="G44" s="58" t="str">
        <f t="shared" si="2"/>
        <v/>
      </c>
      <c r="H44">
        <f t="shared" si="3"/>
        <v>20925646.325459316</v>
      </c>
    </row>
    <row r="45" spans="1:8" x14ac:dyDescent="0.25">
      <c r="A45" s="61"/>
      <c r="B45" s="67"/>
      <c r="C45" s="67"/>
      <c r="D45" s="61"/>
      <c r="E45" s="35" t="str">
        <f t="shared" si="0"/>
        <v/>
      </c>
      <c r="F45" s="35" t="str">
        <f t="shared" si="1"/>
        <v/>
      </c>
      <c r="G45" s="58" t="str">
        <f t="shared" si="2"/>
        <v/>
      </c>
      <c r="H45">
        <f t="shared" si="3"/>
        <v>20925646.325459316</v>
      </c>
    </row>
    <row r="46" spans="1:8" x14ac:dyDescent="0.25">
      <c r="A46" s="61"/>
      <c r="B46" s="67"/>
      <c r="C46" s="67"/>
      <c r="D46" s="61"/>
      <c r="E46" s="35" t="str">
        <f t="shared" si="0"/>
        <v/>
      </c>
      <c r="F46" s="35" t="str">
        <f t="shared" si="1"/>
        <v/>
      </c>
      <c r="G46" s="58" t="str">
        <f t="shared" si="2"/>
        <v/>
      </c>
      <c r="H46">
        <f t="shared" si="3"/>
        <v>20925646.325459316</v>
      </c>
    </row>
    <row r="47" spans="1:8" x14ac:dyDescent="0.25">
      <c r="A47" s="61"/>
      <c r="B47" s="67"/>
      <c r="C47" s="67"/>
      <c r="D47" s="61"/>
      <c r="E47" s="35" t="str">
        <f t="shared" si="0"/>
        <v/>
      </c>
      <c r="F47" s="35" t="str">
        <f t="shared" si="1"/>
        <v/>
      </c>
      <c r="G47" s="58" t="str">
        <f t="shared" si="2"/>
        <v/>
      </c>
      <c r="H47">
        <f t="shared" si="3"/>
        <v>20925646.325459316</v>
      </c>
    </row>
    <row r="48" spans="1:8" x14ac:dyDescent="0.25">
      <c r="A48" s="61"/>
      <c r="B48" s="67"/>
      <c r="C48" s="67"/>
      <c r="D48" s="61"/>
      <c r="E48" s="35" t="str">
        <f t="shared" si="0"/>
        <v/>
      </c>
      <c r="F48" s="35" t="str">
        <f t="shared" si="1"/>
        <v/>
      </c>
      <c r="G48" s="58" t="str">
        <f t="shared" si="2"/>
        <v/>
      </c>
      <c r="H48">
        <f t="shared" si="3"/>
        <v>20925646.325459316</v>
      </c>
    </row>
    <row r="49" spans="1:8" x14ac:dyDescent="0.25">
      <c r="A49" s="61"/>
      <c r="B49" s="67"/>
      <c r="C49" s="67"/>
      <c r="D49" s="61"/>
      <c r="E49" s="35" t="str">
        <f t="shared" si="0"/>
        <v/>
      </c>
      <c r="F49" s="35" t="str">
        <f t="shared" si="1"/>
        <v/>
      </c>
      <c r="G49" s="58" t="str">
        <f t="shared" si="2"/>
        <v/>
      </c>
      <c r="H49">
        <f t="shared" si="3"/>
        <v>20925646.325459316</v>
      </c>
    </row>
    <row r="50" spans="1:8" x14ac:dyDescent="0.25">
      <c r="A50" s="61"/>
      <c r="B50" s="67"/>
      <c r="C50" s="67"/>
      <c r="D50" s="61"/>
      <c r="E50" s="35" t="str">
        <f t="shared" si="0"/>
        <v/>
      </c>
      <c r="F50" s="35" t="str">
        <f t="shared" si="1"/>
        <v/>
      </c>
      <c r="G50" s="58" t="str">
        <f t="shared" si="2"/>
        <v/>
      </c>
      <c r="H50">
        <f t="shared" si="3"/>
        <v>20925646.325459316</v>
      </c>
    </row>
    <row r="51" spans="1:8" x14ac:dyDescent="0.25">
      <c r="A51" s="61"/>
      <c r="B51" s="67"/>
      <c r="C51" s="67"/>
      <c r="D51" s="61"/>
      <c r="E51" s="35" t="str">
        <f t="shared" si="0"/>
        <v/>
      </c>
      <c r="F51" s="35" t="str">
        <f t="shared" si="1"/>
        <v/>
      </c>
      <c r="G51" s="58" t="str">
        <f t="shared" si="2"/>
        <v/>
      </c>
      <c r="H51">
        <f t="shared" si="3"/>
        <v>20925646.325459316</v>
      </c>
    </row>
    <row r="52" spans="1:8" x14ac:dyDescent="0.25">
      <c r="A52" s="61"/>
      <c r="B52" s="67"/>
      <c r="C52" s="67"/>
      <c r="D52" s="61"/>
      <c r="E52" s="35" t="str">
        <f t="shared" si="0"/>
        <v/>
      </c>
      <c r="F52" s="35" t="str">
        <f t="shared" si="1"/>
        <v/>
      </c>
      <c r="G52" s="58" t="str">
        <f t="shared" si="2"/>
        <v/>
      </c>
      <c r="H52">
        <f t="shared" si="3"/>
        <v>20925646.325459316</v>
      </c>
    </row>
    <row r="53" spans="1:8" x14ac:dyDescent="0.25">
      <c r="A53" s="61"/>
      <c r="B53" s="67"/>
      <c r="C53" s="67"/>
      <c r="D53" s="61"/>
      <c r="E53" s="35" t="str">
        <f t="shared" si="0"/>
        <v/>
      </c>
      <c r="F53" s="35" t="str">
        <f t="shared" si="1"/>
        <v/>
      </c>
      <c r="G53" s="58" t="str">
        <f t="shared" si="2"/>
        <v/>
      </c>
      <c r="H53">
        <f t="shared" si="3"/>
        <v>20925646.325459316</v>
      </c>
    </row>
    <row r="54" spans="1:8" x14ac:dyDescent="0.25">
      <c r="A54" s="61"/>
      <c r="B54" s="67"/>
      <c r="C54" s="67"/>
      <c r="D54" s="61"/>
      <c r="E54" s="35" t="str">
        <f t="shared" si="0"/>
        <v/>
      </c>
      <c r="F54" s="35" t="str">
        <f t="shared" si="1"/>
        <v/>
      </c>
      <c r="G54" s="58" t="str">
        <f t="shared" si="2"/>
        <v/>
      </c>
      <c r="H54">
        <f t="shared" si="3"/>
        <v>20925646.325459316</v>
      </c>
    </row>
    <row r="55" spans="1:8" x14ac:dyDescent="0.25">
      <c r="A55" s="61"/>
      <c r="B55" s="67"/>
      <c r="C55" s="67"/>
      <c r="D55" s="61"/>
      <c r="E55" s="35" t="str">
        <f t="shared" si="0"/>
        <v/>
      </c>
      <c r="F55" s="35" t="str">
        <f t="shared" si="1"/>
        <v/>
      </c>
      <c r="G55" s="58" t="str">
        <f t="shared" si="2"/>
        <v/>
      </c>
      <c r="H55">
        <f t="shared" si="3"/>
        <v>20925646.325459316</v>
      </c>
    </row>
    <row r="56" spans="1:8" x14ac:dyDescent="0.25">
      <c r="A56" s="61"/>
      <c r="B56" s="67"/>
      <c r="C56" s="67"/>
      <c r="D56" s="61"/>
      <c r="E56" s="35" t="str">
        <f t="shared" si="0"/>
        <v/>
      </c>
      <c r="F56" s="35" t="str">
        <f t="shared" si="1"/>
        <v/>
      </c>
      <c r="G56" s="58" t="str">
        <f t="shared" si="2"/>
        <v/>
      </c>
      <c r="H56">
        <f t="shared" si="3"/>
        <v>20925646.325459316</v>
      </c>
    </row>
    <row r="57" spans="1:8" x14ac:dyDescent="0.25">
      <c r="A57" s="61"/>
      <c r="B57" s="67"/>
      <c r="C57" s="67"/>
      <c r="D57" s="61"/>
      <c r="E57" s="35" t="str">
        <f t="shared" si="0"/>
        <v/>
      </c>
      <c r="F57" s="35" t="str">
        <f t="shared" si="1"/>
        <v/>
      </c>
      <c r="G57" s="58" t="str">
        <f t="shared" si="2"/>
        <v/>
      </c>
      <c r="H57">
        <f t="shared" si="3"/>
        <v>20925646.325459316</v>
      </c>
    </row>
    <row r="58" spans="1:8" x14ac:dyDescent="0.25">
      <c r="A58" s="61"/>
      <c r="B58" s="67"/>
      <c r="C58" s="67"/>
      <c r="D58" s="61"/>
      <c r="E58" s="35" t="str">
        <f t="shared" si="0"/>
        <v/>
      </c>
      <c r="F58" s="35" t="str">
        <f t="shared" si="1"/>
        <v/>
      </c>
      <c r="G58" s="58" t="str">
        <f t="shared" si="2"/>
        <v/>
      </c>
      <c r="H58">
        <f t="shared" si="3"/>
        <v>20925646.325459316</v>
      </c>
    </row>
    <row r="59" spans="1:8" x14ac:dyDescent="0.25">
      <c r="A59" s="61"/>
      <c r="B59" s="67"/>
      <c r="C59" s="67"/>
      <c r="D59" s="61"/>
      <c r="E59" s="35" t="str">
        <f t="shared" si="0"/>
        <v/>
      </c>
      <c r="F59" s="35" t="str">
        <f t="shared" si="1"/>
        <v/>
      </c>
      <c r="G59" s="58" t="str">
        <f t="shared" si="2"/>
        <v/>
      </c>
      <c r="H59">
        <f t="shared" si="3"/>
        <v>20925646.325459316</v>
      </c>
    </row>
    <row r="60" spans="1:8" x14ac:dyDescent="0.25">
      <c r="A60" s="61"/>
      <c r="B60" s="67"/>
      <c r="C60" s="67"/>
      <c r="D60" s="61"/>
      <c r="E60" s="35" t="str">
        <f t="shared" si="0"/>
        <v/>
      </c>
      <c r="F60" s="35" t="str">
        <f t="shared" si="1"/>
        <v/>
      </c>
      <c r="G60" s="58" t="str">
        <f t="shared" si="2"/>
        <v/>
      </c>
      <c r="H60">
        <f t="shared" si="3"/>
        <v>20925646.325459316</v>
      </c>
    </row>
    <row r="61" spans="1:8" x14ac:dyDescent="0.25">
      <c r="A61" s="61"/>
      <c r="B61" s="67"/>
      <c r="C61" s="67"/>
      <c r="D61" s="61"/>
      <c r="E61" s="35" t="str">
        <f t="shared" si="0"/>
        <v/>
      </c>
      <c r="F61" s="35" t="str">
        <f t="shared" si="1"/>
        <v/>
      </c>
      <c r="G61" s="58" t="str">
        <f t="shared" si="2"/>
        <v/>
      </c>
      <c r="H61">
        <f t="shared" si="3"/>
        <v>20925646.325459316</v>
      </c>
    </row>
    <row r="62" spans="1:8" x14ac:dyDescent="0.25">
      <c r="A62" s="61"/>
      <c r="B62" s="67"/>
      <c r="C62" s="67"/>
      <c r="D62" s="61"/>
      <c r="E62" s="35" t="str">
        <f t="shared" si="0"/>
        <v/>
      </c>
      <c r="F62" s="35" t="str">
        <f t="shared" si="1"/>
        <v/>
      </c>
      <c r="G62" s="58" t="str">
        <f t="shared" si="2"/>
        <v/>
      </c>
      <c r="H62">
        <f t="shared" si="3"/>
        <v>20925646.325459316</v>
      </c>
    </row>
    <row r="63" spans="1:8" x14ac:dyDescent="0.25">
      <c r="A63" s="61"/>
      <c r="B63" s="67"/>
      <c r="C63" s="67"/>
      <c r="D63" s="61"/>
      <c r="E63" s="35" t="str">
        <f t="shared" si="0"/>
        <v/>
      </c>
      <c r="F63" s="35" t="str">
        <f t="shared" si="1"/>
        <v/>
      </c>
      <c r="G63" s="58" t="str">
        <f t="shared" si="2"/>
        <v/>
      </c>
      <c r="H63">
        <f t="shared" si="3"/>
        <v>20925646.325459316</v>
      </c>
    </row>
    <row r="64" spans="1:8" x14ac:dyDescent="0.25">
      <c r="A64" s="61"/>
      <c r="B64" s="67"/>
      <c r="C64" s="67"/>
      <c r="D64" s="61"/>
      <c r="E64" s="35" t="str">
        <f t="shared" si="0"/>
        <v/>
      </c>
      <c r="F64" s="35" t="str">
        <f t="shared" si="1"/>
        <v/>
      </c>
      <c r="G64" s="58" t="str">
        <f t="shared" si="2"/>
        <v/>
      </c>
      <c r="H64">
        <f t="shared" si="3"/>
        <v>20925646.325459316</v>
      </c>
    </row>
    <row r="65" spans="1:8" x14ac:dyDescent="0.25">
      <c r="A65" s="61"/>
      <c r="B65" s="67"/>
      <c r="C65" s="67"/>
      <c r="D65" s="61"/>
      <c r="E65" s="35" t="str">
        <f t="shared" si="0"/>
        <v/>
      </c>
      <c r="F65" s="35" t="str">
        <f t="shared" si="1"/>
        <v/>
      </c>
      <c r="G65" s="58" t="str">
        <f t="shared" si="2"/>
        <v/>
      </c>
      <c r="H65">
        <f t="shared" si="3"/>
        <v>20925646.325459316</v>
      </c>
    </row>
    <row r="66" spans="1:8" x14ac:dyDescent="0.25">
      <c r="A66" s="61"/>
      <c r="B66" s="67"/>
      <c r="C66" s="67"/>
      <c r="D66" s="61"/>
      <c r="E66" s="35" t="str">
        <f t="shared" si="0"/>
        <v/>
      </c>
      <c r="F66" s="35" t="str">
        <f t="shared" si="1"/>
        <v/>
      </c>
      <c r="G66" s="58" t="str">
        <f t="shared" si="2"/>
        <v/>
      </c>
      <c r="H66">
        <f t="shared" si="3"/>
        <v>20925646.325459316</v>
      </c>
    </row>
    <row r="67" spans="1:8" x14ac:dyDescent="0.25">
      <c r="A67" s="61"/>
      <c r="B67" s="67"/>
      <c r="C67" s="67"/>
      <c r="D67" s="61"/>
      <c r="E67" s="35" t="str">
        <f t="shared" ref="E67:E130" si="4">IF(B67&lt;&gt;"",(H67+D67)*COS(RADIANS(HMSTOHDD(B67)))*COS(RADIANS(HMSTOHDD(-C67))),"")</f>
        <v/>
      </c>
      <c r="F67" s="35" t="str">
        <f t="shared" ref="F67:F130" si="5">IF(B67&lt;&gt;"",(H67+D67)*COS(RADIANS(HMSTOHDD(B67)))*SIN(RADIANS(HMSTOHDD(-C67))),"")</f>
        <v/>
      </c>
      <c r="G67" s="58" t="str">
        <f t="shared" si="2"/>
        <v/>
      </c>
      <c r="H67">
        <f t="shared" si="3"/>
        <v>20925646.325459316</v>
      </c>
    </row>
    <row r="68" spans="1:8" x14ac:dyDescent="0.25">
      <c r="A68" s="61"/>
      <c r="B68" s="67"/>
      <c r="C68" s="67"/>
      <c r="D68" s="61"/>
      <c r="E68" s="35" t="str">
        <f t="shared" si="4"/>
        <v/>
      </c>
      <c r="F68" s="35" t="str">
        <f t="shared" si="5"/>
        <v/>
      </c>
      <c r="G68" s="58" t="str">
        <f t="shared" ref="G68:G131" si="6">IF(B68&lt;&gt;"",SIN(RADIANS(HMSTOHDD(B68)))*(H68*(1-$M$4)+D68),"")</f>
        <v/>
      </c>
      <c r="H68">
        <f t="shared" ref="H68:H131" si="7">$M$2/(1-$M$4*(SIN(RADIANS(HMSTOHDD(B68))))^2)^0.5</f>
        <v>20925646.325459316</v>
      </c>
    </row>
    <row r="69" spans="1:8" x14ac:dyDescent="0.25">
      <c r="A69" s="61"/>
      <c r="B69" s="67"/>
      <c r="C69" s="67"/>
      <c r="D69" s="61"/>
      <c r="E69" s="35" t="str">
        <f t="shared" si="4"/>
        <v/>
      </c>
      <c r="F69" s="35" t="str">
        <f t="shared" si="5"/>
        <v/>
      </c>
      <c r="G69" s="58" t="str">
        <f t="shared" si="6"/>
        <v/>
      </c>
      <c r="H69">
        <f t="shared" si="7"/>
        <v>20925646.325459316</v>
      </c>
    </row>
    <row r="70" spans="1:8" x14ac:dyDescent="0.25">
      <c r="A70" s="61"/>
      <c r="B70" s="67"/>
      <c r="C70" s="67"/>
      <c r="D70" s="61"/>
      <c r="E70" s="35" t="str">
        <f t="shared" si="4"/>
        <v/>
      </c>
      <c r="F70" s="35" t="str">
        <f t="shared" si="5"/>
        <v/>
      </c>
      <c r="G70" s="58" t="str">
        <f t="shared" si="6"/>
        <v/>
      </c>
      <c r="H70">
        <f t="shared" si="7"/>
        <v>20925646.325459316</v>
      </c>
    </row>
    <row r="71" spans="1:8" x14ac:dyDescent="0.25">
      <c r="A71" s="61"/>
      <c r="B71" s="67"/>
      <c r="C71" s="67"/>
      <c r="D71" s="61"/>
      <c r="E71" s="35" t="str">
        <f t="shared" si="4"/>
        <v/>
      </c>
      <c r="F71" s="35" t="str">
        <f t="shared" si="5"/>
        <v/>
      </c>
      <c r="G71" s="58" t="str">
        <f t="shared" si="6"/>
        <v/>
      </c>
      <c r="H71">
        <f t="shared" si="7"/>
        <v>20925646.325459316</v>
      </c>
    </row>
    <row r="72" spans="1:8" x14ac:dyDescent="0.25">
      <c r="A72" s="61"/>
      <c r="B72" s="67"/>
      <c r="C72" s="67"/>
      <c r="D72" s="61"/>
      <c r="E72" s="35" t="str">
        <f t="shared" si="4"/>
        <v/>
      </c>
      <c r="F72" s="35" t="str">
        <f t="shared" si="5"/>
        <v/>
      </c>
      <c r="G72" s="58" t="str">
        <f t="shared" si="6"/>
        <v/>
      </c>
      <c r="H72">
        <f t="shared" si="7"/>
        <v>20925646.325459316</v>
      </c>
    </row>
    <row r="73" spans="1:8" x14ac:dyDescent="0.25">
      <c r="A73" s="61"/>
      <c r="B73" s="67"/>
      <c r="C73" s="67"/>
      <c r="D73" s="61"/>
      <c r="E73" s="35" t="str">
        <f t="shared" si="4"/>
        <v/>
      </c>
      <c r="F73" s="35" t="str">
        <f t="shared" si="5"/>
        <v/>
      </c>
      <c r="G73" s="58" t="str">
        <f t="shared" si="6"/>
        <v/>
      </c>
      <c r="H73">
        <f t="shared" si="7"/>
        <v>20925646.325459316</v>
      </c>
    </row>
    <row r="74" spans="1:8" x14ac:dyDescent="0.25">
      <c r="A74" s="61"/>
      <c r="B74" s="67"/>
      <c r="C74" s="67"/>
      <c r="D74" s="61"/>
      <c r="E74" s="35" t="str">
        <f t="shared" si="4"/>
        <v/>
      </c>
      <c r="F74" s="35" t="str">
        <f t="shared" si="5"/>
        <v/>
      </c>
      <c r="G74" s="58" t="str">
        <f t="shared" si="6"/>
        <v/>
      </c>
      <c r="H74">
        <f t="shared" si="7"/>
        <v>20925646.325459316</v>
      </c>
    </row>
    <row r="75" spans="1:8" x14ac:dyDescent="0.25">
      <c r="A75" s="61"/>
      <c r="B75" s="67"/>
      <c r="C75" s="67"/>
      <c r="D75" s="61"/>
      <c r="E75" s="35" t="str">
        <f t="shared" si="4"/>
        <v/>
      </c>
      <c r="F75" s="35" t="str">
        <f t="shared" si="5"/>
        <v/>
      </c>
      <c r="G75" s="58" t="str">
        <f t="shared" si="6"/>
        <v/>
      </c>
      <c r="H75">
        <f t="shared" si="7"/>
        <v>20925646.325459316</v>
      </c>
    </row>
    <row r="76" spans="1:8" x14ac:dyDescent="0.25">
      <c r="A76" s="61"/>
      <c r="B76" s="67"/>
      <c r="C76" s="67"/>
      <c r="D76" s="61"/>
      <c r="E76" s="35" t="str">
        <f t="shared" si="4"/>
        <v/>
      </c>
      <c r="F76" s="35" t="str">
        <f t="shared" si="5"/>
        <v/>
      </c>
      <c r="G76" s="58" t="str">
        <f t="shared" si="6"/>
        <v/>
      </c>
      <c r="H76">
        <f t="shared" si="7"/>
        <v>20925646.325459316</v>
      </c>
    </row>
    <row r="77" spans="1:8" x14ac:dyDescent="0.25">
      <c r="A77" s="61"/>
      <c r="B77" s="67"/>
      <c r="C77" s="67"/>
      <c r="D77" s="61"/>
      <c r="E77" s="35" t="str">
        <f t="shared" si="4"/>
        <v/>
      </c>
      <c r="F77" s="35" t="str">
        <f t="shared" si="5"/>
        <v/>
      </c>
      <c r="G77" s="58" t="str">
        <f t="shared" si="6"/>
        <v/>
      </c>
      <c r="H77">
        <f t="shared" si="7"/>
        <v>20925646.325459316</v>
      </c>
    </row>
    <row r="78" spans="1:8" x14ac:dyDescent="0.25">
      <c r="A78" s="61"/>
      <c r="B78" s="67"/>
      <c r="C78" s="67"/>
      <c r="D78" s="61"/>
      <c r="E78" s="35" t="str">
        <f t="shared" si="4"/>
        <v/>
      </c>
      <c r="F78" s="35" t="str">
        <f t="shared" si="5"/>
        <v/>
      </c>
      <c r="G78" s="58" t="str">
        <f t="shared" si="6"/>
        <v/>
      </c>
      <c r="H78">
        <f t="shared" si="7"/>
        <v>20925646.325459316</v>
      </c>
    </row>
    <row r="79" spans="1:8" x14ac:dyDescent="0.25">
      <c r="A79" s="61"/>
      <c r="B79" s="67"/>
      <c r="C79" s="67"/>
      <c r="D79" s="61"/>
      <c r="E79" s="35" t="str">
        <f t="shared" si="4"/>
        <v/>
      </c>
      <c r="F79" s="35" t="str">
        <f t="shared" si="5"/>
        <v/>
      </c>
      <c r="G79" s="58" t="str">
        <f t="shared" si="6"/>
        <v/>
      </c>
      <c r="H79">
        <f t="shared" si="7"/>
        <v>20925646.325459316</v>
      </c>
    </row>
    <row r="80" spans="1:8" x14ac:dyDescent="0.25">
      <c r="A80" s="61"/>
      <c r="B80" s="67"/>
      <c r="C80" s="67"/>
      <c r="D80" s="61"/>
      <c r="E80" s="35" t="str">
        <f t="shared" si="4"/>
        <v/>
      </c>
      <c r="F80" s="35" t="str">
        <f t="shared" si="5"/>
        <v/>
      </c>
      <c r="G80" s="58" t="str">
        <f t="shared" si="6"/>
        <v/>
      </c>
      <c r="H80">
        <f t="shared" si="7"/>
        <v>20925646.325459316</v>
      </c>
    </row>
    <row r="81" spans="1:8" x14ac:dyDescent="0.25">
      <c r="A81" s="61"/>
      <c r="B81" s="67"/>
      <c r="C81" s="67"/>
      <c r="D81" s="61"/>
      <c r="E81" s="35" t="str">
        <f t="shared" si="4"/>
        <v/>
      </c>
      <c r="F81" s="35" t="str">
        <f t="shared" si="5"/>
        <v/>
      </c>
      <c r="G81" s="58" t="str">
        <f t="shared" si="6"/>
        <v/>
      </c>
      <c r="H81">
        <f t="shared" si="7"/>
        <v>20925646.325459316</v>
      </c>
    </row>
    <row r="82" spans="1:8" x14ac:dyDescent="0.25">
      <c r="A82" s="61"/>
      <c r="B82" s="67"/>
      <c r="C82" s="67"/>
      <c r="D82" s="61"/>
      <c r="E82" s="35" t="str">
        <f t="shared" si="4"/>
        <v/>
      </c>
      <c r="F82" s="35" t="str">
        <f t="shared" si="5"/>
        <v/>
      </c>
      <c r="G82" s="58" t="str">
        <f t="shared" si="6"/>
        <v/>
      </c>
      <c r="H82">
        <f t="shared" si="7"/>
        <v>20925646.325459316</v>
      </c>
    </row>
    <row r="83" spans="1:8" x14ac:dyDescent="0.25">
      <c r="A83" s="61"/>
      <c r="B83" s="67"/>
      <c r="C83" s="67"/>
      <c r="D83" s="61"/>
      <c r="E83" s="35" t="str">
        <f t="shared" si="4"/>
        <v/>
      </c>
      <c r="F83" s="35" t="str">
        <f t="shared" si="5"/>
        <v/>
      </c>
      <c r="G83" s="58" t="str">
        <f t="shared" si="6"/>
        <v/>
      </c>
      <c r="H83">
        <f t="shared" si="7"/>
        <v>20925646.325459316</v>
      </c>
    </row>
    <row r="84" spans="1:8" x14ac:dyDescent="0.25">
      <c r="A84" s="61"/>
      <c r="B84" s="67"/>
      <c r="C84" s="67"/>
      <c r="D84" s="61"/>
      <c r="E84" s="35" t="str">
        <f t="shared" si="4"/>
        <v/>
      </c>
      <c r="F84" s="35" t="str">
        <f t="shared" si="5"/>
        <v/>
      </c>
      <c r="G84" s="58" t="str">
        <f t="shared" si="6"/>
        <v/>
      </c>
      <c r="H84">
        <f t="shared" si="7"/>
        <v>20925646.325459316</v>
      </c>
    </row>
    <row r="85" spans="1:8" x14ac:dyDescent="0.25">
      <c r="A85" s="61"/>
      <c r="B85" s="67"/>
      <c r="C85" s="67"/>
      <c r="D85" s="61"/>
      <c r="E85" s="35" t="str">
        <f t="shared" si="4"/>
        <v/>
      </c>
      <c r="F85" s="35" t="str">
        <f t="shared" si="5"/>
        <v/>
      </c>
      <c r="G85" s="58" t="str">
        <f t="shared" si="6"/>
        <v/>
      </c>
      <c r="H85">
        <f t="shared" si="7"/>
        <v>20925646.325459316</v>
      </c>
    </row>
    <row r="86" spans="1:8" x14ac:dyDescent="0.25">
      <c r="A86" s="61"/>
      <c r="B86" s="67"/>
      <c r="C86" s="67"/>
      <c r="D86" s="61"/>
      <c r="E86" s="35" t="str">
        <f t="shared" si="4"/>
        <v/>
      </c>
      <c r="F86" s="35" t="str">
        <f t="shared" si="5"/>
        <v/>
      </c>
      <c r="G86" s="58" t="str">
        <f t="shared" si="6"/>
        <v/>
      </c>
      <c r="H86">
        <f t="shared" si="7"/>
        <v>20925646.325459316</v>
      </c>
    </row>
    <row r="87" spans="1:8" x14ac:dyDescent="0.25">
      <c r="A87" s="61"/>
      <c r="B87" s="67"/>
      <c r="C87" s="67"/>
      <c r="D87" s="61"/>
      <c r="E87" s="35" t="str">
        <f t="shared" si="4"/>
        <v/>
      </c>
      <c r="F87" s="35" t="str">
        <f t="shared" si="5"/>
        <v/>
      </c>
      <c r="G87" s="58" t="str">
        <f t="shared" si="6"/>
        <v/>
      </c>
      <c r="H87">
        <f t="shared" si="7"/>
        <v>20925646.325459316</v>
      </c>
    </row>
    <row r="88" spans="1:8" x14ac:dyDescent="0.25">
      <c r="A88" s="61"/>
      <c r="B88" s="67"/>
      <c r="C88" s="67"/>
      <c r="D88" s="61"/>
      <c r="E88" s="35" t="str">
        <f t="shared" si="4"/>
        <v/>
      </c>
      <c r="F88" s="35" t="str">
        <f t="shared" si="5"/>
        <v/>
      </c>
      <c r="G88" s="58" t="str">
        <f t="shared" si="6"/>
        <v/>
      </c>
      <c r="H88">
        <f t="shared" si="7"/>
        <v>20925646.325459316</v>
      </c>
    </row>
    <row r="89" spans="1:8" x14ac:dyDescent="0.25">
      <c r="A89" s="61"/>
      <c r="B89" s="67"/>
      <c r="C89" s="67"/>
      <c r="D89" s="61"/>
      <c r="E89" s="35" t="str">
        <f t="shared" si="4"/>
        <v/>
      </c>
      <c r="F89" s="35" t="str">
        <f t="shared" si="5"/>
        <v/>
      </c>
      <c r="G89" s="58" t="str">
        <f t="shared" si="6"/>
        <v/>
      </c>
      <c r="H89">
        <f t="shared" si="7"/>
        <v>20925646.325459316</v>
      </c>
    </row>
    <row r="90" spans="1:8" x14ac:dyDescent="0.25">
      <c r="A90" s="61"/>
      <c r="B90" s="67"/>
      <c r="C90" s="67"/>
      <c r="D90" s="61"/>
      <c r="E90" s="35" t="str">
        <f t="shared" si="4"/>
        <v/>
      </c>
      <c r="F90" s="35" t="str">
        <f t="shared" si="5"/>
        <v/>
      </c>
      <c r="G90" s="58" t="str">
        <f t="shared" si="6"/>
        <v/>
      </c>
      <c r="H90">
        <f t="shared" si="7"/>
        <v>20925646.325459316</v>
      </c>
    </row>
    <row r="91" spans="1:8" x14ac:dyDescent="0.25">
      <c r="A91" s="61"/>
      <c r="B91" s="67"/>
      <c r="C91" s="67"/>
      <c r="D91" s="61"/>
      <c r="E91" s="35" t="str">
        <f t="shared" si="4"/>
        <v/>
      </c>
      <c r="F91" s="35" t="str">
        <f t="shared" si="5"/>
        <v/>
      </c>
      <c r="G91" s="58" t="str">
        <f t="shared" si="6"/>
        <v/>
      </c>
      <c r="H91">
        <f t="shared" si="7"/>
        <v>20925646.325459316</v>
      </c>
    </row>
    <row r="92" spans="1:8" x14ac:dyDescent="0.25">
      <c r="A92" s="61"/>
      <c r="B92" s="67"/>
      <c r="C92" s="67"/>
      <c r="D92" s="61"/>
      <c r="E92" s="35" t="str">
        <f t="shared" si="4"/>
        <v/>
      </c>
      <c r="F92" s="35" t="str">
        <f t="shared" si="5"/>
        <v/>
      </c>
      <c r="G92" s="58" t="str">
        <f t="shared" si="6"/>
        <v/>
      </c>
      <c r="H92">
        <f t="shared" si="7"/>
        <v>20925646.325459316</v>
      </c>
    </row>
    <row r="93" spans="1:8" x14ac:dyDescent="0.25">
      <c r="A93" s="61"/>
      <c r="B93" s="67"/>
      <c r="C93" s="67"/>
      <c r="D93" s="61"/>
      <c r="E93" s="35" t="str">
        <f t="shared" si="4"/>
        <v/>
      </c>
      <c r="F93" s="35" t="str">
        <f t="shared" si="5"/>
        <v/>
      </c>
      <c r="G93" s="58" t="str">
        <f t="shared" si="6"/>
        <v/>
      </c>
      <c r="H93">
        <f t="shared" si="7"/>
        <v>20925646.325459316</v>
      </c>
    </row>
    <row r="94" spans="1:8" x14ac:dyDescent="0.25">
      <c r="A94" s="61"/>
      <c r="B94" s="67"/>
      <c r="C94" s="67"/>
      <c r="D94" s="61"/>
      <c r="E94" s="35" t="str">
        <f t="shared" si="4"/>
        <v/>
      </c>
      <c r="F94" s="35" t="str">
        <f t="shared" si="5"/>
        <v/>
      </c>
      <c r="G94" s="58" t="str">
        <f t="shared" si="6"/>
        <v/>
      </c>
      <c r="H94">
        <f t="shared" si="7"/>
        <v>20925646.325459316</v>
      </c>
    </row>
    <row r="95" spans="1:8" x14ac:dyDescent="0.25">
      <c r="A95" s="61"/>
      <c r="B95" s="67"/>
      <c r="C95" s="67"/>
      <c r="D95" s="61"/>
      <c r="E95" s="35" t="str">
        <f t="shared" si="4"/>
        <v/>
      </c>
      <c r="F95" s="35" t="str">
        <f t="shared" si="5"/>
        <v/>
      </c>
      <c r="G95" s="58" t="str">
        <f t="shared" si="6"/>
        <v/>
      </c>
      <c r="H95">
        <f t="shared" si="7"/>
        <v>20925646.325459316</v>
      </c>
    </row>
    <row r="96" spans="1:8" x14ac:dyDescent="0.25">
      <c r="A96" s="61"/>
      <c r="B96" s="67"/>
      <c r="C96" s="67"/>
      <c r="D96" s="61"/>
      <c r="E96" s="35" t="str">
        <f t="shared" si="4"/>
        <v/>
      </c>
      <c r="F96" s="35" t="str">
        <f t="shared" si="5"/>
        <v/>
      </c>
      <c r="G96" s="58" t="str">
        <f t="shared" si="6"/>
        <v/>
      </c>
      <c r="H96">
        <f t="shared" si="7"/>
        <v>20925646.325459316</v>
      </c>
    </row>
    <row r="97" spans="1:8" x14ac:dyDescent="0.25">
      <c r="A97" s="61"/>
      <c r="B97" s="67"/>
      <c r="C97" s="67"/>
      <c r="D97" s="61"/>
      <c r="E97" s="35" t="str">
        <f t="shared" si="4"/>
        <v/>
      </c>
      <c r="F97" s="35" t="str">
        <f t="shared" si="5"/>
        <v/>
      </c>
      <c r="G97" s="58" t="str">
        <f t="shared" si="6"/>
        <v/>
      </c>
      <c r="H97">
        <f t="shared" si="7"/>
        <v>20925646.325459316</v>
      </c>
    </row>
    <row r="98" spans="1:8" x14ac:dyDescent="0.25">
      <c r="A98" s="61"/>
      <c r="B98" s="67"/>
      <c r="C98" s="67"/>
      <c r="D98" s="61"/>
      <c r="E98" s="35" t="str">
        <f t="shared" si="4"/>
        <v/>
      </c>
      <c r="F98" s="35" t="str">
        <f t="shared" si="5"/>
        <v/>
      </c>
      <c r="G98" s="58" t="str">
        <f t="shared" si="6"/>
        <v/>
      </c>
      <c r="H98">
        <f t="shared" si="7"/>
        <v>20925646.325459316</v>
      </c>
    </row>
    <row r="99" spans="1:8" x14ac:dyDescent="0.25">
      <c r="A99" s="61"/>
      <c r="B99" s="67"/>
      <c r="C99" s="67"/>
      <c r="D99" s="61"/>
      <c r="E99" s="35" t="str">
        <f t="shared" si="4"/>
        <v/>
      </c>
      <c r="F99" s="35" t="str">
        <f t="shared" si="5"/>
        <v/>
      </c>
      <c r="G99" s="58" t="str">
        <f t="shared" si="6"/>
        <v/>
      </c>
      <c r="H99">
        <f t="shared" si="7"/>
        <v>20925646.325459316</v>
      </c>
    </row>
    <row r="100" spans="1:8" x14ac:dyDescent="0.25">
      <c r="A100" s="61"/>
      <c r="B100" s="67"/>
      <c r="C100" s="67"/>
      <c r="D100" s="61"/>
      <c r="E100" s="35" t="str">
        <f t="shared" si="4"/>
        <v/>
      </c>
      <c r="F100" s="35" t="str">
        <f t="shared" si="5"/>
        <v/>
      </c>
      <c r="G100" s="58" t="str">
        <f t="shared" si="6"/>
        <v/>
      </c>
      <c r="H100">
        <f t="shared" si="7"/>
        <v>20925646.325459316</v>
      </c>
    </row>
    <row r="101" spans="1:8" x14ac:dyDescent="0.25">
      <c r="A101" s="61"/>
      <c r="B101" s="67"/>
      <c r="C101" s="67"/>
      <c r="D101" s="61"/>
      <c r="E101" s="35" t="str">
        <f t="shared" si="4"/>
        <v/>
      </c>
      <c r="F101" s="35" t="str">
        <f t="shared" si="5"/>
        <v/>
      </c>
      <c r="G101" s="58" t="str">
        <f t="shared" si="6"/>
        <v/>
      </c>
      <c r="H101">
        <f t="shared" si="7"/>
        <v>20925646.325459316</v>
      </c>
    </row>
    <row r="102" spans="1:8" x14ac:dyDescent="0.25">
      <c r="A102" s="61"/>
      <c r="B102" s="67"/>
      <c r="C102" s="67"/>
      <c r="D102" s="61"/>
      <c r="E102" s="35" t="str">
        <f t="shared" si="4"/>
        <v/>
      </c>
      <c r="F102" s="35" t="str">
        <f t="shared" si="5"/>
        <v/>
      </c>
      <c r="G102" s="58" t="str">
        <f t="shared" si="6"/>
        <v/>
      </c>
      <c r="H102">
        <f t="shared" si="7"/>
        <v>20925646.325459316</v>
      </c>
    </row>
    <row r="103" spans="1:8" x14ac:dyDescent="0.25">
      <c r="A103" s="61"/>
      <c r="B103" s="67"/>
      <c r="C103" s="67"/>
      <c r="D103" s="61"/>
      <c r="E103" s="35" t="str">
        <f t="shared" si="4"/>
        <v/>
      </c>
      <c r="F103" s="35" t="str">
        <f t="shared" si="5"/>
        <v/>
      </c>
      <c r="G103" s="58" t="str">
        <f t="shared" si="6"/>
        <v/>
      </c>
      <c r="H103">
        <f t="shared" si="7"/>
        <v>20925646.325459316</v>
      </c>
    </row>
    <row r="104" spans="1:8" x14ac:dyDescent="0.25">
      <c r="A104" s="61"/>
      <c r="B104" s="67"/>
      <c r="C104" s="67"/>
      <c r="D104" s="61"/>
      <c r="E104" s="35" t="str">
        <f t="shared" si="4"/>
        <v/>
      </c>
      <c r="F104" s="35" t="str">
        <f t="shared" si="5"/>
        <v/>
      </c>
      <c r="G104" s="58" t="str">
        <f t="shared" si="6"/>
        <v/>
      </c>
      <c r="H104">
        <f t="shared" si="7"/>
        <v>20925646.325459316</v>
      </c>
    </row>
    <row r="105" spans="1:8" x14ac:dyDescent="0.25">
      <c r="A105" s="61"/>
      <c r="B105" s="67"/>
      <c r="C105" s="67"/>
      <c r="D105" s="61"/>
      <c r="E105" s="35" t="str">
        <f t="shared" si="4"/>
        <v/>
      </c>
      <c r="F105" s="35" t="str">
        <f t="shared" si="5"/>
        <v/>
      </c>
      <c r="G105" s="58" t="str">
        <f t="shared" si="6"/>
        <v/>
      </c>
      <c r="H105">
        <f t="shared" si="7"/>
        <v>20925646.325459316</v>
      </c>
    </row>
    <row r="106" spans="1:8" x14ac:dyDescent="0.25">
      <c r="A106" s="61"/>
      <c r="B106" s="67"/>
      <c r="C106" s="67"/>
      <c r="D106" s="61"/>
      <c r="E106" s="35" t="str">
        <f t="shared" si="4"/>
        <v/>
      </c>
      <c r="F106" s="35" t="str">
        <f t="shared" si="5"/>
        <v/>
      </c>
      <c r="G106" s="58" t="str">
        <f t="shared" si="6"/>
        <v/>
      </c>
      <c r="H106">
        <f t="shared" si="7"/>
        <v>20925646.325459316</v>
      </c>
    </row>
    <row r="107" spans="1:8" x14ac:dyDescent="0.25">
      <c r="A107" s="61"/>
      <c r="B107" s="67"/>
      <c r="C107" s="67"/>
      <c r="D107" s="61"/>
      <c r="E107" s="35" t="str">
        <f t="shared" si="4"/>
        <v/>
      </c>
      <c r="F107" s="35" t="str">
        <f t="shared" si="5"/>
        <v/>
      </c>
      <c r="G107" s="58" t="str">
        <f t="shared" si="6"/>
        <v/>
      </c>
      <c r="H107">
        <f t="shared" si="7"/>
        <v>20925646.325459316</v>
      </c>
    </row>
    <row r="108" spans="1:8" x14ac:dyDescent="0.25">
      <c r="A108" s="61"/>
      <c r="B108" s="67"/>
      <c r="C108" s="67"/>
      <c r="D108" s="61"/>
      <c r="E108" s="35" t="str">
        <f t="shared" si="4"/>
        <v/>
      </c>
      <c r="F108" s="35" t="str">
        <f t="shared" si="5"/>
        <v/>
      </c>
      <c r="G108" s="58" t="str">
        <f t="shared" si="6"/>
        <v/>
      </c>
      <c r="H108">
        <f t="shared" si="7"/>
        <v>20925646.325459316</v>
      </c>
    </row>
    <row r="109" spans="1:8" x14ac:dyDescent="0.25">
      <c r="A109" s="61"/>
      <c r="B109" s="67"/>
      <c r="C109" s="67"/>
      <c r="D109" s="61"/>
      <c r="E109" s="35" t="str">
        <f t="shared" si="4"/>
        <v/>
      </c>
      <c r="F109" s="35" t="str">
        <f t="shared" si="5"/>
        <v/>
      </c>
      <c r="G109" s="58" t="str">
        <f t="shared" si="6"/>
        <v/>
      </c>
      <c r="H109">
        <f t="shared" si="7"/>
        <v>20925646.325459316</v>
      </c>
    </row>
    <row r="110" spans="1:8" x14ac:dyDescent="0.25">
      <c r="A110" s="61"/>
      <c r="B110" s="67"/>
      <c r="C110" s="67"/>
      <c r="D110" s="61"/>
      <c r="E110" s="35" t="str">
        <f t="shared" si="4"/>
        <v/>
      </c>
      <c r="F110" s="35" t="str">
        <f t="shared" si="5"/>
        <v/>
      </c>
      <c r="G110" s="58" t="str">
        <f t="shared" si="6"/>
        <v/>
      </c>
      <c r="H110">
        <f t="shared" si="7"/>
        <v>20925646.325459316</v>
      </c>
    </row>
    <row r="111" spans="1:8" x14ac:dyDescent="0.25">
      <c r="A111" s="61"/>
      <c r="B111" s="67"/>
      <c r="C111" s="67"/>
      <c r="D111" s="61"/>
      <c r="E111" s="35" t="str">
        <f t="shared" si="4"/>
        <v/>
      </c>
      <c r="F111" s="35" t="str">
        <f t="shared" si="5"/>
        <v/>
      </c>
      <c r="G111" s="58" t="str">
        <f t="shared" si="6"/>
        <v/>
      </c>
      <c r="H111">
        <f t="shared" si="7"/>
        <v>20925646.325459316</v>
      </c>
    </row>
    <row r="112" spans="1:8" x14ac:dyDescent="0.25">
      <c r="A112" s="61"/>
      <c r="B112" s="67"/>
      <c r="C112" s="67"/>
      <c r="D112" s="61"/>
      <c r="E112" s="35" t="str">
        <f t="shared" si="4"/>
        <v/>
      </c>
      <c r="F112" s="35" t="str">
        <f t="shared" si="5"/>
        <v/>
      </c>
      <c r="G112" s="58" t="str">
        <f t="shared" si="6"/>
        <v/>
      </c>
      <c r="H112">
        <f t="shared" si="7"/>
        <v>20925646.325459316</v>
      </c>
    </row>
    <row r="113" spans="1:8" x14ac:dyDescent="0.25">
      <c r="A113" s="61"/>
      <c r="B113" s="67"/>
      <c r="C113" s="67"/>
      <c r="D113" s="61"/>
      <c r="E113" s="35" t="str">
        <f t="shared" si="4"/>
        <v/>
      </c>
      <c r="F113" s="35" t="str">
        <f t="shared" si="5"/>
        <v/>
      </c>
      <c r="G113" s="58" t="str">
        <f t="shared" si="6"/>
        <v/>
      </c>
      <c r="H113">
        <f t="shared" si="7"/>
        <v>20925646.325459316</v>
      </c>
    </row>
    <row r="114" spans="1:8" x14ac:dyDescent="0.25">
      <c r="A114" s="61"/>
      <c r="B114" s="67"/>
      <c r="C114" s="67"/>
      <c r="D114" s="61"/>
      <c r="E114" s="35" t="str">
        <f t="shared" si="4"/>
        <v/>
      </c>
      <c r="F114" s="35" t="str">
        <f t="shared" si="5"/>
        <v/>
      </c>
      <c r="G114" s="58" t="str">
        <f t="shared" si="6"/>
        <v/>
      </c>
      <c r="H114">
        <f t="shared" si="7"/>
        <v>20925646.325459316</v>
      </c>
    </row>
    <row r="115" spans="1:8" x14ac:dyDescent="0.25">
      <c r="A115" s="61"/>
      <c r="B115" s="67"/>
      <c r="C115" s="67"/>
      <c r="D115" s="61"/>
      <c r="E115" s="35" t="str">
        <f t="shared" si="4"/>
        <v/>
      </c>
      <c r="F115" s="35" t="str">
        <f t="shared" si="5"/>
        <v/>
      </c>
      <c r="G115" s="58" t="str">
        <f t="shared" si="6"/>
        <v/>
      </c>
      <c r="H115">
        <f t="shared" si="7"/>
        <v>20925646.325459316</v>
      </c>
    </row>
    <row r="116" spans="1:8" x14ac:dyDescent="0.25">
      <c r="A116" s="61"/>
      <c r="B116" s="67"/>
      <c r="C116" s="67"/>
      <c r="D116" s="61"/>
      <c r="E116" s="35" t="str">
        <f t="shared" si="4"/>
        <v/>
      </c>
      <c r="F116" s="35" t="str">
        <f t="shared" si="5"/>
        <v/>
      </c>
      <c r="G116" s="58" t="str">
        <f t="shared" si="6"/>
        <v/>
      </c>
      <c r="H116">
        <f t="shared" si="7"/>
        <v>20925646.325459316</v>
      </c>
    </row>
    <row r="117" spans="1:8" x14ac:dyDescent="0.25">
      <c r="A117" s="61"/>
      <c r="B117" s="67"/>
      <c r="C117" s="67"/>
      <c r="D117" s="61"/>
      <c r="E117" s="35" t="str">
        <f t="shared" si="4"/>
        <v/>
      </c>
      <c r="F117" s="35" t="str">
        <f t="shared" si="5"/>
        <v/>
      </c>
      <c r="G117" s="58" t="str">
        <f t="shared" si="6"/>
        <v/>
      </c>
      <c r="H117">
        <f t="shared" si="7"/>
        <v>20925646.325459316</v>
      </c>
    </row>
    <row r="118" spans="1:8" x14ac:dyDescent="0.25">
      <c r="A118" s="61"/>
      <c r="B118" s="67"/>
      <c r="C118" s="67"/>
      <c r="D118" s="61"/>
      <c r="E118" s="35" t="str">
        <f t="shared" si="4"/>
        <v/>
      </c>
      <c r="F118" s="35" t="str">
        <f t="shared" si="5"/>
        <v/>
      </c>
      <c r="G118" s="58" t="str">
        <f t="shared" si="6"/>
        <v/>
      </c>
      <c r="H118">
        <f t="shared" si="7"/>
        <v>20925646.325459316</v>
      </c>
    </row>
    <row r="119" spans="1:8" x14ac:dyDescent="0.25">
      <c r="A119" s="61"/>
      <c r="B119" s="67"/>
      <c r="C119" s="67"/>
      <c r="D119" s="61"/>
      <c r="E119" s="35" t="str">
        <f t="shared" si="4"/>
        <v/>
      </c>
      <c r="F119" s="35" t="str">
        <f t="shared" si="5"/>
        <v/>
      </c>
      <c r="G119" s="58" t="str">
        <f t="shared" si="6"/>
        <v/>
      </c>
      <c r="H119">
        <f t="shared" si="7"/>
        <v>20925646.325459316</v>
      </c>
    </row>
    <row r="120" spans="1:8" x14ac:dyDescent="0.25">
      <c r="A120" s="61"/>
      <c r="B120" s="67"/>
      <c r="C120" s="67"/>
      <c r="D120" s="61"/>
      <c r="E120" s="35" t="str">
        <f t="shared" si="4"/>
        <v/>
      </c>
      <c r="F120" s="35" t="str">
        <f t="shared" si="5"/>
        <v/>
      </c>
      <c r="G120" s="58" t="str">
        <f t="shared" si="6"/>
        <v/>
      </c>
      <c r="H120">
        <f t="shared" si="7"/>
        <v>20925646.325459316</v>
      </c>
    </row>
    <row r="121" spans="1:8" x14ac:dyDescent="0.25">
      <c r="A121" s="61"/>
      <c r="B121" s="67"/>
      <c r="C121" s="67"/>
      <c r="D121" s="61"/>
      <c r="E121" s="35" t="str">
        <f t="shared" si="4"/>
        <v/>
      </c>
      <c r="F121" s="35" t="str">
        <f t="shared" si="5"/>
        <v/>
      </c>
      <c r="G121" s="58" t="str">
        <f t="shared" si="6"/>
        <v/>
      </c>
      <c r="H121">
        <f t="shared" si="7"/>
        <v>20925646.325459316</v>
      </c>
    </row>
    <row r="122" spans="1:8" x14ac:dyDescent="0.25">
      <c r="A122" s="61"/>
      <c r="B122" s="67"/>
      <c r="C122" s="67"/>
      <c r="D122" s="61"/>
      <c r="E122" s="35" t="str">
        <f t="shared" si="4"/>
        <v/>
      </c>
      <c r="F122" s="35" t="str">
        <f t="shared" si="5"/>
        <v/>
      </c>
      <c r="G122" s="58" t="str">
        <f t="shared" si="6"/>
        <v/>
      </c>
      <c r="H122">
        <f t="shared" si="7"/>
        <v>20925646.325459316</v>
      </c>
    </row>
    <row r="123" spans="1:8" x14ac:dyDescent="0.25">
      <c r="A123" s="61"/>
      <c r="B123" s="67"/>
      <c r="C123" s="67"/>
      <c r="D123" s="61"/>
      <c r="E123" s="35" t="str">
        <f t="shared" si="4"/>
        <v/>
      </c>
      <c r="F123" s="35" t="str">
        <f t="shared" si="5"/>
        <v/>
      </c>
      <c r="G123" s="58" t="str">
        <f t="shared" si="6"/>
        <v/>
      </c>
      <c r="H123">
        <f t="shared" si="7"/>
        <v>20925646.325459316</v>
      </c>
    </row>
    <row r="124" spans="1:8" x14ac:dyDescent="0.25">
      <c r="A124" s="61"/>
      <c r="B124" s="67"/>
      <c r="C124" s="67"/>
      <c r="D124" s="61"/>
      <c r="E124" s="35" t="str">
        <f t="shared" si="4"/>
        <v/>
      </c>
      <c r="F124" s="35" t="str">
        <f t="shared" si="5"/>
        <v/>
      </c>
      <c r="G124" s="58" t="str">
        <f t="shared" si="6"/>
        <v/>
      </c>
      <c r="H124">
        <f t="shared" si="7"/>
        <v>20925646.325459316</v>
      </c>
    </row>
    <row r="125" spans="1:8" x14ac:dyDescent="0.25">
      <c r="A125" s="61"/>
      <c r="B125" s="67"/>
      <c r="C125" s="67"/>
      <c r="D125" s="61"/>
      <c r="E125" s="35" t="str">
        <f t="shared" si="4"/>
        <v/>
      </c>
      <c r="F125" s="35" t="str">
        <f t="shared" si="5"/>
        <v/>
      </c>
      <c r="G125" s="58" t="str">
        <f t="shared" si="6"/>
        <v/>
      </c>
      <c r="H125">
        <f t="shared" si="7"/>
        <v>20925646.325459316</v>
      </c>
    </row>
    <row r="126" spans="1:8" x14ac:dyDescent="0.25">
      <c r="A126" s="61"/>
      <c r="B126" s="67"/>
      <c r="C126" s="67"/>
      <c r="D126" s="61"/>
      <c r="E126" s="35" t="str">
        <f t="shared" si="4"/>
        <v/>
      </c>
      <c r="F126" s="35" t="str">
        <f t="shared" si="5"/>
        <v/>
      </c>
      <c r="G126" s="58" t="str">
        <f t="shared" si="6"/>
        <v/>
      </c>
      <c r="H126">
        <f t="shared" si="7"/>
        <v>20925646.325459316</v>
      </c>
    </row>
    <row r="127" spans="1:8" x14ac:dyDescent="0.25">
      <c r="A127" s="61"/>
      <c r="B127" s="67"/>
      <c r="C127" s="67"/>
      <c r="D127" s="61"/>
      <c r="E127" s="35" t="str">
        <f t="shared" si="4"/>
        <v/>
      </c>
      <c r="F127" s="35" t="str">
        <f t="shared" si="5"/>
        <v/>
      </c>
      <c r="G127" s="58" t="str">
        <f t="shared" si="6"/>
        <v/>
      </c>
      <c r="H127">
        <f t="shared" si="7"/>
        <v>20925646.325459316</v>
      </c>
    </row>
    <row r="128" spans="1:8" x14ac:dyDescent="0.25">
      <c r="A128" s="61"/>
      <c r="B128" s="67"/>
      <c r="C128" s="67"/>
      <c r="D128" s="61"/>
      <c r="E128" s="35" t="str">
        <f t="shared" si="4"/>
        <v/>
      </c>
      <c r="F128" s="35" t="str">
        <f t="shared" si="5"/>
        <v/>
      </c>
      <c r="G128" s="58" t="str">
        <f t="shared" si="6"/>
        <v/>
      </c>
      <c r="H128">
        <f t="shared" si="7"/>
        <v>20925646.325459316</v>
      </c>
    </row>
    <row r="129" spans="1:8" x14ac:dyDescent="0.25">
      <c r="A129" s="61"/>
      <c r="B129" s="67"/>
      <c r="C129" s="67"/>
      <c r="D129" s="61"/>
      <c r="E129" s="35" t="str">
        <f t="shared" si="4"/>
        <v/>
      </c>
      <c r="F129" s="35" t="str">
        <f t="shared" si="5"/>
        <v/>
      </c>
      <c r="G129" s="58" t="str">
        <f t="shared" si="6"/>
        <v/>
      </c>
      <c r="H129">
        <f t="shared" si="7"/>
        <v>20925646.325459316</v>
      </c>
    </row>
    <row r="130" spans="1:8" x14ac:dyDescent="0.25">
      <c r="A130" s="61"/>
      <c r="B130" s="67"/>
      <c r="C130" s="67"/>
      <c r="D130" s="61"/>
      <c r="E130" s="35" t="str">
        <f t="shared" si="4"/>
        <v/>
      </c>
      <c r="F130" s="35" t="str">
        <f t="shared" si="5"/>
        <v/>
      </c>
      <c r="G130" s="58" t="str">
        <f t="shared" si="6"/>
        <v/>
      </c>
      <c r="H130">
        <f t="shared" si="7"/>
        <v>20925646.325459316</v>
      </c>
    </row>
    <row r="131" spans="1:8" x14ac:dyDescent="0.25">
      <c r="A131" s="61"/>
      <c r="B131" s="67"/>
      <c r="C131" s="67"/>
      <c r="D131" s="61"/>
      <c r="E131" s="35" t="str">
        <f t="shared" ref="E131:E194" si="8">IF(B131&lt;&gt;"",(H131+D131)*COS(RADIANS(HMSTOHDD(B131)))*COS(RADIANS(HMSTOHDD(-C131))),"")</f>
        <v/>
      </c>
      <c r="F131" s="35" t="str">
        <f t="shared" ref="F131:F194" si="9">IF(B131&lt;&gt;"",(H131+D131)*COS(RADIANS(HMSTOHDD(B131)))*SIN(RADIANS(HMSTOHDD(-C131))),"")</f>
        <v/>
      </c>
      <c r="G131" s="58" t="str">
        <f t="shared" si="6"/>
        <v/>
      </c>
      <c r="H131">
        <f t="shared" si="7"/>
        <v>20925646.325459316</v>
      </c>
    </row>
    <row r="132" spans="1:8" x14ac:dyDescent="0.25">
      <c r="A132" s="61"/>
      <c r="B132" s="67"/>
      <c r="C132" s="67"/>
      <c r="D132" s="61"/>
      <c r="E132" s="35" t="str">
        <f t="shared" si="8"/>
        <v/>
      </c>
      <c r="F132" s="35" t="str">
        <f t="shared" si="9"/>
        <v/>
      </c>
      <c r="G132" s="58" t="str">
        <f t="shared" ref="G132:G195" si="10">IF(B132&lt;&gt;"",SIN(RADIANS(HMSTOHDD(B132)))*(H132*(1-$M$4)+D132),"")</f>
        <v/>
      </c>
      <c r="H132">
        <f t="shared" ref="H132:H195" si="11">$M$2/(1-$M$4*(SIN(RADIANS(HMSTOHDD(B132))))^2)^0.5</f>
        <v>20925646.325459316</v>
      </c>
    </row>
    <row r="133" spans="1:8" x14ac:dyDescent="0.25">
      <c r="A133" s="61"/>
      <c r="B133" s="67"/>
      <c r="C133" s="67"/>
      <c r="D133" s="61"/>
      <c r="E133" s="35" t="str">
        <f t="shared" si="8"/>
        <v/>
      </c>
      <c r="F133" s="35" t="str">
        <f t="shared" si="9"/>
        <v/>
      </c>
      <c r="G133" s="58" t="str">
        <f t="shared" si="10"/>
        <v/>
      </c>
      <c r="H133">
        <f t="shared" si="11"/>
        <v>20925646.325459316</v>
      </c>
    </row>
    <row r="134" spans="1:8" x14ac:dyDescent="0.25">
      <c r="A134" s="61"/>
      <c r="B134" s="67"/>
      <c r="C134" s="67"/>
      <c r="D134" s="61"/>
      <c r="E134" s="35" t="str">
        <f t="shared" si="8"/>
        <v/>
      </c>
      <c r="F134" s="35" t="str">
        <f t="shared" si="9"/>
        <v/>
      </c>
      <c r="G134" s="58" t="str">
        <f t="shared" si="10"/>
        <v/>
      </c>
      <c r="H134">
        <f t="shared" si="11"/>
        <v>20925646.325459316</v>
      </c>
    </row>
    <row r="135" spans="1:8" x14ac:dyDescent="0.25">
      <c r="A135" s="61"/>
      <c r="B135" s="67"/>
      <c r="C135" s="67"/>
      <c r="D135" s="61"/>
      <c r="E135" s="35" t="str">
        <f t="shared" si="8"/>
        <v/>
      </c>
      <c r="F135" s="35" t="str">
        <f t="shared" si="9"/>
        <v/>
      </c>
      <c r="G135" s="58" t="str">
        <f t="shared" si="10"/>
        <v/>
      </c>
      <c r="H135">
        <f t="shared" si="11"/>
        <v>20925646.325459316</v>
      </c>
    </row>
    <row r="136" spans="1:8" x14ac:dyDescent="0.25">
      <c r="A136" s="61"/>
      <c r="B136" s="67"/>
      <c r="C136" s="67"/>
      <c r="D136" s="61"/>
      <c r="E136" s="35" t="str">
        <f t="shared" si="8"/>
        <v/>
      </c>
      <c r="F136" s="35" t="str">
        <f t="shared" si="9"/>
        <v/>
      </c>
      <c r="G136" s="58" t="str">
        <f t="shared" si="10"/>
        <v/>
      </c>
      <c r="H136">
        <f t="shared" si="11"/>
        <v>20925646.325459316</v>
      </c>
    </row>
    <row r="137" spans="1:8" x14ac:dyDescent="0.25">
      <c r="A137" s="61"/>
      <c r="B137" s="67"/>
      <c r="C137" s="67"/>
      <c r="D137" s="61"/>
      <c r="E137" s="35" t="str">
        <f t="shared" si="8"/>
        <v/>
      </c>
      <c r="F137" s="35" t="str">
        <f t="shared" si="9"/>
        <v/>
      </c>
      <c r="G137" s="58" t="str">
        <f t="shared" si="10"/>
        <v/>
      </c>
      <c r="H137">
        <f t="shared" si="11"/>
        <v>20925646.325459316</v>
      </c>
    </row>
    <row r="138" spans="1:8" x14ac:dyDescent="0.25">
      <c r="A138" s="61"/>
      <c r="B138" s="67"/>
      <c r="C138" s="67"/>
      <c r="D138" s="61"/>
      <c r="E138" s="35" t="str">
        <f t="shared" si="8"/>
        <v/>
      </c>
      <c r="F138" s="35" t="str">
        <f t="shared" si="9"/>
        <v/>
      </c>
      <c r="G138" s="58" t="str">
        <f t="shared" si="10"/>
        <v/>
      </c>
      <c r="H138">
        <f t="shared" si="11"/>
        <v>20925646.325459316</v>
      </c>
    </row>
    <row r="139" spans="1:8" x14ac:dyDescent="0.25">
      <c r="A139" s="61"/>
      <c r="B139" s="67"/>
      <c r="C139" s="67"/>
      <c r="D139" s="61"/>
      <c r="E139" s="35" t="str">
        <f t="shared" si="8"/>
        <v/>
      </c>
      <c r="F139" s="35" t="str">
        <f t="shared" si="9"/>
        <v/>
      </c>
      <c r="G139" s="58" t="str">
        <f t="shared" si="10"/>
        <v/>
      </c>
      <c r="H139">
        <f t="shared" si="11"/>
        <v>20925646.325459316</v>
      </c>
    </row>
    <row r="140" spans="1:8" x14ac:dyDescent="0.25">
      <c r="A140" s="61"/>
      <c r="B140" s="67"/>
      <c r="C140" s="67"/>
      <c r="D140" s="61"/>
      <c r="E140" s="35" t="str">
        <f t="shared" si="8"/>
        <v/>
      </c>
      <c r="F140" s="35" t="str">
        <f t="shared" si="9"/>
        <v/>
      </c>
      <c r="G140" s="58" t="str">
        <f t="shared" si="10"/>
        <v/>
      </c>
      <c r="H140">
        <f t="shared" si="11"/>
        <v>20925646.325459316</v>
      </c>
    </row>
    <row r="141" spans="1:8" x14ac:dyDescent="0.25">
      <c r="A141" s="61"/>
      <c r="B141" s="67"/>
      <c r="C141" s="67"/>
      <c r="D141" s="61"/>
      <c r="E141" s="35" t="str">
        <f t="shared" si="8"/>
        <v/>
      </c>
      <c r="F141" s="35" t="str">
        <f t="shared" si="9"/>
        <v/>
      </c>
      <c r="G141" s="58" t="str">
        <f t="shared" si="10"/>
        <v/>
      </c>
      <c r="H141">
        <f t="shared" si="11"/>
        <v>20925646.325459316</v>
      </c>
    </row>
    <row r="142" spans="1:8" x14ac:dyDescent="0.25">
      <c r="A142" s="61"/>
      <c r="B142" s="67"/>
      <c r="C142" s="67"/>
      <c r="D142" s="61"/>
      <c r="E142" s="35" t="str">
        <f t="shared" si="8"/>
        <v/>
      </c>
      <c r="F142" s="35" t="str">
        <f t="shared" si="9"/>
        <v/>
      </c>
      <c r="G142" s="58" t="str">
        <f t="shared" si="10"/>
        <v/>
      </c>
      <c r="H142">
        <f t="shared" si="11"/>
        <v>20925646.325459316</v>
      </c>
    </row>
    <row r="143" spans="1:8" x14ac:dyDescent="0.25">
      <c r="A143" s="61"/>
      <c r="B143" s="67"/>
      <c r="C143" s="67"/>
      <c r="D143" s="61"/>
      <c r="E143" s="35" t="str">
        <f t="shared" si="8"/>
        <v/>
      </c>
      <c r="F143" s="35" t="str">
        <f t="shared" si="9"/>
        <v/>
      </c>
      <c r="G143" s="58" t="str">
        <f t="shared" si="10"/>
        <v/>
      </c>
      <c r="H143">
        <f t="shared" si="11"/>
        <v>20925646.325459316</v>
      </c>
    </row>
    <row r="144" spans="1:8" x14ac:dyDescent="0.25">
      <c r="A144" s="61"/>
      <c r="B144" s="67"/>
      <c r="C144" s="67"/>
      <c r="D144" s="61"/>
      <c r="E144" s="35" t="str">
        <f t="shared" si="8"/>
        <v/>
      </c>
      <c r="F144" s="35" t="str">
        <f t="shared" si="9"/>
        <v/>
      </c>
      <c r="G144" s="58" t="str">
        <f t="shared" si="10"/>
        <v/>
      </c>
      <c r="H144">
        <f t="shared" si="11"/>
        <v>20925646.325459316</v>
      </c>
    </row>
    <row r="145" spans="1:8" x14ac:dyDescent="0.25">
      <c r="A145" s="61"/>
      <c r="B145" s="67"/>
      <c r="C145" s="67"/>
      <c r="D145" s="61"/>
      <c r="E145" s="35" t="str">
        <f t="shared" si="8"/>
        <v/>
      </c>
      <c r="F145" s="35" t="str">
        <f t="shared" si="9"/>
        <v/>
      </c>
      <c r="G145" s="58" t="str">
        <f t="shared" si="10"/>
        <v/>
      </c>
      <c r="H145">
        <f t="shared" si="11"/>
        <v>20925646.325459316</v>
      </c>
    </row>
    <row r="146" spans="1:8" x14ac:dyDescent="0.25">
      <c r="A146" s="61"/>
      <c r="B146" s="67"/>
      <c r="C146" s="67"/>
      <c r="D146" s="61"/>
      <c r="E146" s="35" t="str">
        <f t="shared" si="8"/>
        <v/>
      </c>
      <c r="F146" s="35" t="str">
        <f t="shared" si="9"/>
        <v/>
      </c>
      <c r="G146" s="58" t="str">
        <f t="shared" si="10"/>
        <v/>
      </c>
      <c r="H146">
        <f t="shared" si="11"/>
        <v>20925646.325459316</v>
      </c>
    </row>
    <row r="147" spans="1:8" x14ac:dyDescent="0.25">
      <c r="A147" s="61"/>
      <c r="B147" s="67"/>
      <c r="C147" s="67"/>
      <c r="D147" s="61"/>
      <c r="E147" s="35" t="str">
        <f t="shared" si="8"/>
        <v/>
      </c>
      <c r="F147" s="35" t="str">
        <f t="shared" si="9"/>
        <v/>
      </c>
      <c r="G147" s="58" t="str">
        <f t="shared" si="10"/>
        <v/>
      </c>
      <c r="H147">
        <f t="shared" si="11"/>
        <v>20925646.325459316</v>
      </c>
    </row>
    <row r="148" spans="1:8" x14ac:dyDescent="0.25">
      <c r="A148" s="61"/>
      <c r="B148" s="67"/>
      <c r="C148" s="67"/>
      <c r="D148" s="61"/>
      <c r="E148" s="35" t="str">
        <f t="shared" si="8"/>
        <v/>
      </c>
      <c r="F148" s="35" t="str">
        <f t="shared" si="9"/>
        <v/>
      </c>
      <c r="G148" s="58" t="str">
        <f t="shared" si="10"/>
        <v/>
      </c>
      <c r="H148">
        <f t="shared" si="11"/>
        <v>20925646.325459316</v>
      </c>
    </row>
    <row r="149" spans="1:8" x14ac:dyDescent="0.25">
      <c r="A149" s="61"/>
      <c r="B149" s="67"/>
      <c r="C149" s="67"/>
      <c r="D149" s="61"/>
      <c r="E149" s="35" t="str">
        <f t="shared" si="8"/>
        <v/>
      </c>
      <c r="F149" s="35" t="str">
        <f t="shared" si="9"/>
        <v/>
      </c>
      <c r="G149" s="58" t="str">
        <f t="shared" si="10"/>
        <v/>
      </c>
      <c r="H149">
        <f t="shared" si="11"/>
        <v>20925646.325459316</v>
      </c>
    </row>
    <row r="150" spans="1:8" x14ac:dyDescent="0.25">
      <c r="A150" s="61"/>
      <c r="B150" s="67"/>
      <c r="C150" s="67"/>
      <c r="D150" s="61"/>
      <c r="E150" s="35" t="str">
        <f t="shared" si="8"/>
        <v/>
      </c>
      <c r="F150" s="35" t="str">
        <f t="shared" si="9"/>
        <v/>
      </c>
      <c r="G150" s="58" t="str">
        <f t="shared" si="10"/>
        <v/>
      </c>
      <c r="H150">
        <f t="shared" si="11"/>
        <v>20925646.325459316</v>
      </c>
    </row>
    <row r="151" spans="1:8" x14ac:dyDescent="0.25">
      <c r="A151" s="61"/>
      <c r="B151" s="67"/>
      <c r="C151" s="67"/>
      <c r="D151" s="61"/>
      <c r="E151" s="35" t="str">
        <f t="shared" si="8"/>
        <v/>
      </c>
      <c r="F151" s="35" t="str">
        <f t="shared" si="9"/>
        <v/>
      </c>
      <c r="G151" s="58" t="str">
        <f t="shared" si="10"/>
        <v/>
      </c>
      <c r="H151">
        <f t="shared" si="11"/>
        <v>20925646.325459316</v>
      </c>
    </row>
    <row r="152" spans="1:8" x14ac:dyDescent="0.25">
      <c r="A152" s="61"/>
      <c r="B152" s="67"/>
      <c r="C152" s="67"/>
      <c r="D152" s="61"/>
      <c r="E152" s="35" t="str">
        <f t="shared" si="8"/>
        <v/>
      </c>
      <c r="F152" s="35" t="str">
        <f t="shared" si="9"/>
        <v/>
      </c>
      <c r="G152" s="58" t="str">
        <f t="shared" si="10"/>
        <v/>
      </c>
      <c r="H152">
        <f t="shared" si="11"/>
        <v>20925646.325459316</v>
      </c>
    </row>
    <row r="153" spans="1:8" x14ac:dyDescent="0.25">
      <c r="A153" s="61"/>
      <c r="B153" s="67"/>
      <c r="C153" s="67"/>
      <c r="D153" s="61"/>
      <c r="E153" s="35" t="str">
        <f t="shared" si="8"/>
        <v/>
      </c>
      <c r="F153" s="35" t="str">
        <f t="shared" si="9"/>
        <v/>
      </c>
      <c r="G153" s="58" t="str">
        <f t="shared" si="10"/>
        <v/>
      </c>
      <c r="H153">
        <f t="shared" si="11"/>
        <v>20925646.325459316</v>
      </c>
    </row>
    <row r="154" spans="1:8" x14ac:dyDescent="0.25">
      <c r="A154" s="61"/>
      <c r="B154" s="67"/>
      <c r="C154" s="67"/>
      <c r="D154" s="61"/>
      <c r="E154" s="35" t="str">
        <f t="shared" si="8"/>
        <v/>
      </c>
      <c r="F154" s="35" t="str">
        <f t="shared" si="9"/>
        <v/>
      </c>
      <c r="G154" s="58" t="str">
        <f t="shared" si="10"/>
        <v/>
      </c>
      <c r="H154">
        <f t="shared" si="11"/>
        <v>20925646.325459316</v>
      </c>
    </row>
    <row r="155" spans="1:8" x14ac:dyDescent="0.25">
      <c r="A155" s="61"/>
      <c r="B155" s="67"/>
      <c r="C155" s="67"/>
      <c r="D155" s="61"/>
      <c r="E155" s="35" t="str">
        <f t="shared" si="8"/>
        <v/>
      </c>
      <c r="F155" s="35" t="str">
        <f t="shared" si="9"/>
        <v/>
      </c>
      <c r="G155" s="58" t="str">
        <f t="shared" si="10"/>
        <v/>
      </c>
      <c r="H155">
        <f t="shared" si="11"/>
        <v>20925646.325459316</v>
      </c>
    </row>
    <row r="156" spans="1:8" x14ac:dyDescent="0.25">
      <c r="A156" s="61"/>
      <c r="B156" s="67"/>
      <c r="C156" s="67"/>
      <c r="D156" s="61"/>
      <c r="E156" s="35" t="str">
        <f t="shared" si="8"/>
        <v/>
      </c>
      <c r="F156" s="35" t="str">
        <f t="shared" si="9"/>
        <v/>
      </c>
      <c r="G156" s="58" t="str">
        <f t="shared" si="10"/>
        <v/>
      </c>
      <c r="H156">
        <f t="shared" si="11"/>
        <v>20925646.325459316</v>
      </c>
    </row>
    <row r="157" spans="1:8" x14ac:dyDescent="0.25">
      <c r="A157" s="61"/>
      <c r="B157" s="67"/>
      <c r="C157" s="67"/>
      <c r="D157" s="61"/>
      <c r="E157" s="35" t="str">
        <f t="shared" si="8"/>
        <v/>
      </c>
      <c r="F157" s="35" t="str">
        <f t="shared" si="9"/>
        <v/>
      </c>
      <c r="G157" s="58" t="str">
        <f t="shared" si="10"/>
        <v/>
      </c>
      <c r="H157">
        <f t="shared" si="11"/>
        <v>20925646.325459316</v>
      </c>
    </row>
    <row r="158" spans="1:8" x14ac:dyDescent="0.25">
      <c r="A158" s="61"/>
      <c r="B158" s="67"/>
      <c r="C158" s="67"/>
      <c r="D158" s="61"/>
      <c r="E158" s="35" t="str">
        <f t="shared" si="8"/>
        <v/>
      </c>
      <c r="F158" s="35" t="str">
        <f t="shared" si="9"/>
        <v/>
      </c>
      <c r="G158" s="58" t="str">
        <f t="shared" si="10"/>
        <v/>
      </c>
      <c r="H158">
        <f t="shared" si="11"/>
        <v>20925646.325459316</v>
      </c>
    </row>
    <row r="159" spans="1:8" x14ac:dyDescent="0.25">
      <c r="A159" s="61"/>
      <c r="B159" s="67"/>
      <c r="C159" s="67"/>
      <c r="D159" s="61"/>
      <c r="E159" s="35" t="str">
        <f t="shared" si="8"/>
        <v/>
      </c>
      <c r="F159" s="35" t="str">
        <f t="shared" si="9"/>
        <v/>
      </c>
      <c r="G159" s="58" t="str">
        <f t="shared" si="10"/>
        <v/>
      </c>
      <c r="H159">
        <f t="shared" si="11"/>
        <v>20925646.325459316</v>
      </c>
    </row>
    <row r="160" spans="1:8" x14ac:dyDescent="0.25">
      <c r="A160" s="61"/>
      <c r="B160" s="67"/>
      <c r="C160" s="67"/>
      <c r="D160" s="61"/>
      <c r="E160" s="35" t="str">
        <f t="shared" si="8"/>
        <v/>
      </c>
      <c r="F160" s="35" t="str">
        <f t="shared" si="9"/>
        <v/>
      </c>
      <c r="G160" s="58" t="str">
        <f t="shared" si="10"/>
        <v/>
      </c>
      <c r="H160">
        <f t="shared" si="11"/>
        <v>20925646.325459316</v>
      </c>
    </row>
    <row r="161" spans="1:8" x14ac:dyDescent="0.25">
      <c r="A161" s="61"/>
      <c r="B161" s="67"/>
      <c r="C161" s="67"/>
      <c r="D161" s="61"/>
      <c r="E161" s="35" t="str">
        <f t="shared" si="8"/>
        <v/>
      </c>
      <c r="F161" s="35" t="str">
        <f t="shared" si="9"/>
        <v/>
      </c>
      <c r="G161" s="58" t="str">
        <f t="shared" si="10"/>
        <v/>
      </c>
      <c r="H161">
        <f t="shared" si="11"/>
        <v>20925646.325459316</v>
      </c>
    </row>
    <row r="162" spans="1:8" x14ac:dyDescent="0.25">
      <c r="A162" s="61"/>
      <c r="B162" s="67"/>
      <c r="C162" s="67"/>
      <c r="D162" s="61"/>
      <c r="E162" s="35" t="str">
        <f t="shared" si="8"/>
        <v/>
      </c>
      <c r="F162" s="35" t="str">
        <f t="shared" si="9"/>
        <v/>
      </c>
      <c r="G162" s="58" t="str">
        <f t="shared" si="10"/>
        <v/>
      </c>
      <c r="H162">
        <f t="shared" si="11"/>
        <v>20925646.325459316</v>
      </c>
    </row>
    <row r="163" spans="1:8" x14ac:dyDescent="0.25">
      <c r="A163" s="61"/>
      <c r="B163" s="67"/>
      <c r="C163" s="67"/>
      <c r="D163" s="61"/>
      <c r="E163" s="35" t="str">
        <f t="shared" si="8"/>
        <v/>
      </c>
      <c r="F163" s="35" t="str">
        <f t="shared" si="9"/>
        <v/>
      </c>
      <c r="G163" s="58" t="str">
        <f t="shared" si="10"/>
        <v/>
      </c>
      <c r="H163">
        <f t="shared" si="11"/>
        <v>20925646.325459316</v>
      </c>
    </row>
    <row r="164" spans="1:8" x14ac:dyDescent="0.25">
      <c r="A164" s="61"/>
      <c r="B164" s="67"/>
      <c r="C164" s="67"/>
      <c r="D164" s="61"/>
      <c r="E164" s="35" t="str">
        <f t="shared" si="8"/>
        <v/>
      </c>
      <c r="F164" s="35" t="str">
        <f t="shared" si="9"/>
        <v/>
      </c>
      <c r="G164" s="58" t="str">
        <f t="shared" si="10"/>
        <v/>
      </c>
      <c r="H164">
        <f t="shared" si="11"/>
        <v>20925646.325459316</v>
      </c>
    </row>
    <row r="165" spans="1:8" x14ac:dyDescent="0.25">
      <c r="A165" s="61"/>
      <c r="B165" s="67"/>
      <c r="C165" s="67"/>
      <c r="D165" s="61"/>
      <c r="E165" s="35" t="str">
        <f t="shared" si="8"/>
        <v/>
      </c>
      <c r="F165" s="35" t="str">
        <f t="shared" si="9"/>
        <v/>
      </c>
      <c r="G165" s="58" t="str">
        <f t="shared" si="10"/>
        <v/>
      </c>
      <c r="H165">
        <f t="shared" si="11"/>
        <v>20925646.325459316</v>
      </c>
    </row>
    <row r="166" spans="1:8" x14ac:dyDescent="0.25">
      <c r="A166" s="61"/>
      <c r="B166" s="67"/>
      <c r="C166" s="67"/>
      <c r="D166" s="61"/>
      <c r="E166" s="35" t="str">
        <f t="shared" si="8"/>
        <v/>
      </c>
      <c r="F166" s="35" t="str">
        <f t="shared" si="9"/>
        <v/>
      </c>
      <c r="G166" s="58" t="str">
        <f t="shared" si="10"/>
        <v/>
      </c>
      <c r="H166">
        <f t="shared" si="11"/>
        <v>20925646.325459316</v>
      </c>
    </row>
    <row r="167" spans="1:8" x14ac:dyDescent="0.25">
      <c r="A167" s="61"/>
      <c r="B167" s="67"/>
      <c r="C167" s="67"/>
      <c r="D167" s="61"/>
      <c r="E167" s="35" t="str">
        <f t="shared" si="8"/>
        <v/>
      </c>
      <c r="F167" s="35" t="str">
        <f t="shared" si="9"/>
        <v/>
      </c>
      <c r="G167" s="58" t="str">
        <f t="shared" si="10"/>
        <v/>
      </c>
      <c r="H167">
        <f t="shared" si="11"/>
        <v>20925646.325459316</v>
      </c>
    </row>
    <row r="168" spans="1:8" x14ac:dyDescent="0.25">
      <c r="A168" s="61"/>
      <c r="B168" s="67"/>
      <c r="C168" s="67"/>
      <c r="D168" s="61"/>
      <c r="E168" s="35" t="str">
        <f t="shared" si="8"/>
        <v/>
      </c>
      <c r="F168" s="35" t="str">
        <f t="shared" si="9"/>
        <v/>
      </c>
      <c r="G168" s="58" t="str">
        <f t="shared" si="10"/>
        <v/>
      </c>
      <c r="H168">
        <f t="shared" si="11"/>
        <v>20925646.325459316</v>
      </c>
    </row>
    <row r="169" spans="1:8" x14ac:dyDescent="0.25">
      <c r="A169" s="61"/>
      <c r="B169" s="67"/>
      <c r="C169" s="67"/>
      <c r="D169" s="61"/>
      <c r="E169" s="35" t="str">
        <f t="shared" si="8"/>
        <v/>
      </c>
      <c r="F169" s="35" t="str">
        <f t="shared" si="9"/>
        <v/>
      </c>
      <c r="G169" s="58" t="str">
        <f t="shared" si="10"/>
        <v/>
      </c>
      <c r="H169">
        <f t="shared" si="11"/>
        <v>20925646.325459316</v>
      </c>
    </row>
    <row r="170" spans="1:8" x14ac:dyDescent="0.25">
      <c r="A170" s="61"/>
      <c r="B170" s="67"/>
      <c r="C170" s="67"/>
      <c r="D170" s="61"/>
      <c r="E170" s="35" t="str">
        <f t="shared" si="8"/>
        <v/>
      </c>
      <c r="F170" s="35" t="str">
        <f t="shared" si="9"/>
        <v/>
      </c>
      <c r="G170" s="58" t="str">
        <f t="shared" si="10"/>
        <v/>
      </c>
      <c r="H170">
        <f t="shared" si="11"/>
        <v>20925646.325459316</v>
      </c>
    </row>
    <row r="171" spans="1:8" x14ac:dyDescent="0.25">
      <c r="A171" s="61"/>
      <c r="B171" s="67"/>
      <c r="C171" s="67"/>
      <c r="D171" s="61"/>
      <c r="E171" s="35" t="str">
        <f t="shared" si="8"/>
        <v/>
      </c>
      <c r="F171" s="35" t="str">
        <f t="shared" si="9"/>
        <v/>
      </c>
      <c r="G171" s="58" t="str">
        <f t="shared" si="10"/>
        <v/>
      </c>
      <c r="H171">
        <f t="shared" si="11"/>
        <v>20925646.325459316</v>
      </c>
    </row>
    <row r="172" spans="1:8" x14ac:dyDescent="0.25">
      <c r="A172" s="61"/>
      <c r="B172" s="67"/>
      <c r="C172" s="67"/>
      <c r="D172" s="61"/>
      <c r="E172" s="35" t="str">
        <f t="shared" si="8"/>
        <v/>
      </c>
      <c r="F172" s="35" t="str">
        <f t="shared" si="9"/>
        <v/>
      </c>
      <c r="G172" s="58" t="str">
        <f t="shared" si="10"/>
        <v/>
      </c>
      <c r="H172">
        <f t="shared" si="11"/>
        <v>20925646.325459316</v>
      </c>
    </row>
    <row r="173" spans="1:8" x14ac:dyDescent="0.25">
      <c r="A173" s="61"/>
      <c r="B173" s="67"/>
      <c r="C173" s="67"/>
      <c r="D173" s="61"/>
      <c r="E173" s="35" t="str">
        <f t="shared" si="8"/>
        <v/>
      </c>
      <c r="F173" s="35" t="str">
        <f t="shared" si="9"/>
        <v/>
      </c>
      <c r="G173" s="58" t="str">
        <f t="shared" si="10"/>
        <v/>
      </c>
      <c r="H173">
        <f t="shared" si="11"/>
        <v>20925646.325459316</v>
      </c>
    </row>
    <row r="174" spans="1:8" x14ac:dyDescent="0.25">
      <c r="A174" s="61"/>
      <c r="B174" s="67"/>
      <c r="C174" s="67"/>
      <c r="D174" s="61"/>
      <c r="E174" s="35" t="str">
        <f t="shared" si="8"/>
        <v/>
      </c>
      <c r="F174" s="35" t="str">
        <f t="shared" si="9"/>
        <v/>
      </c>
      <c r="G174" s="58" t="str">
        <f t="shared" si="10"/>
        <v/>
      </c>
      <c r="H174">
        <f t="shared" si="11"/>
        <v>20925646.325459316</v>
      </c>
    </row>
    <row r="175" spans="1:8" x14ac:dyDescent="0.25">
      <c r="A175" s="61"/>
      <c r="B175" s="67"/>
      <c r="C175" s="67"/>
      <c r="D175" s="61"/>
      <c r="E175" s="35" t="str">
        <f t="shared" si="8"/>
        <v/>
      </c>
      <c r="F175" s="35" t="str">
        <f t="shared" si="9"/>
        <v/>
      </c>
      <c r="G175" s="58" t="str">
        <f t="shared" si="10"/>
        <v/>
      </c>
      <c r="H175">
        <f t="shared" si="11"/>
        <v>20925646.325459316</v>
      </c>
    </row>
    <row r="176" spans="1:8" x14ac:dyDescent="0.25">
      <c r="A176" s="61"/>
      <c r="B176" s="67"/>
      <c r="C176" s="67"/>
      <c r="D176" s="61"/>
      <c r="E176" s="35" t="str">
        <f t="shared" si="8"/>
        <v/>
      </c>
      <c r="F176" s="35" t="str">
        <f t="shared" si="9"/>
        <v/>
      </c>
      <c r="G176" s="58" t="str">
        <f t="shared" si="10"/>
        <v/>
      </c>
      <c r="H176">
        <f t="shared" si="11"/>
        <v>20925646.325459316</v>
      </c>
    </row>
    <row r="177" spans="1:8" x14ac:dyDescent="0.25">
      <c r="A177" s="61"/>
      <c r="B177" s="67"/>
      <c r="C177" s="67"/>
      <c r="D177" s="61"/>
      <c r="E177" s="35" t="str">
        <f t="shared" si="8"/>
        <v/>
      </c>
      <c r="F177" s="35" t="str">
        <f t="shared" si="9"/>
        <v/>
      </c>
      <c r="G177" s="58" t="str">
        <f t="shared" si="10"/>
        <v/>
      </c>
      <c r="H177">
        <f t="shared" si="11"/>
        <v>20925646.325459316</v>
      </c>
    </row>
    <row r="178" spans="1:8" x14ac:dyDescent="0.25">
      <c r="A178" s="61"/>
      <c r="B178" s="67"/>
      <c r="C178" s="67"/>
      <c r="D178" s="61"/>
      <c r="E178" s="35" t="str">
        <f t="shared" si="8"/>
        <v/>
      </c>
      <c r="F178" s="35" t="str">
        <f t="shared" si="9"/>
        <v/>
      </c>
      <c r="G178" s="58" t="str">
        <f t="shared" si="10"/>
        <v/>
      </c>
      <c r="H178">
        <f t="shared" si="11"/>
        <v>20925646.325459316</v>
      </c>
    </row>
    <row r="179" spans="1:8" x14ac:dyDescent="0.25">
      <c r="A179" s="61"/>
      <c r="B179" s="67"/>
      <c r="C179" s="67"/>
      <c r="D179" s="61"/>
      <c r="E179" s="35" t="str">
        <f t="shared" si="8"/>
        <v/>
      </c>
      <c r="F179" s="35" t="str">
        <f t="shared" si="9"/>
        <v/>
      </c>
      <c r="G179" s="58" t="str">
        <f t="shared" si="10"/>
        <v/>
      </c>
      <c r="H179">
        <f t="shared" si="11"/>
        <v>20925646.325459316</v>
      </c>
    </row>
    <row r="180" spans="1:8" x14ac:dyDescent="0.25">
      <c r="A180" s="61"/>
      <c r="B180" s="67"/>
      <c r="C180" s="67"/>
      <c r="D180" s="61"/>
      <c r="E180" s="35" t="str">
        <f t="shared" si="8"/>
        <v/>
      </c>
      <c r="F180" s="35" t="str">
        <f t="shared" si="9"/>
        <v/>
      </c>
      <c r="G180" s="58" t="str">
        <f t="shared" si="10"/>
        <v/>
      </c>
      <c r="H180">
        <f t="shared" si="11"/>
        <v>20925646.325459316</v>
      </c>
    </row>
    <row r="181" spans="1:8" x14ac:dyDescent="0.25">
      <c r="A181" s="61"/>
      <c r="B181" s="67"/>
      <c r="C181" s="67"/>
      <c r="D181" s="61"/>
      <c r="E181" s="35" t="str">
        <f t="shared" si="8"/>
        <v/>
      </c>
      <c r="F181" s="35" t="str">
        <f t="shared" si="9"/>
        <v/>
      </c>
      <c r="G181" s="58" t="str">
        <f t="shared" si="10"/>
        <v/>
      </c>
      <c r="H181">
        <f t="shared" si="11"/>
        <v>20925646.325459316</v>
      </c>
    </row>
    <row r="182" spans="1:8" x14ac:dyDescent="0.25">
      <c r="A182" s="61"/>
      <c r="B182" s="67"/>
      <c r="C182" s="67"/>
      <c r="D182" s="61"/>
      <c r="E182" s="35" t="str">
        <f t="shared" si="8"/>
        <v/>
      </c>
      <c r="F182" s="35" t="str">
        <f t="shared" si="9"/>
        <v/>
      </c>
      <c r="G182" s="58" t="str">
        <f t="shared" si="10"/>
        <v/>
      </c>
      <c r="H182">
        <f t="shared" si="11"/>
        <v>20925646.325459316</v>
      </c>
    </row>
    <row r="183" spans="1:8" x14ac:dyDescent="0.25">
      <c r="A183" s="61"/>
      <c r="B183" s="67"/>
      <c r="C183" s="67"/>
      <c r="D183" s="61"/>
      <c r="E183" s="35" t="str">
        <f t="shared" si="8"/>
        <v/>
      </c>
      <c r="F183" s="35" t="str">
        <f t="shared" si="9"/>
        <v/>
      </c>
      <c r="G183" s="58" t="str">
        <f t="shared" si="10"/>
        <v/>
      </c>
      <c r="H183">
        <f t="shared" si="11"/>
        <v>20925646.325459316</v>
      </c>
    </row>
    <row r="184" spans="1:8" x14ac:dyDescent="0.25">
      <c r="A184" s="61"/>
      <c r="B184" s="67"/>
      <c r="C184" s="67"/>
      <c r="D184" s="61"/>
      <c r="E184" s="35" t="str">
        <f t="shared" si="8"/>
        <v/>
      </c>
      <c r="F184" s="35" t="str">
        <f t="shared" si="9"/>
        <v/>
      </c>
      <c r="G184" s="58" t="str">
        <f t="shared" si="10"/>
        <v/>
      </c>
      <c r="H184">
        <f t="shared" si="11"/>
        <v>20925646.325459316</v>
      </c>
    </row>
    <row r="185" spans="1:8" x14ac:dyDescent="0.25">
      <c r="A185" s="61"/>
      <c r="B185" s="67"/>
      <c r="C185" s="67"/>
      <c r="D185" s="61"/>
      <c r="E185" s="35" t="str">
        <f t="shared" si="8"/>
        <v/>
      </c>
      <c r="F185" s="35" t="str">
        <f t="shared" si="9"/>
        <v/>
      </c>
      <c r="G185" s="58" t="str">
        <f t="shared" si="10"/>
        <v/>
      </c>
      <c r="H185">
        <f t="shared" si="11"/>
        <v>20925646.325459316</v>
      </c>
    </row>
    <row r="186" spans="1:8" x14ac:dyDescent="0.25">
      <c r="A186" s="61"/>
      <c r="B186" s="67"/>
      <c r="C186" s="67"/>
      <c r="D186" s="61"/>
      <c r="E186" s="35" t="str">
        <f t="shared" si="8"/>
        <v/>
      </c>
      <c r="F186" s="35" t="str">
        <f t="shared" si="9"/>
        <v/>
      </c>
      <c r="G186" s="58" t="str">
        <f t="shared" si="10"/>
        <v/>
      </c>
      <c r="H186">
        <f t="shared" si="11"/>
        <v>20925646.325459316</v>
      </c>
    </row>
    <row r="187" spans="1:8" x14ac:dyDescent="0.25">
      <c r="A187" s="61"/>
      <c r="B187" s="67"/>
      <c r="C187" s="67"/>
      <c r="D187" s="61"/>
      <c r="E187" s="35" t="str">
        <f t="shared" si="8"/>
        <v/>
      </c>
      <c r="F187" s="35" t="str">
        <f t="shared" si="9"/>
        <v/>
      </c>
      <c r="G187" s="58" t="str">
        <f t="shared" si="10"/>
        <v/>
      </c>
      <c r="H187">
        <f t="shared" si="11"/>
        <v>20925646.325459316</v>
      </c>
    </row>
    <row r="188" spans="1:8" x14ac:dyDescent="0.25">
      <c r="A188" s="61"/>
      <c r="B188" s="67"/>
      <c r="C188" s="67"/>
      <c r="D188" s="61"/>
      <c r="E188" s="35" t="str">
        <f t="shared" si="8"/>
        <v/>
      </c>
      <c r="F188" s="35" t="str">
        <f t="shared" si="9"/>
        <v/>
      </c>
      <c r="G188" s="58" t="str">
        <f t="shared" si="10"/>
        <v/>
      </c>
      <c r="H188">
        <f t="shared" si="11"/>
        <v>20925646.325459316</v>
      </c>
    </row>
    <row r="189" spans="1:8" x14ac:dyDescent="0.25">
      <c r="A189" s="61"/>
      <c r="B189" s="67"/>
      <c r="C189" s="67"/>
      <c r="D189" s="61"/>
      <c r="E189" s="35" t="str">
        <f t="shared" si="8"/>
        <v/>
      </c>
      <c r="F189" s="35" t="str">
        <f t="shared" si="9"/>
        <v/>
      </c>
      <c r="G189" s="58" t="str">
        <f t="shared" si="10"/>
        <v/>
      </c>
      <c r="H189">
        <f t="shared" si="11"/>
        <v>20925646.325459316</v>
      </c>
    </row>
    <row r="190" spans="1:8" x14ac:dyDescent="0.25">
      <c r="A190" s="61"/>
      <c r="B190" s="67"/>
      <c r="C190" s="67"/>
      <c r="D190" s="61"/>
      <c r="E190" s="35" t="str">
        <f t="shared" si="8"/>
        <v/>
      </c>
      <c r="F190" s="35" t="str">
        <f t="shared" si="9"/>
        <v/>
      </c>
      <c r="G190" s="58" t="str">
        <f t="shared" si="10"/>
        <v/>
      </c>
      <c r="H190">
        <f t="shared" si="11"/>
        <v>20925646.325459316</v>
      </c>
    </row>
    <row r="191" spans="1:8" x14ac:dyDescent="0.25">
      <c r="A191" s="61"/>
      <c r="B191" s="67"/>
      <c r="C191" s="67"/>
      <c r="D191" s="61"/>
      <c r="E191" s="35" t="str">
        <f t="shared" si="8"/>
        <v/>
      </c>
      <c r="F191" s="35" t="str">
        <f t="shared" si="9"/>
        <v/>
      </c>
      <c r="G191" s="58" t="str">
        <f t="shared" si="10"/>
        <v/>
      </c>
      <c r="H191">
        <f t="shared" si="11"/>
        <v>20925646.325459316</v>
      </c>
    </row>
    <row r="192" spans="1:8" x14ac:dyDescent="0.25">
      <c r="A192" s="61"/>
      <c r="B192" s="67"/>
      <c r="C192" s="67"/>
      <c r="D192" s="61"/>
      <c r="E192" s="35" t="str">
        <f t="shared" si="8"/>
        <v/>
      </c>
      <c r="F192" s="35" t="str">
        <f t="shared" si="9"/>
        <v/>
      </c>
      <c r="G192" s="58" t="str">
        <f t="shared" si="10"/>
        <v/>
      </c>
      <c r="H192">
        <f t="shared" si="11"/>
        <v>20925646.325459316</v>
      </c>
    </row>
    <row r="193" spans="1:8" x14ac:dyDescent="0.25">
      <c r="A193" s="61"/>
      <c r="B193" s="67"/>
      <c r="C193" s="67"/>
      <c r="D193" s="61"/>
      <c r="E193" s="35" t="str">
        <f t="shared" si="8"/>
        <v/>
      </c>
      <c r="F193" s="35" t="str">
        <f t="shared" si="9"/>
        <v/>
      </c>
      <c r="G193" s="58" t="str">
        <f t="shared" si="10"/>
        <v/>
      </c>
      <c r="H193">
        <f t="shared" si="11"/>
        <v>20925646.325459316</v>
      </c>
    </row>
    <row r="194" spans="1:8" x14ac:dyDescent="0.25">
      <c r="A194" s="61"/>
      <c r="B194" s="67"/>
      <c r="C194" s="67"/>
      <c r="D194" s="61"/>
      <c r="E194" s="35" t="str">
        <f t="shared" si="8"/>
        <v/>
      </c>
      <c r="F194" s="35" t="str">
        <f t="shared" si="9"/>
        <v/>
      </c>
      <c r="G194" s="58" t="str">
        <f t="shared" si="10"/>
        <v/>
      </c>
      <c r="H194">
        <f t="shared" si="11"/>
        <v>20925646.325459316</v>
      </c>
    </row>
    <row r="195" spans="1:8" x14ac:dyDescent="0.25">
      <c r="A195" s="61"/>
      <c r="B195" s="67"/>
      <c r="C195" s="67"/>
      <c r="D195" s="61"/>
      <c r="E195" s="35" t="str">
        <f t="shared" ref="E195:E258" si="12">IF(B195&lt;&gt;"",(H195+D195)*COS(RADIANS(HMSTOHDD(B195)))*COS(RADIANS(HMSTOHDD(-C195))),"")</f>
        <v/>
      </c>
      <c r="F195" s="35" t="str">
        <f t="shared" ref="F195:F258" si="13">IF(B195&lt;&gt;"",(H195+D195)*COS(RADIANS(HMSTOHDD(B195)))*SIN(RADIANS(HMSTOHDD(-C195))),"")</f>
        <v/>
      </c>
      <c r="G195" s="58" t="str">
        <f t="shared" si="10"/>
        <v/>
      </c>
      <c r="H195">
        <f t="shared" si="11"/>
        <v>20925646.325459316</v>
      </c>
    </row>
    <row r="196" spans="1:8" x14ac:dyDescent="0.25">
      <c r="A196" s="61"/>
      <c r="B196" s="67"/>
      <c r="C196" s="67"/>
      <c r="D196" s="61"/>
      <c r="E196" s="35" t="str">
        <f t="shared" si="12"/>
        <v/>
      </c>
      <c r="F196" s="35" t="str">
        <f t="shared" si="13"/>
        <v/>
      </c>
      <c r="G196" s="58" t="str">
        <f t="shared" ref="G196:G259" si="14">IF(B196&lt;&gt;"",SIN(RADIANS(HMSTOHDD(B196)))*(H196*(1-$M$4)+D196),"")</f>
        <v/>
      </c>
      <c r="H196">
        <f t="shared" ref="H196:H259" si="15">$M$2/(1-$M$4*(SIN(RADIANS(HMSTOHDD(B196))))^2)^0.5</f>
        <v>20925646.325459316</v>
      </c>
    </row>
    <row r="197" spans="1:8" x14ac:dyDescent="0.25">
      <c r="A197" s="61"/>
      <c r="B197" s="67"/>
      <c r="C197" s="67"/>
      <c r="D197" s="61"/>
      <c r="E197" s="35" t="str">
        <f t="shared" si="12"/>
        <v/>
      </c>
      <c r="F197" s="35" t="str">
        <f t="shared" si="13"/>
        <v/>
      </c>
      <c r="G197" s="58" t="str">
        <f t="shared" si="14"/>
        <v/>
      </c>
      <c r="H197">
        <f t="shared" si="15"/>
        <v>20925646.325459316</v>
      </c>
    </row>
    <row r="198" spans="1:8" x14ac:dyDescent="0.25">
      <c r="A198" s="61"/>
      <c r="B198" s="67"/>
      <c r="C198" s="67"/>
      <c r="D198" s="61"/>
      <c r="E198" s="35" t="str">
        <f t="shared" si="12"/>
        <v/>
      </c>
      <c r="F198" s="35" t="str">
        <f t="shared" si="13"/>
        <v/>
      </c>
      <c r="G198" s="58" t="str">
        <f t="shared" si="14"/>
        <v/>
      </c>
      <c r="H198">
        <f t="shared" si="15"/>
        <v>20925646.325459316</v>
      </c>
    </row>
    <row r="199" spans="1:8" x14ac:dyDescent="0.25">
      <c r="A199" s="61"/>
      <c r="B199" s="67"/>
      <c r="C199" s="67"/>
      <c r="D199" s="61"/>
      <c r="E199" s="35" t="str">
        <f t="shared" si="12"/>
        <v/>
      </c>
      <c r="F199" s="35" t="str">
        <f t="shared" si="13"/>
        <v/>
      </c>
      <c r="G199" s="58" t="str">
        <f t="shared" si="14"/>
        <v/>
      </c>
      <c r="H199">
        <f t="shared" si="15"/>
        <v>20925646.325459316</v>
      </c>
    </row>
    <row r="200" spans="1:8" x14ac:dyDescent="0.25">
      <c r="A200" s="61"/>
      <c r="B200" s="67"/>
      <c r="C200" s="67"/>
      <c r="D200" s="61"/>
      <c r="E200" s="35" t="str">
        <f t="shared" si="12"/>
        <v/>
      </c>
      <c r="F200" s="35" t="str">
        <f t="shared" si="13"/>
        <v/>
      </c>
      <c r="G200" s="58" t="str">
        <f t="shared" si="14"/>
        <v/>
      </c>
      <c r="H200">
        <f t="shared" si="15"/>
        <v>20925646.325459316</v>
      </c>
    </row>
    <row r="201" spans="1:8" x14ac:dyDescent="0.25">
      <c r="A201" s="61"/>
      <c r="B201" s="67"/>
      <c r="C201" s="67"/>
      <c r="D201" s="61"/>
      <c r="E201" s="35" t="str">
        <f t="shared" si="12"/>
        <v/>
      </c>
      <c r="F201" s="35" t="str">
        <f t="shared" si="13"/>
        <v/>
      </c>
      <c r="G201" s="58" t="str">
        <f t="shared" si="14"/>
        <v/>
      </c>
      <c r="H201">
        <f t="shared" si="15"/>
        <v>20925646.325459316</v>
      </c>
    </row>
    <row r="202" spans="1:8" x14ac:dyDescent="0.25">
      <c r="A202" s="61"/>
      <c r="B202" s="67"/>
      <c r="C202" s="67"/>
      <c r="D202" s="61"/>
      <c r="E202" s="35" t="str">
        <f t="shared" si="12"/>
        <v/>
      </c>
      <c r="F202" s="35" t="str">
        <f t="shared" si="13"/>
        <v/>
      </c>
      <c r="G202" s="58" t="str">
        <f t="shared" si="14"/>
        <v/>
      </c>
      <c r="H202">
        <f t="shared" si="15"/>
        <v>20925646.325459316</v>
      </c>
    </row>
    <row r="203" spans="1:8" x14ac:dyDescent="0.25">
      <c r="A203" s="61"/>
      <c r="B203" s="67"/>
      <c r="C203" s="67"/>
      <c r="D203" s="61"/>
      <c r="E203" s="35" t="str">
        <f t="shared" si="12"/>
        <v/>
      </c>
      <c r="F203" s="35" t="str">
        <f t="shared" si="13"/>
        <v/>
      </c>
      <c r="G203" s="58" t="str">
        <f t="shared" si="14"/>
        <v/>
      </c>
      <c r="H203">
        <f t="shared" si="15"/>
        <v>20925646.325459316</v>
      </c>
    </row>
    <row r="204" spans="1:8" x14ac:dyDescent="0.25">
      <c r="A204" s="61"/>
      <c r="B204" s="67"/>
      <c r="C204" s="67"/>
      <c r="D204" s="61"/>
      <c r="E204" s="35" t="str">
        <f t="shared" si="12"/>
        <v/>
      </c>
      <c r="F204" s="35" t="str">
        <f t="shared" si="13"/>
        <v/>
      </c>
      <c r="G204" s="58" t="str">
        <f t="shared" si="14"/>
        <v/>
      </c>
      <c r="H204">
        <f t="shared" si="15"/>
        <v>20925646.325459316</v>
      </c>
    </row>
    <row r="205" spans="1:8" x14ac:dyDescent="0.25">
      <c r="A205" s="61"/>
      <c r="B205" s="67"/>
      <c r="C205" s="67"/>
      <c r="D205" s="61"/>
      <c r="E205" s="35" t="str">
        <f t="shared" si="12"/>
        <v/>
      </c>
      <c r="F205" s="35" t="str">
        <f t="shared" si="13"/>
        <v/>
      </c>
      <c r="G205" s="58" t="str">
        <f t="shared" si="14"/>
        <v/>
      </c>
      <c r="H205">
        <f t="shared" si="15"/>
        <v>20925646.325459316</v>
      </c>
    </row>
    <row r="206" spans="1:8" x14ac:dyDescent="0.25">
      <c r="A206" s="61"/>
      <c r="B206" s="67"/>
      <c r="C206" s="67"/>
      <c r="D206" s="61"/>
      <c r="E206" s="35" t="str">
        <f t="shared" si="12"/>
        <v/>
      </c>
      <c r="F206" s="35" t="str">
        <f t="shared" si="13"/>
        <v/>
      </c>
      <c r="G206" s="58" t="str">
        <f t="shared" si="14"/>
        <v/>
      </c>
      <c r="H206">
        <f t="shared" si="15"/>
        <v>20925646.325459316</v>
      </c>
    </row>
    <row r="207" spans="1:8" x14ac:dyDescent="0.25">
      <c r="A207" s="61"/>
      <c r="B207" s="67"/>
      <c r="C207" s="67"/>
      <c r="D207" s="61"/>
      <c r="E207" s="35" t="str">
        <f t="shared" si="12"/>
        <v/>
      </c>
      <c r="F207" s="35" t="str">
        <f t="shared" si="13"/>
        <v/>
      </c>
      <c r="G207" s="58" t="str">
        <f t="shared" si="14"/>
        <v/>
      </c>
      <c r="H207">
        <f t="shared" si="15"/>
        <v>20925646.325459316</v>
      </c>
    </row>
    <row r="208" spans="1:8" x14ac:dyDescent="0.25">
      <c r="A208" s="61"/>
      <c r="B208" s="67"/>
      <c r="C208" s="67"/>
      <c r="D208" s="61"/>
      <c r="E208" s="35" t="str">
        <f t="shared" si="12"/>
        <v/>
      </c>
      <c r="F208" s="35" t="str">
        <f t="shared" si="13"/>
        <v/>
      </c>
      <c r="G208" s="58" t="str">
        <f t="shared" si="14"/>
        <v/>
      </c>
      <c r="H208">
        <f t="shared" si="15"/>
        <v>20925646.325459316</v>
      </c>
    </row>
    <row r="209" spans="1:8" x14ac:dyDescent="0.25">
      <c r="A209" s="61"/>
      <c r="B209" s="67"/>
      <c r="C209" s="67"/>
      <c r="D209" s="61"/>
      <c r="E209" s="35" t="str">
        <f t="shared" si="12"/>
        <v/>
      </c>
      <c r="F209" s="35" t="str">
        <f t="shared" si="13"/>
        <v/>
      </c>
      <c r="G209" s="58" t="str">
        <f t="shared" si="14"/>
        <v/>
      </c>
      <c r="H209">
        <f t="shared" si="15"/>
        <v>20925646.325459316</v>
      </c>
    </row>
    <row r="210" spans="1:8" x14ac:dyDescent="0.25">
      <c r="A210" s="61"/>
      <c r="B210" s="67"/>
      <c r="C210" s="67"/>
      <c r="D210" s="61"/>
      <c r="E210" s="35" t="str">
        <f t="shared" si="12"/>
        <v/>
      </c>
      <c r="F210" s="35" t="str">
        <f t="shared" si="13"/>
        <v/>
      </c>
      <c r="G210" s="58" t="str">
        <f t="shared" si="14"/>
        <v/>
      </c>
      <c r="H210">
        <f t="shared" si="15"/>
        <v>20925646.325459316</v>
      </c>
    </row>
    <row r="211" spans="1:8" x14ac:dyDescent="0.25">
      <c r="A211" s="61"/>
      <c r="B211" s="67"/>
      <c r="C211" s="67"/>
      <c r="D211" s="61"/>
      <c r="E211" s="35" t="str">
        <f t="shared" si="12"/>
        <v/>
      </c>
      <c r="F211" s="35" t="str">
        <f t="shared" si="13"/>
        <v/>
      </c>
      <c r="G211" s="58" t="str">
        <f t="shared" si="14"/>
        <v/>
      </c>
      <c r="H211">
        <f t="shared" si="15"/>
        <v>20925646.325459316</v>
      </c>
    </row>
    <row r="212" spans="1:8" x14ac:dyDescent="0.25">
      <c r="A212" s="61"/>
      <c r="B212" s="67"/>
      <c r="C212" s="67"/>
      <c r="D212" s="61"/>
      <c r="E212" s="35" t="str">
        <f t="shared" si="12"/>
        <v/>
      </c>
      <c r="F212" s="35" t="str">
        <f t="shared" si="13"/>
        <v/>
      </c>
      <c r="G212" s="58" t="str">
        <f t="shared" si="14"/>
        <v/>
      </c>
      <c r="H212">
        <f t="shared" si="15"/>
        <v>20925646.325459316</v>
      </c>
    </row>
    <row r="213" spans="1:8" x14ac:dyDescent="0.25">
      <c r="A213" s="61"/>
      <c r="B213" s="67"/>
      <c r="C213" s="67"/>
      <c r="D213" s="61"/>
      <c r="E213" s="35" t="str">
        <f t="shared" si="12"/>
        <v/>
      </c>
      <c r="F213" s="35" t="str">
        <f t="shared" si="13"/>
        <v/>
      </c>
      <c r="G213" s="58" t="str">
        <f t="shared" si="14"/>
        <v/>
      </c>
      <c r="H213">
        <f t="shared" si="15"/>
        <v>20925646.325459316</v>
      </c>
    </row>
    <row r="214" spans="1:8" x14ac:dyDescent="0.25">
      <c r="A214" s="61"/>
      <c r="B214" s="67"/>
      <c r="C214" s="67"/>
      <c r="D214" s="61"/>
      <c r="E214" s="35" t="str">
        <f t="shared" si="12"/>
        <v/>
      </c>
      <c r="F214" s="35" t="str">
        <f t="shared" si="13"/>
        <v/>
      </c>
      <c r="G214" s="58" t="str">
        <f t="shared" si="14"/>
        <v/>
      </c>
      <c r="H214">
        <f t="shared" si="15"/>
        <v>20925646.325459316</v>
      </c>
    </row>
    <row r="215" spans="1:8" x14ac:dyDescent="0.25">
      <c r="A215" s="61"/>
      <c r="B215" s="67"/>
      <c r="C215" s="67"/>
      <c r="D215" s="61"/>
      <c r="E215" s="35" t="str">
        <f t="shared" si="12"/>
        <v/>
      </c>
      <c r="F215" s="35" t="str">
        <f t="shared" si="13"/>
        <v/>
      </c>
      <c r="G215" s="58" t="str">
        <f t="shared" si="14"/>
        <v/>
      </c>
      <c r="H215">
        <f t="shared" si="15"/>
        <v>20925646.325459316</v>
      </c>
    </row>
    <row r="216" spans="1:8" x14ac:dyDescent="0.25">
      <c r="A216" s="61"/>
      <c r="B216" s="67"/>
      <c r="C216" s="67"/>
      <c r="D216" s="61"/>
      <c r="E216" s="35" t="str">
        <f t="shared" si="12"/>
        <v/>
      </c>
      <c r="F216" s="35" t="str">
        <f t="shared" si="13"/>
        <v/>
      </c>
      <c r="G216" s="58" t="str">
        <f t="shared" si="14"/>
        <v/>
      </c>
      <c r="H216">
        <f t="shared" si="15"/>
        <v>20925646.325459316</v>
      </c>
    </row>
    <row r="217" spans="1:8" x14ac:dyDescent="0.25">
      <c r="A217" s="61"/>
      <c r="B217" s="67"/>
      <c r="C217" s="67"/>
      <c r="D217" s="61"/>
      <c r="E217" s="35" t="str">
        <f t="shared" si="12"/>
        <v/>
      </c>
      <c r="F217" s="35" t="str">
        <f t="shared" si="13"/>
        <v/>
      </c>
      <c r="G217" s="58" t="str">
        <f t="shared" si="14"/>
        <v/>
      </c>
      <c r="H217">
        <f t="shared" si="15"/>
        <v>20925646.325459316</v>
      </c>
    </row>
    <row r="218" spans="1:8" x14ac:dyDescent="0.25">
      <c r="A218" s="61"/>
      <c r="B218" s="67"/>
      <c r="C218" s="67"/>
      <c r="D218" s="61"/>
      <c r="E218" s="35" t="str">
        <f t="shared" si="12"/>
        <v/>
      </c>
      <c r="F218" s="35" t="str">
        <f t="shared" si="13"/>
        <v/>
      </c>
      <c r="G218" s="58" t="str">
        <f t="shared" si="14"/>
        <v/>
      </c>
      <c r="H218">
        <f t="shared" si="15"/>
        <v>20925646.325459316</v>
      </c>
    </row>
    <row r="219" spans="1:8" x14ac:dyDescent="0.25">
      <c r="A219" s="61"/>
      <c r="B219" s="67"/>
      <c r="C219" s="67"/>
      <c r="D219" s="61"/>
      <c r="E219" s="35" t="str">
        <f t="shared" si="12"/>
        <v/>
      </c>
      <c r="F219" s="35" t="str">
        <f t="shared" si="13"/>
        <v/>
      </c>
      <c r="G219" s="58" t="str">
        <f t="shared" si="14"/>
        <v/>
      </c>
      <c r="H219">
        <f t="shared" si="15"/>
        <v>20925646.325459316</v>
      </c>
    </row>
    <row r="220" spans="1:8" x14ac:dyDescent="0.25">
      <c r="A220" s="61"/>
      <c r="B220" s="67"/>
      <c r="C220" s="67"/>
      <c r="D220" s="61"/>
      <c r="E220" s="35" t="str">
        <f t="shared" si="12"/>
        <v/>
      </c>
      <c r="F220" s="35" t="str">
        <f t="shared" si="13"/>
        <v/>
      </c>
      <c r="G220" s="58" t="str">
        <f t="shared" si="14"/>
        <v/>
      </c>
      <c r="H220">
        <f t="shared" si="15"/>
        <v>20925646.325459316</v>
      </c>
    </row>
    <row r="221" spans="1:8" x14ac:dyDescent="0.25">
      <c r="A221" s="61"/>
      <c r="B221" s="67"/>
      <c r="C221" s="67"/>
      <c r="D221" s="61"/>
      <c r="E221" s="35" t="str">
        <f t="shared" si="12"/>
        <v/>
      </c>
      <c r="F221" s="35" t="str">
        <f t="shared" si="13"/>
        <v/>
      </c>
      <c r="G221" s="58" t="str">
        <f t="shared" si="14"/>
        <v/>
      </c>
      <c r="H221">
        <f t="shared" si="15"/>
        <v>20925646.325459316</v>
      </c>
    </row>
    <row r="222" spans="1:8" x14ac:dyDescent="0.25">
      <c r="A222" s="61"/>
      <c r="B222" s="67"/>
      <c r="C222" s="67"/>
      <c r="D222" s="61"/>
      <c r="E222" s="35" t="str">
        <f t="shared" si="12"/>
        <v/>
      </c>
      <c r="F222" s="35" t="str">
        <f t="shared" si="13"/>
        <v/>
      </c>
      <c r="G222" s="58" t="str">
        <f t="shared" si="14"/>
        <v/>
      </c>
      <c r="H222">
        <f t="shared" si="15"/>
        <v>20925646.325459316</v>
      </c>
    </row>
    <row r="223" spans="1:8" x14ac:dyDescent="0.25">
      <c r="A223" s="61"/>
      <c r="B223" s="67"/>
      <c r="C223" s="67"/>
      <c r="D223" s="61"/>
      <c r="E223" s="35" t="str">
        <f t="shared" si="12"/>
        <v/>
      </c>
      <c r="F223" s="35" t="str">
        <f t="shared" si="13"/>
        <v/>
      </c>
      <c r="G223" s="58" t="str">
        <f t="shared" si="14"/>
        <v/>
      </c>
      <c r="H223">
        <f t="shared" si="15"/>
        <v>20925646.325459316</v>
      </c>
    </row>
    <row r="224" spans="1:8" x14ac:dyDescent="0.25">
      <c r="A224" s="61"/>
      <c r="B224" s="67"/>
      <c r="C224" s="67"/>
      <c r="D224" s="61"/>
      <c r="E224" s="35" t="str">
        <f t="shared" si="12"/>
        <v/>
      </c>
      <c r="F224" s="35" t="str">
        <f t="shared" si="13"/>
        <v/>
      </c>
      <c r="G224" s="58" t="str">
        <f t="shared" si="14"/>
        <v/>
      </c>
      <c r="H224">
        <f t="shared" si="15"/>
        <v>20925646.325459316</v>
      </c>
    </row>
    <row r="225" spans="1:8" x14ac:dyDescent="0.25">
      <c r="A225" s="61"/>
      <c r="B225" s="67"/>
      <c r="C225" s="67"/>
      <c r="D225" s="61"/>
      <c r="E225" s="35" t="str">
        <f t="shared" si="12"/>
        <v/>
      </c>
      <c r="F225" s="35" t="str">
        <f t="shared" si="13"/>
        <v/>
      </c>
      <c r="G225" s="58" t="str">
        <f t="shared" si="14"/>
        <v/>
      </c>
      <c r="H225">
        <f t="shared" si="15"/>
        <v>20925646.325459316</v>
      </c>
    </row>
    <row r="226" spans="1:8" x14ac:dyDescent="0.25">
      <c r="A226" s="61"/>
      <c r="B226" s="67"/>
      <c r="C226" s="67"/>
      <c r="D226" s="61"/>
      <c r="E226" s="35" t="str">
        <f t="shared" si="12"/>
        <v/>
      </c>
      <c r="F226" s="35" t="str">
        <f t="shared" si="13"/>
        <v/>
      </c>
      <c r="G226" s="58" t="str">
        <f t="shared" si="14"/>
        <v/>
      </c>
      <c r="H226">
        <f t="shared" si="15"/>
        <v>20925646.325459316</v>
      </c>
    </row>
    <row r="227" spans="1:8" x14ac:dyDescent="0.25">
      <c r="A227" s="61"/>
      <c r="B227" s="67"/>
      <c r="C227" s="67"/>
      <c r="D227" s="61"/>
      <c r="E227" s="35" t="str">
        <f t="shared" si="12"/>
        <v/>
      </c>
      <c r="F227" s="35" t="str">
        <f t="shared" si="13"/>
        <v/>
      </c>
      <c r="G227" s="58" t="str">
        <f t="shared" si="14"/>
        <v/>
      </c>
      <c r="H227">
        <f t="shared" si="15"/>
        <v>20925646.325459316</v>
      </c>
    </row>
    <row r="228" spans="1:8" x14ac:dyDescent="0.25">
      <c r="A228" s="61"/>
      <c r="B228" s="67"/>
      <c r="C228" s="67"/>
      <c r="D228" s="61"/>
      <c r="E228" s="35" t="str">
        <f t="shared" si="12"/>
        <v/>
      </c>
      <c r="F228" s="35" t="str">
        <f t="shared" si="13"/>
        <v/>
      </c>
      <c r="G228" s="58" t="str">
        <f t="shared" si="14"/>
        <v/>
      </c>
      <c r="H228">
        <f t="shared" si="15"/>
        <v>20925646.325459316</v>
      </c>
    </row>
    <row r="229" spans="1:8" x14ac:dyDescent="0.25">
      <c r="A229" s="61"/>
      <c r="B229" s="67"/>
      <c r="C229" s="67"/>
      <c r="D229" s="61"/>
      <c r="E229" s="35" t="str">
        <f t="shared" si="12"/>
        <v/>
      </c>
      <c r="F229" s="35" t="str">
        <f t="shared" si="13"/>
        <v/>
      </c>
      <c r="G229" s="58" t="str">
        <f t="shared" si="14"/>
        <v/>
      </c>
      <c r="H229">
        <f t="shared" si="15"/>
        <v>20925646.325459316</v>
      </c>
    </row>
    <row r="230" spans="1:8" x14ac:dyDescent="0.25">
      <c r="A230" s="61"/>
      <c r="B230" s="67"/>
      <c r="C230" s="67"/>
      <c r="D230" s="61"/>
      <c r="E230" s="35" t="str">
        <f t="shared" si="12"/>
        <v/>
      </c>
      <c r="F230" s="35" t="str">
        <f t="shared" si="13"/>
        <v/>
      </c>
      <c r="G230" s="58" t="str">
        <f t="shared" si="14"/>
        <v/>
      </c>
      <c r="H230">
        <f t="shared" si="15"/>
        <v>20925646.325459316</v>
      </c>
    </row>
    <row r="231" spans="1:8" x14ac:dyDescent="0.25">
      <c r="A231" s="61"/>
      <c r="B231" s="67"/>
      <c r="C231" s="67"/>
      <c r="D231" s="61"/>
      <c r="E231" s="35" t="str">
        <f t="shared" si="12"/>
        <v/>
      </c>
      <c r="F231" s="35" t="str">
        <f t="shared" si="13"/>
        <v/>
      </c>
      <c r="G231" s="58" t="str">
        <f t="shared" si="14"/>
        <v/>
      </c>
      <c r="H231">
        <f t="shared" si="15"/>
        <v>20925646.325459316</v>
      </c>
    </row>
    <row r="232" spans="1:8" x14ac:dyDescent="0.25">
      <c r="A232" s="61"/>
      <c r="B232" s="67"/>
      <c r="C232" s="67"/>
      <c r="D232" s="61"/>
      <c r="E232" s="35" t="str">
        <f t="shared" si="12"/>
        <v/>
      </c>
      <c r="F232" s="35" t="str">
        <f t="shared" si="13"/>
        <v/>
      </c>
      <c r="G232" s="58" t="str">
        <f t="shared" si="14"/>
        <v/>
      </c>
      <c r="H232">
        <f t="shared" si="15"/>
        <v>20925646.325459316</v>
      </c>
    </row>
    <row r="233" spans="1:8" x14ac:dyDescent="0.25">
      <c r="A233" s="61"/>
      <c r="B233" s="67"/>
      <c r="C233" s="67"/>
      <c r="D233" s="61"/>
      <c r="E233" s="35" t="str">
        <f t="shared" si="12"/>
        <v/>
      </c>
      <c r="F233" s="35" t="str">
        <f t="shared" si="13"/>
        <v/>
      </c>
      <c r="G233" s="58" t="str">
        <f t="shared" si="14"/>
        <v/>
      </c>
      <c r="H233">
        <f t="shared" si="15"/>
        <v>20925646.325459316</v>
      </c>
    </row>
    <row r="234" spans="1:8" x14ac:dyDescent="0.25">
      <c r="A234" s="61"/>
      <c r="B234" s="67"/>
      <c r="C234" s="67"/>
      <c r="D234" s="61"/>
      <c r="E234" s="35" t="str">
        <f t="shared" si="12"/>
        <v/>
      </c>
      <c r="F234" s="35" t="str">
        <f t="shared" si="13"/>
        <v/>
      </c>
      <c r="G234" s="58" t="str">
        <f t="shared" si="14"/>
        <v/>
      </c>
      <c r="H234">
        <f t="shared" si="15"/>
        <v>20925646.325459316</v>
      </c>
    </row>
    <row r="235" spans="1:8" x14ac:dyDescent="0.25">
      <c r="A235" s="61"/>
      <c r="B235" s="67"/>
      <c r="C235" s="67"/>
      <c r="D235" s="61"/>
      <c r="E235" s="35" t="str">
        <f t="shared" si="12"/>
        <v/>
      </c>
      <c r="F235" s="35" t="str">
        <f t="shared" si="13"/>
        <v/>
      </c>
      <c r="G235" s="58" t="str">
        <f t="shared" si="14"/>
        <v/>
      </c>
      <c r="H235">
        <f t="shared" si="15"/>
        <v>20925646.325459316</v>
      </c>
    </row>
    <row r="236" spans="1:8" x14ac:dyDescent="0.25">
      <c r="A236" s="61"/>
      <c r="B236" s="67"/>
      <c r="C236" s="67"/>
      <c r="D236" s="61"/>
      <c r="E236" s="35" t="str">
        <f t="shared" si="12"/>
        <v/>
      </c>
      <c r="F236" s="35" t="str">
        <f t="shared" si="13"/>
        <v/>
      </c>
      <c r="G236" s="58" t="str">
        <f t="shared" si="14"/>
        <v/>
      </c>
      <c r="H236">
        <f t="shared" si="15"/>
        <v>20925646.325459316</v>
      </c>
    </row>
    <row r="237" spans="1:8" x14ac:dyDescent="0.25">
      <c r="A237" s="61"/>
      <c r="B237" s="67"/>
      <c r="C237" s="67"/>
      <c r="D237" s="61"/>
      <c r="E237" s="35" t="str">
        <f t="shared" si="12"/>
        <v/>
      </c>
      <c r="F237" s="35" t="str">
        <f t="shared" si="13"/>
        <v/>
      </c>
      <c r="G237" s="58" t="str">
        <f t="shared" si="14"/>
        <v/>
      </c>
      <c r="H237">
        <f t="shared" si="15"/>
        <v>20925646.325459316</v>
      </c>
    </row>
    <row r="238" spans="1:8" x14ac:dyDescent="0.25">
      <c r="A238" s="61"/>
      <c r="B238" s="67"/>
      <c r="C238" s="67"/>
      <c r="D238" s="61"/>
      <c r="E238" s="35" t="str">
        <f t="shared" si="12"/>
        <v/>
      </c>
      <c r="F238" s="35" t="str">
        <f t="shared" si="13"/>
        <v/>
      </c>
      <c r="G238" s="58" t="str">
        <f t="shared" si="14"/>
        <v/>
      </c>
      <c r="H238">
        <f t="shared" si="15"/>
        <v>20925646.325459316</v>
      </c>
    </row>
    <row r="239" spans="1:8" x14ac:dyDescent="0.25">
      <c r="A239" s="61"/>
      <c r="B239" s="67"/>
      <c r="C239" s="67"/>
      <c r="D239" s="61"/>
      <c r="E239" s="35" t="str">
        <f t="shared" si="12"/>
        <v/>
      </c>
      <c r="F239" s="35" t="str">
        <f t="shared" si="13"/>
        <v/>
      </c>
      <c r="G239" s="58" t="str">
        <f t="shared" si="14"/>
        <v/>
      </c>
      <c r="H239">
        <f t="shared" si="15"/>
        <v>20925646.325459316</v>
      </c>
    </row>
    <row r="240" spans="1:8" x14ac:dyDescent="0.25">
      <c r="A240" s="61"/>
      <c r="B240" s="67"/>
      <c r="C240" s="67"/>
      <c r="D240" s="61"/>
      <c r="E240" s="35" t="str">
        <f t="shared" si="12"/>
        <v/>
      </c>
      <c r="F240" s="35" t="str">
        <f t="shared" si="13"/>
        <v/>
      </c>
      <c r="G240" s="58" t="str">
        <f t="shared" si="14"/>
        <v/>
      </c>
      <c r="H240">
        <f t="shared" si="15"/>
        <v>20925646.325459316</v>
      </c>
    </row>
    <row r="241" spans="1:8" x14ac:dyDescent="0.25">
      <c r="A241" s="61"/>
      <c r="B241" s="67"/>
      <c r="C241" s="67"/>
      <c r="D241" s="61"/>
      <c r="E241" s="35" t="str">
        <f t="shared" si="12"/>
        <v/>
      </c>
      <c r="F241" s="35" t="str">
        <f t="shared" si="13"/>
        <v/>
      </c>
      <c r="G241" s="58" t="str">
        <f t="shared" si="14"/>
        <v/>
      </c>
      <c r="H241">
        <f t="shared" si="15"/>
        <v>20925646.325459316</v>
      </c>
    </row>
    <row r="242" spans="1:8" x14ac:dyDescent="0.25">
      <c r="A242" s="61"/>
      <c r="B242" s="67"/>
      <c r="C242" s="67"/>
      <c r="D242" s="61"/>
      <c r="E242" s="35" t="str">
        <f t="shared" si="12"/>
        <v/>
      </c>
      <c r="F242" s="35" t="str">
        <f t="shared" si="13"/>
        <v/>
      </c>
      <c r="G242" s="58" t="str">
        <f t="shared" si="14"/>
        <v/>
      </c>
      <c r="H242">
        <f t="shared" si="15"/>
        <v>20925646.325459316</v>
      </c>
    </row>
    <row r="243" spans="1:8" x14ac:dyDescent="0.25">
      <c r="A243" s="61"/>
      <c r="B243" s="67"/>
      <c r="C243" s="67"/>
      <c r="D243" s="61"/>
      <c r="E243" s="35" t="str">
        <f t="shared" si="12"/>
        <v/>
      </c>
      <c r="F243" s="35" t="str">
        <f t="shared" si="13"/>
        <v/>
      </c>
      <c r="G243" s="58" t="str">
        <f t="shared" si="14"/>
        <v/>
      </c>
      <c r="H243">
        <f t="shared" si="15"/>
        <v>20925646.325459316</v>
      </c>
    </row>
    <row r="244" spans="1:8" x14ac:dyDescent="0.25">
      <c r="A244" s="61"/>
      <c r="B244" s="67"/>
      <c r="C244" s="67"/>
      <c r="D244" s="61"/>
      <c r="E244" s="35" t="str">
        <f t="shared" si="12"/>
        <v/>
      </c>
      <c r="F244" s="35" t="str">
        <f t="shared" si="13"/>
        <v/>
      </c>
      <c r="G244" s="58" t="str">
        <f t="shared" si="14"/>
        <v/>
      </c>
      <c r="H244">
        <f t="shared" si="15"/>
        <v>20925646.325459316</v>
      </c>
    </row>
    <row r="245" spans="1:8" x14ac:dyDescent="0.25">
      <c r="A245" s="61"/>
      <c r="B245" s="67"/>
      <c r="C245" s="67"/>
      <c r="D245" s="61"/>
      <c r="E245" s="35" t="str">
        <f t="shared" si="12"/>
        <v/>
      </c>
      <c r="F245" s="35" t="str">
        <f t="shared" si="13"/>
        <v/>
      </c>
      <c r="G245" s="58" t="str">
        <f t="shared" si="14"/>
        <v/>
      </c>
      <c r="H245">
        <f t="shared" si="15"/>
        <v>20925646.325459316</v>
      </c>
    </row>
    <row r="246" spans="1:8" x14ac:dyDescent="0.25">
      <c r="A246" s="61"/>
      <c r="B246" s="67"/>
      <c r="C246" s="67"/>
      <c r="D246" s="61"/>
      <c r="E246" s="35" t="str">
        <f t="shared" si="12"/>
        <v/>
      </c>
      <c r="F246" s="35" t="str">
        <f t="shared" si="13"/>
        <v/>
      </c>
      <c r="G246" s="58" t="str">
        <f t="shared" si="14"/>
        <v/>
      </c>
      <c r="H246">
        <f t="shared" si="15"/>
        <v>20925646.325459316</v>
      </c>
    </row>
    <row r="247" spans="1:8" x14ac:dyDescent="0.25">
      <c r="A247" s="61"/>
      <c r="B247" s="67"/>
      <c r="C247" s="67"/>
      <c r="D247" s="61"/>
      <c r="E247" s="35" t="str">
        <f t="shared" si="12"/>
        <v/>
      </c>
      <c r="F247" s="35" t="str">
        <f t="shared" si="13"/>
        <v/>
      </c>
      <c r="G247" s="58" t="str">
        <f t="shared" si="14"/>
        <v/>
      </c>
      <c r="H247">
        <f t="shared" si="15"/>
        <v>20925646.325459316</v>
      </c>
    </row>
    <row r="248" spans="1:8" x14ac:dyDescent="0.25">
      <c r="A248" s="61"/>
      <c r="B248" s="67"/>
      <c r="C248" s="67"/>
      <c r="D248" s="61"/>
      <c r="E248" s="35" t="str">
        <f t="shared" si="12"/>
        <v/>
      </c>
      <c r="F248" s="35" t="str">
        <f t="shared" si="13"/>
        <v/>
      </c>
      <c r="G248" s="58" t="str">
        <f t="shared" si="14"/>
        <v/>
      </c>
      <c r="H248">
        <f t="shared" si="15"/>
        <v>20925646.325459316</v>
      </c>
    </row>
    <row r="249" spans="1:8" x14ac:dyDescent="0.25">
      <c r="A249" s="61"/>
      <c r="B249" s="67"/>
      <c r="C249" s="67"/>
      <c r="D249" s="61"/>
      <c r="E249" s="35" t="str">
        <f t="shared" si="12"/>
        <v/>
      </c>
      <c r="F249" s="35" t="str">
        <f t="shared" si="13"/>
        <v/>
      </c>
      <c r="G249" s="58" t="str">
        <f t="shared" si="14"/>
        <v/>
      </c>
      <c r="H249">
        <f t="shared" si="15"/>
        <v>20925646.325459316</v>
      </c>
    </row>
    <row r="250" spans="1:8" x14ac:dyDescent="0.25">
      <c r="A250" s="61"/>
      <c r="B250" s="67"/>
      <c r="C250" s="67"/>
      <c r="D250" s="61"/>
      <c r="E250" s="35" t="str">
        <f t="shared" si="12"/>
        <v/>
      </c>
      <c r="F250" s="35" t="str">
        <f t="shared" si="13"/>
        <v/>
      </c>
      <c r="G250" s="58" t="str">
        <f t="shared" si="14"/>
        <v/>
      </c>
      <c r="H250">
        <f t="shared" si="15"/>
        <v>20925646.325459316</v>
      </c>
    </row>
    <row r="251" spans="1:8" x14ac:dyDescent="0.25">
      <c r="A251" s="61"/>
      <c r="B251" s="67"/>
      <c r="C251" s="67"/>
      <c r="D251" s="61"/>
      <c r="E251" s="35" t="str">
        <f t="shared" si="12"/>
        <v/>
      </c>
      <c r="F251" s="35" t="str">
        <f t="shared" si="13"/>
        <v/>
      </c>
      <c r="G251" s="58" t="str">
        <f t="shared" si="14"/>
        <v/>
      </c>
      <c r="H251">
        <f t="shared" si="15"/>
        <v>20925646.325459316</v>
      </c>
    </row>
    <row r="252" spans="1:8" x14ac:dyDescent="0.25">
      <c r="A252" s="61"/>
      <c r="B252" s="67"/>
      <c r="C252" s="67"/>
      <c r="D252" s="61"/>
      <c r="E252" s="35" t="str">
        <f t="shared" si="12"/>
        <v/>
      </c>
      <c r="F252" s="35" t="str">
        <f t="shared" si="13"/>
        <v/>
      </c>
      <c r="G252" s="58" t="str">
        <f t="shared" si="14"/>
        <v/>
      </c>
      <c r="H252">
        <f t="shared" si="15"/>
        <v>20925646.325459316</v>
      </c>
    </row>
    <row r="253" spans="1:8" x14ac:dyDescent="0.25">
      <c r="A253" s="61"/>
      <c r="B253" s="67"/>
      <c r="C253" s="67"/>
      <c r="D253" s="61"/>
      <c r="E253" s="35" t="str">
        <f t="shared" si="12"/>
        <v/>
      </c>
      <c r="F253" s="35" t="str">
        <f t="shared" si="13"/>
        <v/>
      </c>
      <c r="G253" s="58" t="str">
        <f t="shared" si="14"/>
        <v/>
      </c>
      <c r="H253">
        <f t="shared" si="15"/>
        <v>20925646.325459316</v>
      </c>
    </row>
    <row r="254" spans="1:8" x14ac:dyDescent="0.25">
      <c r="A254" s="61"/>
      <c r="B254" s="67"/>
      <c r="C254" s="67"/>
      <c r="D254" s="61"/>
      <c r="E254" s="35" t="str">
        <f t="shared" si="12"/>
        <v/>
      </c>
      <c r="F254" s="35" t="str">
        <f t="shared" si="13"/>
        <v/>
      </c>
      <c r="G254" s="58" t="str">
        <f t="shared" si="14"/>
        <v/>
      </c>
      <c r="H254">
        <f t="shared" si="15"/>
        <v>20925646.325459316</v>
      </c>
    </row>
    <row r="255" spans="1:8" x14ac:dyDescent="0.25">
      <c r="A255" s="61"/>
      <c r="B255" s="67"/>
      <c r="C255" s="67"/>
      <c r="D255" s="61"/>
      <c r="E255" s="35" t="str">
        <f t="shared" si="12"/>
        <v/>
      </c>
      <c r="F255" s="35" t="str">
        <f t="shared" si="13"/>
        <v/>
      </c>
      <c r="G255" s="58" t="str">
        <f t="shared" si="14"/>
        <v/>
      </c>
      <c r="H255">
        <f t="shared" si="15"/>
        <v>20925646.325459316</v>
      </c>
    </row>
    <row r="256" spans="1:8" x14ac:dyDescent="0.25">
      <c r="A256" s="61"/>
      <c r="B256" s="67"/>
      <c r="C256" s="67"/>
      <c r="D256" s="61"/>
      <c r="E256" s="35" t="str">
        <f t="shared" si="12"/>
        <v/>
      </c>
      <c r="F256" s="35" t="str">
        <f t="shared" si="13"/>
        <v/>
      </c>
      <c r="G256" s="58" t="str">
        <f t="shared" si="14"/>
        <v/>
      </c>
      <c r="H256">
        <f t="shared" si="15"/>
        <v>20925646.325459316</v>
      </c>
    </row>
    <row r="257" spans="1:8" x14ac:dyDescent="0.25">
      <c r="A257" s="61"/>
      <c r="B257" s="67"/>
      <c r="C257" s="67"/>
      <c r="D257" s="61"/>
      <c r="E257" s="35" t="str">
        <f t="shared" si="12"/>
        <v/>
      </c>
      <c r="F257" s="35" t="str">
        <f t="shared" si="13"/>
        <v/>
      </c>
      <c r="G257" s="58" t="str">
        <f t="shared" si="14"/>
        <v/>
      </c>
      <c r="H257">
        <f t="shared" si="15"/>
        <v>20925646.325459316</v>
      </c>
    </row>
    <row r="258" spans="1:8" x14ac:dyDescent="0.25">
      <c r="A258" s="61"/>
      <c r="B258" s="67"/>
      <c r="C258" s="67"/>
      <c r="D258" s="61"/>
      <c r="E258" s="35" t="str">
        <f t="shared" si="12"/>
        <v/>
      </c>
      <c r="F258" s="35" t="str">
        <f t="shared" si="13"/>
        <v/>
      </c>
      <c r="G258" s="58" t="str">
        <f t="shared" si="14"/>
        <v/>
      </c>
      <c r="H258">
        <f t="shared" si="15"/>
        <v>20925646.325459316</v>
      </c>
    </row>
    <row r="259" spans="1:8" x14ac:dyDescent="0.25">
      <c r="A259" s="61"/>
      <c r="B259" s="67"/>
      <c r="C259" s="67"/>
      <c r="D259" s="61"/>
      <c r="E259" s="35" t="str">
        <f t="shared" ref="E259:E322" si="16">IF(B259&lt;&gt;"",(H259+D259)*COS(RADIANS(HMSTOHDD(B259)))*COS(RADIANS(HMSTOHDD(-C259))),"")</f>
        <v/>
      </c>
      <c r="F259" s="35" t="str">
        <f t="shared" ref="F259:F322" si="17">IF(B259&lt;&gt;"",(H259+D259)*COS(RADIANS(HMSTOHDD(B259)))*SIN(RADIANS(HMSTOHDD(-C259))),"")</f>
        <v/>
      </c>
      <c r="G259" s="58" t="str">
        <f t="shared" si="14"/>
        <v/>
      </c>
      <c r="H259">
        <f t="shared" si="15"/>
        <v>20925646.325459316</v>
      </c>
    </row>
    <row r="260" spans="1:8" x14ac:dyDescent="0.25">
      <c r="A260" s="61"/>
      <c r="B260" s="67"/>
      <c r="C260" s="67"/>
      <c r="D260" s="61"/>
      <c r="E260" s="35" t="str">
        <f t="shared" si="16"/>
        <v/>
      </c>
      <c r="F260" s="35" t="str">
        <f t="shared" si="17"/>
        <v/>
      </c>
      <c r="G260" s="58" t="str">
        <f t="shared" ref="G260:G323" si="18">IF(B260&lt;&gt;"",SIN(RADIANS(HMSTOHDD(B260)))*(H260*(1-$M$4)+D260),"")</f>
        <v/>
      </c>
      <c r="H260">
        <f t="shared" ref="H260:H323" si="19">$M$2/(1-$M$4*(SIN(RADIANS(HMSTOHDD(B260))))^2)^0.5</f>
        <v>20925646.325459316</v>
      </c>
    </row>
    <row r="261" spans="1:8" x14ac:dyDescent="0.25">
      <c r="A261" s="61"/>
      <c r="B261" s="67"/>
      <c r="C261" s="67"/>
      <c r="D261" s="61"/>
      <c r="E261" s="35" t="str">
        <f t="shared" si="16"/>
        <v/>
      </c>
      <c r="F261" s="35" t="str">
        <f t="shared" si="17"/>
        <v/>
      </c>
      <c r="G261" s="58" t="str">
        <f t="shared" si="18"/>
        <v/>
      </c>
      <c r="H261">
        <f t="shared" si="19"/>
        <v>20925646.325459316</v>
      </c>
    </row>
    <row r="262" spans="1:8" x14ac:dyDescent="0.25">
      <c r="A262" s="61"/>
      <c r="B262" s="67"/>
      <c r="C262" s="67"/>
      <c r="D262" s="61"/>
      <c r="E262" s="35" t="str">
        <f t="shared" si="16"/>
        <v/>
      </c>
      <c r="F262" s="35" t="str">
        <f t="shared" si="17"/>
        <v/>
      </c>
      <c r="G262" s="58" t="str">
        <f t="shared" si="18"/>
        <v/>
      </c>
      <c r="H262">
        <f t="shared" si="19"/>
        <v>20925646.325459316</v>
      </c>
    </row>
    <row r="263" spans="1:8" x14ac:dyDescent="0.25">
      <c r="A263" s="61"/>
      <c r="B263" s="67"/>
      <c r="C263" s="67"/>
      <c r="D263" s="61"/>
      <c r="E263" s="35" t="str">
        <f t="shared" si="16"/>
        <v/>
      </c>
      <c r="F263" s="35" t="str">
        <f t="shared" si="17"/>
        <v/>
      </c>
      <c r="G263" s="58" t="str">
        <f t="shared" si="18"/>
        <v/>
      </c>
      <c r="H263">
        <f t="shared" si="19"/>
        <v>20925646.325459316</v>
      </c>
    </row>
    <row r="264" spans="1:8" x14ac:dyDescent="0.25">
      <c r="A264" s="61"/>
      <c r="B264" s="67"/>
      <c r="C264" s="67"/>
      <c r="D264" s="61"/>
      <c r="E264" s="35" t="str">
        <f t="shared" si="16"/>
        <v/>
      </c>
      <c r="F264" s="35" t="str">
        <f t="shared" si="17"/>
        <v/>
      </c>
      <c r="G264" s="58" t="str">
        <f t="shared" si="18"/>
        <v/>
      </c>
      <c r="H264">
        <f t="shared" si="19"/>
        <v>20925646.325459316</v>
      </c>
    </row>
    <row r="265" spans="1:8" x14ac:dyDescent="0.25">
      <c r="A265" s="61"/>
      <c r="B265" s="67"/>
      <c r="C265" s="67"/>
      <c r="D265" s="61"/>
      <c r="E265" s="35" t="str">
        <f t="shared" si="16"/>
        <v/>
      </c>
      <c r="F265" s="35" t="str">
        <f t="shared" si="17"/>
        <v/>
      </c>
      <c r="G265" s="58" t="str">
        <f t="shared" si="18"/>
        <v/>
      </c>
      <c r="H265">
        <f t="shared" si="19"/>
        <v>20925646.325459316</v>
      </c>
    </row>
    <row r="266" spans="1:8" x14ac:dyDescent="0.25">
      <c r="A266" s="61"/>
      <c r="B266" s="67"/>
      <c r="C266" s="67"/>
      <c r="D266" s="61"/>
      <c r="E266" s="35" t="str">
        <f t="shared" si="16"/>
        <v/>
      </c>
      <c r="F266" s="35" t="str">
        <f t="shared" si="17"/>
        <v/>
      </c>
      <c r="G266" s="58" t="str">
        <f t="shared" si="18"/>
        <v/>
      </c>
      <c r="H266">
        <f t="shared" si="19"/>
        <v>20925646.325459316</v>
      </c>
    </row>
    <row r="267" spans="1:8" x14ac:dyDescent="0.25">
      <c r="A267" s="61"/>
      <c r="B267" s="67"/>
      <c r="C267" s="67"/>
      <c r="D267" s="61"/>
      <c r="E267" s="35" t="str">
        <f t="shared" si="16"/>
        <v/>
      </c>
      <c r="F267" s="35" t="str">
        <f t="shared" si="17"/>
        <v/>
      </c>
      <c r="G267" s="58" t="str">
        <f t="shared" si="18"/>
        <v/>
      </c>
      <c r="H267">
        <f t="shared" si="19"/>
        <v>20925646.325459316</v>
      </c>
    </row>
    <row r="268" spans="1:8" x14ac:dyDescent="0.25">
      <c r="A268" s="61"/>
      <c r="B268" s="67"/>
      <c r="C268" s="67"/>
      <c r="D268" s="61"/>
      <c r="E268" s="35" t="str">
        <f t="shared" si="16"/>
        <v/>
      </c>
      <c r="F268" s="35" t="str">
        <f t="shared" si="17"/>
        <v/>
      </c>
      <c r="G268" s="58" t="str">
        <f t="shared" si="18"/>
        <v/>
      </c>
      <c r="H268">
        <f t="shared" si="19"/>
        <v>20925646.325459316</v>
      </c>
    </row>
    <row r="269" spans="1:8" x14ac:dyDescent="0.25">
      <c r="A269" s="61"/>
      <c r="B269" s="67"/>
      <c r="C269" s="67"/>
      <c r="D269" s="61"/>
      <c r="E269" s="35" t="str">
        <f t="shared" si="16"/>
        <v/>
      </c>
      <c r="F269" s="35" t="str">
        <f t="shared" si="17"/>
        <v/>
      </c>
      <c r="G269" s="58" t="str">
        <f t="shared" si="18"/>
        <v/>
      </c>
      <c r="H269">
        <f t="shared" si="19"/>
        <v>20925646.325459316</v>
      </c>
    </row>
    <row r="270" spans="1:8" x14ac:dyDescent="0.25">
      <c r="A270" s="61"/>
      <c r="B270" s="67"/>
      <c r="C270" s="67"/>
      <c r="D270" s="61"/>
      <c r="E270" s="35" t="str">
        <f t="shared" si="16"/>
        <v/>
      </c>
      <c r="F270" s="35" t="str">
        <f t="shared" si="17"/>
        <v/>
      </c>
      <c r="G270" s="58" t="str">
        <f t="shared" si="18"/>
        <v/>
      </c>
      <c r="H270">
        <f t="shared" si="19"/>
        <v>20925646.325459316</v>
      </c>
    </row>
    <row r="271" spans="1:8" x14ac:dyDescent="0.25">
      <c r="A271" s="61"/>
      <c r="B271" s="67"/>
      <c r="C271" s="67"/>
      <c r="D271" s="61"/>
      <c r="E271" s="35" t="str">
        <f t="shared" si="16"/>
        <v/>
      </c>
      <c r="F271" s="35" t="str">
        <f t="shared" si="17"/>
        <v/>
      </c>
      <c r="G271" s="58" t="str">
        <f t="shared" si="18"/>
        <v/>
      </c>
      <c r="H271">
        <f t="shared" si="19"/>
        <v>20925646.325459316</v>
      </c>
    </row>
    <row r="272" spans="1:8" x14ac:dyDescent="0.25">
      <c r="A272" s="61"/>
      <c r="B272" s="67"/>
      <c r="C272" s="67"/>
      <c r="D272" s="61"/>
      <c r="E272" s="35" t="str">
        <f t="shared" si="16"/>
        <v/>
      </c>
      <c r="F272" s="35" t="str">
        <f t="shared" si="17"/>
        <v/>
      </c>
      <c r="G272" s="58" t="str">
        <f t="shared" si="18"/>
        <v/>
      </c>
      <c r="H272">
        <f t="shared" si="19"/>
        <v>20925646.325459316</v>
      </c>
    </row>
    <row r="273" spans="1:8" x14ac:dyDescent="0.25">
      <c r="A273" s="61"/>
      <c r="B273" s="67"/>
      <c r="C273" s="67"/>
      <c r="D273" s="61"/>
      <c r="E273" s="35" t="str">
        <f t="shared" si="16"/>
        <v/>
      </c>
      <c r="F273" s="35" t="str">
        <f t="shared" si="17"/>
        <v/>
      </c>
      <c r="G273" s="58" t="str">
        <f t="shared" si="18"/>
        <v/>
      </c>
      <c r="H273">
        <f t="shared" si="19"/>
        <v>20925646.325459316</v>
      </c>
    </row>
    <row r="274" spans="1:8" x14ac:dyDescent="0.25">
      <c r="A274" s="61"/>
      <c r="B274" s="67"/>
      <c r="C274" s="67"/>
      <c r="D274" s="61"/>
      <c r="E274" s="35" t="str">
        <f t="shared" si="16"/>
        <v/>
      </c>
      <c r="F274" s="35" t="str">
        <f t="shared" si="17"/>
        <v/>
      </c>
      <c r="G274" s="58" t="str">
        <f t="shared" si="18"/>
        <v/>
      </c>
      <c r="H274">
        <f t="shared" si="19"/>
        <v>20925646.325459316</v>
      </c>
    </row>
    <row r="275" spans="1:8" x14ac:dyDescent="0.25">
      <c r="A275" s="61"/>
      <c r="B275" s="67"/>
      <c r="C275" s="67"/>
      <c r="D275" s="61"/>
      <c r="E275" s="35" t="str">
        <f t="shared" si="16"/>
        <v/>
      </c>
      <c r="F275" s="35" t="str">
        <f t="shared" si="17"/>
        <v/>
      </c>
      <c r="G275" s="58" t="str">
        <f t="shared" si="18"/>
        <v/>
      </c>
      <c r="H275">
        <f t="shared" si="19"/>
        <v>20925646.325459316</v>
      </c>
    </row>
    <row r="276" spans="1:8" x14ac:dyDescent="0.25">
      <c r="A276" s="61"/>
      <c r="B276" s="67"/>
      <c r="C276" s="67"/>
      <c r="D276" s="61"/>
      <c r="E276" s="35" t="str">
        <f t="shared" si="16"/>
        <v/>
      </c>
      <c r="F276" s="35" t="str">
        <f t="shared" si="17"/>
        <v/>
      </c>
      <c r="G276" s="58" t="str">
        <f t="shared" si="18"/>
        <v/>
      </c>
      <c r="H276">
        <f t="shared" si="19"/>
        <v>20925646.325459316</v>
      </c>
    </row>
    <row r="277" spans="1:8" x14ac:dyDescent="0.25">
      <c r="A277" s="61"/>
      <c r="B277" s="67"/>
      <c r="C277" s="67"/>
      <c r="D277" s="61"/>
      <c r="E277" s="35" t="str">
        <f t="shared" si="16"/>
        <v/>
      </c>
      <c r="F277" s="35" t="str">
        <f t="shared" si="17"/>
        <v/>
      </c>
      <c r="G277" s="58" t="str">
        <f t="shared" si="18"/>
        <v/>
      </c>
      <c r="H277">
        <f t="shared" si="19"/>
        <v>20925646.325459316</v>
      </c>
    </row>
    <row r="278" spans="1:8" x14ac:dyDescent="0.25">
      <c r="A278" s="61"/>
      <c r="B278" s="67"/>
      <c r="C278" s="67"/>
      <c r="D278" s="61"/>
      <c r="E278" s="35" t="str">
        <f t="shared" si="16"/>
        <v/>
      </c>
      <c r="F278" s="35" t="str">
        <f t="shared" si="17"/>
        <v/>
      </c>
      <c r="G278" s="58" t="str">
        <f t="shared" si="18"/>
        <v/>
      </c>
      <c r="H278">
        <f t="shared" si="19"/>
        <v>20925646.325459316</v>
      </c>
    </row>
    <row r="279" spans="1:8" x14ac:dyDescent="0.25">
      <c r="A279" s="61"/>
      <c r="B279" s="67"/>
      <c r="C279" s="67"/>
      <c r="D279" s="61"/>
      <c r="E279" s="35" t="str">
        <f t="shared" si="16"/>
        <v/>
      </c>
      <c r="F279" s="35" t="str">
        <f t="shared" si="17"/>
        <v/>
      </c>
      <c r="G279" s="58" t="str">
        <f t="shared" si="18"/>
        <v/>
      </c>
      <c r="H279">
        <f t="shared" si="19"/>
        <v>20925646.325459316</v>
      </c>
    </row>
    <row r="280" spans="1:8" x14ac:dyDescent="0.25">
      <c r="A280" s="61"/>
      <c r="B280" s="67"/>
      <c r="C280" s="67"/>
      <c r="D280" s="61"/>
      <c r="E280" s="35" t="str">
        <f t="shared" si="16"/>
        <v/>
      </c>
      <c r="F280" s="35" t="str">
        <f t="shared" si="17"/>
        <v/>
      </c>
      <c r="G280" s="58" t="str">
        <f t="shared" si="18"/>
        <v/>
      </c>
      <c r="H280">
        <f t="shared" si="19"/>
        <v>20925646.325459316</v>
      </c>
    </row>
    <row r="281" spans="1:8" x14ac:dyDescent="0.25">
      <c r="A281" s="61"/>
      <c r="B281" s="67"/>
      <c r="C281" s="67"/>
      <c r="D281" s="61"/>
      <c r="E281" s="35" t="str">
        <f t="shared" si="16"/>
        <v/>
      </c>
      <c r="F281" s="35" t="str">
        <f t="shared" si="17"/>
        <v/>
      </c>
      <c r="G281" s="58" t="str">
        <f t="shared" si="18"/>
        <v/>
      </c>
      <c r="H281">
        <f t="shared" si="19"/>
        <v>20925646.325459316</v>
      </c>
    </row>
    <row r="282" spans="1:8" x14ac:dyDescent="0.25">
      <c r="A282" s="61"/>
      <c r="B282" s="67"/>
      <c r="C282" s="67"/>
      <c r="D282" s="61"/>
      <c r="E282" s="35" t="str">
        <f t="shared" si="16"/>
        <v/>
      </c>
      <c r="F282" s="35" t="str">
        <f t="shared" si="17"/>
        <v/>
      </c>
      <c r="G282" s="58" t="str">
        <f t="shared" si="18"/>
        <v/>
      </c>
      <c r="H282">
        <f t="shared" si="19"/>
        <v>20925646.325459316</v>
      </c>
    </row>
    <row r="283" spans="1:8" x14ac:dyDescent="0.25">
      <c r="A283" s="61"/>
      <c r="B283" s="67"/>
      <c r="C283" s="67"/>
      <c r="D283" s="61"/>
      <c r="E283" s="35" t="str">
        <f t="shared" si="16"/>
        <v/>
      </c>
      <c r="F283" s="35" t="str">
        <f t="shared" si="17"/>
        <v/>
      </c>
      <c r="G283" s="58" t="str">
        <f t="shared" si="18"/>
        <v/>
      </c>
      <c r="H283">
        <f t="shared" si="19"/>
        <v>20925646.325459316</v>
      </c>
    </row>
    <row r="284" spans="1:8" x14ac:dyDescent="0.25">
      <c r="A284" s="61"/>
      <c r="B284" s="67"/>
      <c r="C284" s="67"/>
      <c r="D284" s="61"/>
      <c r="E284" s="35" t="str">
        <f t="shared" si="16"/>
        <v/>
      </c>
      <c r="F284" s="35" t="str">
        <f t="shared" si="17"/>
        <v/>
      </c>
      <c r="G284" s="58" t="str">
        <f t="shared" si="18"/>
        <v/>
      </c>
      <c r="H284">
        <f t="shared" si="19"/>
        <v>20925646.325459316</v>
      </c>
    </row>
    <row r="285" spans="1:8" x14ac:dyDescent="0.25">
      <c r="A285" s="61"/>
      <c r="B285" s="67"/>
      <c r="C285" s="67"/>
      <c r="D285" s="61"/>
      <c r="E285" s="35" t="str">
        <f t="shared" si="16"/>
        <v/>
      </c>
      <c r="F285" s="35" t="str">
        <f t="shared" si="17"/>
        <v/>
      </c>
      <c r="G285" s="58" t="str">
        <f t="shared" si="18"/>
        <v/>
      </c>
      <c r="H285">
        <f t="shared" si="19"/>
        <v>20925646.325459316</v>
      </c>
    </row>
    <row r="286" spans="1:8" x14ac:dyDescent="0.25">
      <c r="A286" s="61"/>
      <c r="B286" s="67"/>
      <c r="C286" s="67"/>
      <c r="D286" s="61"/>
      <c r="E286" s="35" t="str">
        <f t="shared" si="16"/>
        <v/>
      </c>
      <c r="F286" s="35" t="str">
        <f t="shared" si="17"/>
        <v/>
      </c>
      <c r="G286" s="58" t="str">
        <f t="shared" si="18"/>
        <v/>
      </c>
      <c r="H286">
        <f t="shared" si="19"/>
        <v>20925646.325459316</v>
      </c>
    </row>
    <row r="287" spans="1:8" x14ac:dyDescent="0.25">
      <c r="A287" s="61"/>
      <c r="B287" s="67"/>
      <c r="C287" s="67"/>
      <c r="D287" s="61"/>
      <c r="E287" s="35" t="str">
        <f t="shared" si="16"/>
        <v/>
      </c>
      <c r="F287" s="35" t="str">
        <f t="shared" si="17"/>
        <v/>
      </c>
      <c r="G287" s="58" t="str">
        <f t="shared" si="18"/>
        <v/>
      </c>
      <c r="H287">
        <f t="shared" si="19"/>
        <v>20925646.325459316</v>
      </c>
    </row>
    <row r="288" spans="1:8" x14ac:dyDescent="0.25">
      <c r="A288" s="61"/>
      <c r="B288" s="67"/>
      <c r="C288" s="67"/>
      <c r="D288" s="61"/>
      <c r="E288" s="35" t="str">
        <f t="shared" si="16"/>
        <v/>
      </c>
      <c r="F288" s="35" t="str">
        <f t="shared" si="17"/>
        <v/>
      </c>
      <c r="G288" s="58" t="str">
        <f t="shared" si="18"/>
        <v/>
      </c>
      <c r="H288">
        <f t="shared" si="19"/>
        <v>20925646.325459316</v>
      </c>
    </row>
    <row r="289" spans="1:8" x14ac:dyDescent="0.25">
      <c r="A289" s="61"/>
      <c r="B289" s="67"/>
      <c r="C289" s="67"/>
      <c r="D289" s="61"/>
      <c r="E289" s="35" t="str">
        <f t="shared" si="16"/>
        <v/>
      </c>
      <c r="F289" s="35" t="str">
        <f t="shared" si="17"/>
        <v/>
      </c>
      <c r="G289" s="58" t="str">
        <f t="shared" si="18"/>
        <v/>
      </c>
      <c r="H289">
        <f t="shared" si="19"/>
        <v>20925646.325459316</v>
      </c>
    </row>
    <row r="290" spans="1:8" x14ac:dyDescent="0.25">
      <c r="A290" s="61"/>
      <c r="B290" s="67"/>
      <c r="C290" s="67"/>
      <c r="D290" s="61"/>
      <c r="E290" s="35" t="str">
        <f t="shared" si="16"/>
        <v/>
      </c>
      <c r="F290" s="35" t="str">
        <f t="shared" si="17"/>
        <v/>
      </c>
      <c r="G290" s="58" t="str">
        <f t="shared" si="18"/>
        <v/>
      </c>
      <c r="H290">
        <f t="shared" si="19"/>
        <v>20925646.325459316</v>
      </c>
    </row>
    <row r="291" spans="1:8" x14ac:dyDescent="0.25">
      <c r="A291" s="61"/>
      <c r="B291" s="67"/>
      <c r="C291" s="67"/>
      <c r="D291" s="61"/>
      <c r="E291" s="35" t="str">
        <f t="shared" si="16"/>
        <v/>
      </c>
      <c r="F291" s="35" t="str">
        <f t="shared" si="17"/>
        <v/>
      </c>
      <c r="G291" s="58" t="str">
        <f t="shared" si="18"/>
        <v/>
      </c>
      <c r="H291">
        <f t="shared" si="19"/>
        <v>20925646.325459316</v>
      </c>
    </row>
    <row r="292" spans="1:8" x14ac:dyDescent="0.25">
      <c r="A292" s="61"/>
      <c r="B292" s="67"/>
      <c r="C292" s="67"/>
      <c r="D292" s="61"/>
      <c r="E292" s="35" t="str">
        <f t="shared" si="16"/>
        <v/>
      </c>
      <c r="F292" s="35" t="str">
        <f t="shared" si="17"/>
        <v/>
      </c>
      <c r="G292" s="58" t="str">
        <f t="shared" si="18"/>
        <v/>
      </c>
      <c r="H292">
        <f t="shared" si="19"/>
        <v>20925646.325459316</v>
      </c>
    </row>
    <row r="293" spans="1:8" x14ac:dyDescent="0.25">
      <c r="A293" s="61"/>
      <c r="B293" s="67"/>
      <c r="C293" s="67"/>
      <c r="D293" s="61"/>
      <c r="E293" s="35" t="str">
        <f t="shared" si="16"/>
        <v/>
      </c>
      <c r="F293" s="35" t="str">
        <f t="shared" si="17"/>
        <v/>
      </c>
      <c r="G293" s="58" t="str">
        <f t="shared" si="18"/>
        <v/>
      </c>
      <c r="H293">
        <f t="shared" si="19"/>
        <v>20925646.325459316</v>
      </c>
    </row>
    <row r="294" spans="1:8" x14ac:dyDescent="0.25">
      <c r="A294" s="61"/>
      <c r="B294" s="67"/>
      <c r="C294" s="67"/>
      <c r="D294" s="61"/>
      <c r="E294" s="35" t="str">
        <f t="shared" si="16"/>
        <v/>
      </c>
      <c r="F294" s="35" t="str">
        <f t="shared" si="17"/>
        <v/>
      </c>
      <c r="G294" s="58" t="str">
        <f t="shared" si="18"/>
        <v/>
      </c>
      <c r="H294">
        <f t="shared" si="19"/>
        <v>20925646.325459316</v>
      </c>
    </row>
    <row r="295" spans="1:8" x14ac:dyDescent="0.25">
      <c r="A295" s="61"/>
      <c r="B295" s="67"/>
      <c r="C295" s="67"/>
      <c r="D295" s="61"/>
      <c r="E295" s="35" t="str">
        <f t="shared" si="16"/>
        <v/>
      </c>
      <c r="F295" s="35" t="str">
        <f t="shared" si="17"/>
        <v/>
      </c>
      <c r="G295" s="58" t="str">
        <f t="shared" si="18"/>
        <v/>
      </c>
      <c r="H295">
        <f t="shared" si="19"/>
        <v>20925646.325459316</v>
      </c>
    </row>
    <row r="296" spans="1:8" x14ac:dyDescent="0.25">
      <c r="A296" s="61"/>
      <c r="B296" s="67"/>
      <c r="C296" s="67"/>
      <c r="D296" s="61"/>
      <c r="E296" s="35" t="str">
        <f t="shared" si="16"/>
        <v/>
      </c>
      <c r="F296" s="35" t="str">
        <f t="shared" si="17"/>
        <v/>
      </c>
      <c r="G296" s="58" t="str">
        <f t="shared" si="18"/>
        <v/>
      </c>
      <c r="H296">
        <f t="shared" si="19"/>
        <v>20925646.325459316</v>
      </c>
    </row>
    <row r="297" spans="1:8" x14ac:dyDescent="0.25">
      <c r="A297" s="61"/>
      <c r="B297" s="67"/>
      <c r="C297" s="67"/>
      <c r="D297" s="61"/>
      <c r="E297" s="35" t="str">
        <f t="shared" si="16"/>
        <v/>
      </c>
      <c r="F297" s="35" t="str">
        <f t="shared" si="17"/>
        <v/>
      </c>
      <c r="G297" s="58" t="str">
        <f t="shared" si="18"/>
        <v/>
      </c>
      <c r="H297">
        <f t="shared" si="19"/>
        <v>20925646.325459316</v>
      </c>
    </row>
    <row r="298" spans="1:8" x14ac:dyDescent="0.25">
      <c r="A298" s="61"/>
      <c r="B298" s="67"/>
      <c r="C298" s="67"/>
      <c r="D298" s="61"/>
      <c r="E298" s="35" t="str">
        <f t="shared" si="16"/>
        <v/>
      </c>
      <c r="F298" s="35" t="str">
        <f t="shared" si="17"/>
        <v/>
      </c>
      <c r="G298" s="58" t="str">
        <f t="shared" si="18"/>
        <v/>
      </c>
      <c r="H298">
        <f t="shared" si="19"/>
        <v>20925646.325459316</v>
      </c>
    </row>
    <row r="299" spans="1:8" x14ac:dyDescent="0.25">
      <c r="A299" s="61"/>
      <c r="B299" s="67"/>
      <c r="C299" s="67"/>
      <c r="D299" s="61"/>
      <c r="E299" s="35" t="str">
        <f t="shared" si="16"/>
        <v/>
      </c>
      <c r="F299" s="35" t="str">
        <f t="shared" si="17"/>
        <v/>
      </c>
      <c r="G299" s="58" t="str">
        <f t="shared" si="18"/>
        <v/>
      </c>
      <c r="H299">
        <f t="shared" si="19"/>
        <v>20925646.325459316</v>
      </c>
    </row>
    <row r="300" spans="1:8" x14ac:dyDescent="0.25">
      <c r="A300" s="61"/>
      <c r="B300" s="67"/>
      <c r="C300" s="67"/>
      <c r="D300" s="61"/>
      <c r="E300" s="35" t="str">
        <f t="shared" si="16"/>
        <v/>
      </c>
      <c r="F300" s="35" t="str">
        <f t="shared" si="17"/>
        <v/>
      </c>
      <c r="G300" s="58" t="str">
        <f t="shared" si="18"/>
        <v/>
      </c>
      <c r="H300">
        <f t="shared" si="19"/>
        <v>20925646.325459316</v>
      </c>
    </row>
    <row r="301" spans="1:8" x14ac:dyDescent="0.25">
      <c r="A301" s="61"/>
      <c r="B301" s="67"/>
      <c r="C301" s="67"/>
      <c r="D301" s="61"/>
      <c r="E301" s="35" t="str">
        <f t="shared" si="16"/>
        <v/>
      </c>
      <c r="F301" s="35" t="str">
        <f t="shared" si="17"/>
        <v/>
      </c>
      <c r="G301" s="58" t="str">
        <f t="shared" si="18"/>
        <v/>
      </c>
      <c r="H301">
        <f t="shared" si="19"/>
        <v>20925646.325459316</v>
      </c>
    </row>
    <row r="302" spans="1:8" x14ac:dyDescent="0.25">
      <c r="A302" s="61"/>
      <c r="B302" s="67"/>
      <c r="C302" s="67"/>
      <c r="D302" s="61"/>
      <c r="E302" s="35" t="str">
        <f t="shared" si="16"/>
        <v/>
      </c>
      <c r="F302" s="35" t="str">
        <f t="shared" si="17"/>
        <v/>
      </c>
      <c r="G302" s="58" t="str">
        <f t="shared" si="18"/>
        <v/>
      </c>
      <c r="H302">
        <f t="shared" si="19"/>
        <v>20925646.325459316</v>
      </c>
    </row>
    <row r="303" spans="1:8" x14ac:dyDescent="0.25">
      <c r="A303" s="61"/>
      <c r="B303" s="67"/>
      <c r="C303" s="67"/>
      <c r="D303" s="61"/>
      <c r="E303" s="35" t="str">
        <f t="shared" si="16"/>
        <v/>
      </c>
      <c r="F303" s="35" t="str">
        <f t="shared" si="17"/>
        <v/>
      </c>
      <c r="G303" s="58" t="str">
        <f t="shared" si="18"/>
        <v/>
      </c>
      <c r="H303">
        <f t="shared" si="19"/>
        <v>20925646.325459316</v>
      </c>
    </row>
    <row r="304" spans="1:8" x14ac:dyDescent="0.25">
      <c r="A304" s="61"/>
      <c r="B304" s="67"/>
      <c r="C304" s="67"/>
      <c r="D304" s="61"/>
      <c r="E304" s="35" t="str">
        <f t="shared" si="16"/>
        <v/>
      </c>
      <c r="F304" s="35" t="str">
        <f t="shared" si="17"/>
        <v/>
      </c>
      <c r="G304" s="58" t="str">
        <f t="shared" si="18"/>
        <v/>
      </c>
      <c r="H304">
        <f t="shared" si="19"/>
        <v>20925646.325459316</v>
      </c>
    </row>
    <row r="305" spans="1:8" x14ac:dyDescent="0.25">
      <c r="A305" s="61"/>
      <c r="B305" s="67"/>
      <c r="C305" s="67"/>
      <c r="D305" s="61"/>
      <c r="E305" s="35" t="str">
        <f t="shared" si="16"/>
        <v/>
      </c>
      <c r="F305" s="35" t="str">
        <f t="shared" si="17"/>
        <v/>
      </c>
      <c r="G305" s="58" t="str">
        <f t="shared" si="18"/>
        <v/>
      </c>
      <c r="H305">
        <f t="shared" si="19"/>
        <v>20925646.325459316</v>
      </c>
    </row>
    <row r="306" spans="1:8" x14ac:dyDescent="0.25">
      <c r="A306" s="61"/>
      <c r="B306" s="67"/>
      <c r="C306" s="67"/>
      <c r="D306" s="61"/>
      <c r="E306" s="35" t="str">
        <f t="shared" si="16"/>
        <v/>
      </c>
      <c r="F306" s="35" t="str">
        <f t="shared" si="17"/>
        <v/>
      </c>
      <c r="G306" s="58" t="str">
        <f t="shared" si="18"/>
        <v/>
      </c>
      <c r="H306">
        <f t="shared" si="19"/>
        <v>20925646.325459316</v>
      </c>
    </row>
    <row r="307" spans="1:8" x14ac:dyDescent="0.25">
      <c r="A307" s="61"/>
      <c r="B307" s="67"/>
      <c r="C307" s="67"/>
      <c r="D307" s="61"/>
      <c r="E307" s="35" t="str">
        <f t="shared" si="16"/>
        <v/>
      </c>
      <c r="F307" s="35" t="str">
        <f t="shared" si="17"/>
        <v/>
      </c>
      <c r="G307" s="58" t="str">
        <f t="shared" si="18"/>
        <v/>
      </c>
      <c r="H307">
        <f t="shared" si="19"/>
        <v>20925646.325459316</v>
      </c>
    </row>
    <row r="308" spans="1:8" x14ac:dyDescent="0.25">
      <c r="A308" s="61"/>
      <c r="B308" s="67"/>
      <c r="C308" s="67"/>
      <c r="D308" s="61"/>
      <c r="E308" s="35" t="str">
        <f t="shared" si="16"/>
        <v/>
      </c>
      <c r="F308" s="35" t="str">
        <f t="shared" si="17"/>
        <v/>
      </c>
      <c r="G308" s="58" t="str">
        <f t="shared" si="18"/>
        <v/>
      </c>
      <c r="H308">
        <f t="shared" si="19"/>
        <v>20925646.325459316</v>
      </c>
    </row>
    <row r="309" spans="1:8" x14ac:dyDescent="0.25">
      <c r="A309" s="61"/>
      <c r="B309" s="67"/>
      <c r="C309" s="67"/>
      <c r="D309" s="61"/>
      <c r="E309" s="35" t="str">
        <f t="shared" si="16"/>
        <v/>
      </c>
      <c r="F309" s="35" t="str">
        <f t="shared" si="17"/>
        <v/>
      </c>
      <c r="G309" s="58" t="str">
        <f t="shared" si="18"/>
        <v/>
      </c>
      <c r="H309">
        <f t="shared" si="19"/>
        <v>20925646.325459316</v>
      </c>
    </row>
    <row r="310" spans="1:8" x14ac:dyDescent="0.25">
      <c r="A310" s="61"/>
      <c r="B310" s="67"/>
      <c r="C310" s="67"/>
      <c r="D310" s="61"/>
      <c r="E310" s="35" t="str">
        <f t="shared" si="16"/>
        <v/>
      </c>
      <c r="F310" s="35" t="str">
        <f t="shared" si="17"/>
        <v/>
      </c>
      <c r="G310" s="58" t="str">
        <f t="shared" si="18"/>
        <v/>
      </c>
      <c r="H310">
        <f t="shared" si="19"/>
        <v>20925646.325459316</v>
      </c>
    </row>
    <row r="311" spans="1:8" x14ac:dyDescent="0.25">
      <c r="A311" s="61"/>
      <c r="B311" s="67"/>
      <c r="C311" s="67"/>
      <c r="D311" s="61"/>
      <c r="E311" s="35" t="str">
        <f t="shared" si="16"/>
        <v/>
      </c>
      <c r="F311" s="35" t="str">
        <f t="shared" si="17"/>
        <v/>
      </c>
      <c r="G311" s="58" t="str">
        <f t="shared" si="18"/>
        <v/>
      </c>
      <c r="H311">
        <f t="shared" si="19"/>
        <v>20925646.325459316</v>
      </c>
    </row>
    <row r="312" spans="1:8" x14ac:dyDescent="0.25">
      <c r="A312" s="61"/>
      <c r="B312" s="67"/>
      <c r="C312" s="67"/>
      <c r="D312" s="61"/>
      <c r="E312" s="35" t="str">
        <f t="shared" si="16"/>
        <v/>
      </c>
      <c r="F312" s="35" t="str">
        <f t="shared" si="17"/>
        <v/>
      </c>
      <c r="G312" s="58" t="str">
        <f t="shared" si="18"/>
        <v/>
      </c>
      <c r="H312">
        <f t="shared" si="19"/>
        <v>20925646.325459316</v>
      </c>
    </row>
    <row r="313" spans="1:8" x14ac:dyDescent="0.25">
      <c r="A313" s="61"/>
      <c r="B313" s="67"/>
      <c r="C313" s="67"/>
      <c r="D313" s="61"/>
      <c r="E313" s="35" t="str">
        <f t="shared" si="16"/>
        <v/>
      </c>
      <c r="F313" s="35" t="str">
        <f t="shared" si="17"/>
        <v/>
      </c>
      <c r="G313" s="58" t="str">
        <f t="shared" si="18"/>
        <v/>
      </c>
      <c r="H313">
        <f t="shared" si="19"/>
        <v>20925646.325459316</v>
      </c>
    </row>
    <row r="314" spans="1:8" x14ac:dyDescent="0.25">
      <c r="A314" s="61"/>
      <c r="B314" s="67"/>
      <c r="C314" s="67"/>
      <c r="D314" s="61"/>
      <c r="E314" s="35" t="str">
        <f t="shared" si="16"/>
        <v/>
      </c>
      <c r="F314" s="35" t="str">
        <f t="shared" si="17"/>
        <v/>
      </c>
      <c r="G314" s="58" t="str">
        <f t="shared" si="18"/>
        <v/>
      </c>
      <c r="H314">
        <f t="shared" si="19"/>
        <v>20925646.325459316</v>
      </c>
    </row>
    <row r="315" spans="1:8" x14ac:dyDescent="0.25">
      <c r="A315" s="61"/>
      <c r="B315" s="67"/>
      <c r="C315" s="67"/>
      <c r="D315" s="61"/>
      <c r="E315" s="35" t="str">
        <f t="shared" si="16"/>
        <v/>
      </c>
      <c r="F315" s="35" t="str">
        <f t="shared" si="17"/>
        <v/>
      </c>
      <c r="G315" s="58" t="str">
        <f t="shared" si="18"/>
        <v/>
      </c>
      <c r="H315">
        <f t="shared" si="19"/>
        <v>20925646.325459316</v>
      </c>
    </row>
    <row r="316" spans="1:8" x14ac:dyDescent="0.25">
      <c r="A316" s="61"/>
      <c r="B316" s="67"/>
      <c r="C316" s="67"/>
      <c r="D316" s="61"/>
      <c r="E316" s="35" t="str">
        <f t="shared" si="16"/>
        <v/>
      </c>
      <c r="F316" s="35" t="str">
        <f t="shared" si="17"/>
        <v/>
      </c>
      <c r="G316" s="58" t="str">
        <f t="shared" si="18"/>
        <v/>
      </c>
      <c r="H316">
        <f t="shared" si="19"/>
        <v>20925646.325459316</v>
      </c>
    </row>
    <row r="317" spans="1:8" x14ac:dyDescent="0.25">
      <c r="A317" s="61"/>
      <c r="B317" s="67"/>
      <c r="C317" s="67"/>
      <c r="D317" s="61"/>
      <c r="E317" s="35" t="str">
        <f t="shared" si="16"/>
        <v/>
      </c>
      <c r="F317" s="35" t="str">
        <f t="shared" si="17"/>
        <v/>
      </c>
      <c r="G317" s="58" t="str">
        <f t="shared" si="18"/>
        <v/>
      </c>
      <c r="H317">
        <f t="shared" si="19"/>
        <v>20925646.325459316</v>
      </c>
    </row>
    <row r="318" spans="1:8" x14ac:dyDescent="0.25">
      <c r="A318" s="61"/>
      <c r="B318" s="67"/>
      <c r="C318" s="67"/>
      <c r="D318" s="61"/>
      <c r="E318" s="35" t="str">
        <f t="shared" si="16"/>
        <v/>
      </c>
      <c r="F318" s="35" t="str">
        <f t="shared" si="17"/>
        <v/>
      </c>
      <c r="G318" s="58" t="str">
        <f t="shared" si="18"/>
        <v/>
      </c>
      <c r="H318">
        <f t="shared" si="19"/>
        <v>20925646.325459316</v>
      </c>
    </row>
    <row r="319" spans="1:8" x14ac:dyDescent="0.25">
      <c r="A319" s="61"/>
      <c r="B319" s="67"/>
      <c r="C319" s="67"/>
      <c r="D319" s="61"/>
      <c r="E319" s="35" t="str">
        <f t="shared" si="16"/>
        <v/>
      </c>
      <c r="F319" s="35" t="str">
        <f t="shared" si="17"/>
        <v/>
      </c>
      <c r="G319" s="58" t="str">
        <f t="shared" si="18"/>
        <v/>
      </c>
      <c r="H319">
        <f t="shared" si="19"/>
        <v>20925646.325459316</v>
      </c>
    </row>
    <row r="320" spans="1:8" x14ac:dyDescent="0.25">
      <c r="A320" s="61"/>
      <c r="B320" s="67"/>
      <c r="C320" s="67"/>
      <c r="D320" s="61"/>
      <c r="E320" s="35" t="str">
        <f t="shared" si="16"/>
        <v/>
      </c>
      <c r="F320" s="35" t="str">
        <f t="shared" si="17"/>
        <v/>
      </c>
      <c r="G320" s="58" t="str">
        <f t="shared" si="18"/>
        <v/>
      </c>
      <c r="H320">
        <f t="shared" si="19"/>
        <v>20925646.325459316</v>
      </c>
    </row>
    <row r="321" spans="1:8" x14ac:dyDescent="0.25">
      <c r="A321" s="61"/>
      <c r="B321" s="67"/>
      <c r="C321" s="67"/>
      <c r="D321" s="61"/>
      <c r="E321" s="35" t="str">
        <f t="shared" si="16"/>
        <v/>
      </c>
      <c r="F321" s="35" t="str">
        <f t="shared" si="17"/>
        <v/>
      </c>
      <c r="G321" s="58" t="str">
        <f t="shared" si="18"/>
        <v/>
      </c>
      <c r="H321">
        <f t="shared" si="19"/>
        <v>20925646.325459316</v>
      </c>
    </row>
    <row r="322" spans="1:8" x14ac:dyDescent="0.25">
      <c r="A322" s="61"/>
      <c r="B322" s="67"/>
      <c r="C322" s="67"/>
      <c r="D322" s="61"/>
      <c r="E322" s="35" t="str">
        <f t="shared" si="16"/>
        <v/>
      </c>
      <c r="F322" s="35" t="str">
        <f t="shared" si="17"/>
        <v/>
      </c>
      <c r="G322" s="58" t="str">
        <f t="shared" si="18"/>
        <v/>
      </c>
      <c r="H322">
        <f t="shared" si="19"/>
        <v>20925646.325459316</v>
      </c>
    </row>
    <row r="323" spans="1:8" x14ac:dyDescent="0.25">
      <c r="A323" s="61"/>
      <c r="B323" s="67"/>
      <c r="C323" s="67"/>
      <c r="D323" s="61"/>
      <c r="E323" s="35" t="str">
        <f t="shared" ref="E323:E386" si="20">IF(B323&lt;&gt;"",(H323+D323)*COS(RADIANS(HMSTOHDD(B323)))*COS(RADIANS(HMSTOHDD(-C323))),"")</f>
        <v/>
      </c>
      <c r="F323" s="35" t="str">
        <f t="shared" ref="F323:F386" si="21">IF(B323&lt;&gt;"",(H323+D323)*COS(RADIANS(HMSTOHDD(B323)))*SIN(RADIANS(HMSTOHDD(-C323))),"")</f>
        <v/>
      </c>
      <c r="G323" s="58" t="str">
        <f t="shared" si="18"/>
        <v/>
      </c>
      <c r="H323">
        <f t="shared" si="19"/>
        <v>20925646.325459316</v>
      </c>
    </row>
    <row r="324" spans="1:8" x14ac:dyDescent="0.25">
      <c r="A324" s="61"/>
      <c r="B324" s="67"/>
      <c r="C324" s="67"/>
      <c r="D324" s="61"/>
      <c r="E324" s="35" t="str">
        <f t="shared" si="20"/>
        <v/>
      </c>
      <c r="F324" s="35" t="str">
        <f t="shared" si="21"/>
        <v/>
      </c>
      <c r="G324" s="58" t="str">
        <f t="shared" ref="G324:G387" si="22">IF(B324&lt;&gt;"",SIN(RADIANS(HMSTOHDD(B324)))*(H324*(1-$M$4)+D324),"")</f>
        <v/>
      </c>
      <c r="H324">
        <f t="shared" ref="H324:H387" si="23">$M$2/(1-$M$4*(SIN(RADIANS(HMSTOHDD(B324))))^2)^0.5</f>
        <v>20925646.325459316</v>
      </c>
    </row>
    <row r="325" spans="1:8" x14ac:dyDescent="0.25">
      <c r="A325" s="61"/>
      <c r="B325" s="67"/>
      <c r="C325" s="67"/>
      <c r="D325" s="61"/>
      <c r="E325" s="35" t="str">
        <f t="shared" si="20"/>
        <v/>
      </c>
      <c r="F325" s="35" t="str">
        <f t="shared" si="21"/>
        <v/>
      </c>
      <c r="G325" s="58" t="str">
        <f t="shared" si="22"/>
        <v/>
      </c>
      <c r="H325">
        <f t="shared" si="23"/>
        <v>20925646.325459316</v>
      </c>
    </row>
    <row r="326" spans="1:8" x14ac:dyDescent="0.25">
      <c r="A326" s="61"/>
      <c r="B326" s="67"/>
      <c r="C326" s="67"/>
      <c r="D326" s="61"/>
      <c r="E326" s="35" t="str">
        <f t="shared" si="20"/>
        <v/>
      </c>
      <c r="F326" s="35" t="str">
        <f t="shared" si="21"/>
        <v/>
      </c>
      <c r="G326" s="58" t="str">
        <f t="shared" si="22"/>
        <v/>
      </c>
      <c r="H326">
        <f t="shared" si="23"/>
        <v>20925646.325459316</v>
      </c>
    </row>
    <row r="327" spans="1:8" x14ac:dyDescent="0.25">
      <c r="A327" s="61"/>
      <c r="B327" s="67"/>
      <c r="C327" s="67"/>
      <c r="D327" s="61"/>
      <c r="E327" s="35" t="str">
        <f t="shared" si="20"/>
        <v/>
      </c>
      <c r="F327" s="35" t="str">
        <f t="shared" si="21"/>
        <v/>
      </c>
      <c r="G327" s="58" t="str">
        <f t="shared" si="22"/>
        <v/>
      </c>
      <c r="H327">
        <f t="shared" si="23"/>
        <v>20925646.325459316</v>
      </c>
    </row>
    <row r="328" spans="1:8" x14ac:dyDescent="0.25">
      <c r="A328" s="61"/>
      <c r="B328" s="67"/>
      <c r="C328" s="67"/>
      <c r="D328" s="61"/>
      <c r="E328" s="35" t="str">
        <f t="shared" si="20"/>
        <v/>
      </c>
      <c r="F328" s="35" t="str">
        <f t="shared" si="21"/>
        <v/>
      </c>
      <c r="G328" s="58" t="str">
        <f t="shared" si="22"/>
        <v/>
      </c>
      <c r="H328">
        <f t="shared" si="23"/>
        <v>20925646.325459316</v>
      </c>
    </row>
    <row r="329" spans="1:8" x14ac:dyDescent="0.25">
      <c r="A329" s="61"/>
      <c r="B329" s="67"/>
      <c r="C329" s="67"/>
      <c r="D329" s="61"/>
      <c r="E329" s="35" t="str">
        <f t="shared" si="20"/>
        <v/>
      </c>
      <c r="F329" s="35" t="str">
        <f t="shared" si="21"/>
        <v/>
      </c>
      <c r="G329" s="58" t="str">
        <f t="shared" si="22"/>
        <v/>
      </c>
      <c r="H329">
        <f t="shared" si="23"/>
        <v>20925646.325459316</v>
      </c>
    </row>
    <row r="330" spans="1:8" x14ac:dyDescent="0.25">
      <c r="A330" s="61"/>
      <c r="B330" s="67"/>
      <c r="C330" s="67"/>
      <c r="D330" s="61"/>
      <c r="E330" s="35" t="str">
        <f t="shared" si="20"/>
        <v/>
      </c>
      <c r="F330" s="35" t="str">
        <f t="shared" si="21"/>
        <v/>
      </c>
      <c r="G330" s="58" t="str">
        <f t="shared" si="22"/>
        <v/>
      </c>
      <c r="H330">
        <f t="shared" si="23"/>
        <v>20925646.325459316</v>
      </c>
    </row>
    <row r="331" spans="1:8" x14ac:dyDescent="0.25">
      <c r="A331" s="61"/>
      <c r="B331" s="67"/>
      <c r="C331" s="67"/>
      <c r="D331" s="61"/>
      <c r="E331" s="35" t="str">
        <f t="shared" si="20"/>
        <v/>
      </c>
      <c r="F331" s="35" t="str">
        <f t="shared" si="21"/>
        <v/>
      </c>
      <c r="G331" s="58" t="str">
        <f t="shared" si="22"/>
        <v/>
      </c>
      <c r="H331">
        <f t="shared" si="23"/>
        <v>20925646.325459316</v>
      </c>
    </row>
    <row r="332" spans="1:8" x14ac:dyDescent="0.25">
      <c r="A332" s="61"/>
      <c r="B332" s="67"/>
      <c r="C332" s="67"/>
      <c r="D332" s="61"/>
      <c r="E332" s="35" t="str">
        <f t="shared" si="20"/>
        <v/>
      </c>
      <c r="F332" s="35" t="str">
        <f t="shared" si="21"/>
        <v/>
      </c>
      <c r="G332" s="58" t="str">
        <f t="shared" si="22"/>
        <v/>
      </c>
      <c r="H332">
        <f t="shared" si="23"/>
        <v>20925646.325459316</v>
      </c>
    </row>
    <row r="333" spans="1:8" x14ac:dyDescent="0.25">
      <c r="A333" s="61"/>
      <c r="B333" s="67"/>
      <c r="C333" s="67"/>
      <c r="D333" s="61"/>
      <c r="E333" s="35" t="str">
        <f t="shared" si="20"/>
        <v/>
      </c>
      <c r="F333" s="35" t="str">
        <f t="shared" si="21"/>
        <v/>
      </c>
      <c r="G333" s="58" t="str">
        <f t="shared" si="22"/>
        <v/>
      </c>
      <c r="H333">
        <f t="shared" si="23"/>
        <v>20925646.325459316</v>
      </c>
    </row>
    <row r="334" spans="1:8" x14ac:dyDescent="0.25">
      <c r="A334" s="61"/>
      <c r="B334" s="67"/>
      <c r="C334" s="67"/>
      <c r="D334" s="61"/>
      <c r="E334" s="35" t="str">
        <f t="shared" si="20"/>
        <v/>
      </c>
      <c r="F334" s="35" t="str">
        <f t="shared" si="21"/>
        <v/>
      </c>
      <c r="G334" s="58" t="str">
        <f t="shared" si="22"/>
        <v/>
      </c>
      <c r="H334">
        <f t="shared" si="23"/>
        <v>20925646.325459316</v>
      </c>
    </row>
    <row r="335" spans="1:8" x14ac:dyDescent="0.25">
      <c r="A335" s="61"/>
      <c r="B335" s="67"/>
      <c r="C335" s="67"/>
      <c r="D335" s="61"/>
      <c r="E335" s="35" t="str">
        <f t="shared" si="20"/>
        <v/>
      </c>
      <c r="F335" s="35" t="str">
        <f t="shared" si="21"/>
        <v/>
      </c>
      <c r="G335" s="58" t="str">
        <f t="shared" si="22"/>
        <v/>
      </c>
      <c r="H335">
        <f t="shared" si="23"/>
        <v>20925646.325459316</v>
      </c>
    </row>
    <row r="336" spans="1:8" x14ac:dyDescent="0.25">
      <c r="A336" s="61"/>
      <c r="B336" s="67"/>
      <c r="C336" s="67"/>
      <c r="D336" s="61"/>
      <c r="E336" s="35" t="str">
        <f t="shared" si="20"/>
        <v/>
      </c>
      <c r="F336" s="35" t="str">
        <f t="shared" si="21"/>
        <v/>
      </c>
      <c r="G336" s="58" t="str">
        <f t="shared" si="22"/>
        <v/>
      </c>
      <c r="H336">
        <f t="shared" si="23"/>
        <v>20925646.325459316</v>
      </c>
    </row>
    <row r="337" spans="1:8" x14ac:dyDescent="0.25">
      <c r="A337" s="61"/>
      <c r="B337" s="67"/>
      <c r="C337" s="67"/>
      <c r="D337" s="61"/>
      <c r="E337" s="35" t="str">
        <f t="shared" si="20"/>
        <v/>
      </c>
      <c r="F337" s="35" t="str">
        <f t="shared" si="21"/>
        <v/>
      </c>
      <c r="G337" s="58" t="str">
        <f t="shared" si="22"/>
        <v/>
      </c>
      <c r="H337">
        <f t="shared" si="23"/>
        <v>20925646.325459316</v>
      </c>
    </row>
    <row r="338" spans="1:8" x14ac:dyDescent="0.25">
      <c r="A338" s="61"/>
      <c r="B338" s="67"/>
      <c r="C338" s="67"/>
      <c r="D338" s="61"/>
      <c r="E338" s="35" t="str">
        <f t="shared" si="20"/>
        <v/>
      </c>
      <c r="F338" s="35" t="str">
        <f t="shared" si="21"/>
        <v/>
      </c>
      <c r="G338" s="58" t="str">
        <f t="shared" si="22"/>
        <v/>
      </c>
      <c r="H338">
        <f t="shared" si="23"/>
        <v>20925646.325459316</v>
      </c>
    </row>
    <row r="339" spans="1:8" x14ac:dyDescent="0.25">
      <c r="A339" s="61"/>
      <c r="B339" s="67"/>
      <c r="C339" s="67"/>
      <c r="D339" s="61"/>
      <c r="E339" s="35" t="str">
        <f t="shared" si="20"/>
        <v/>
      </c>
      <c r="F339" s="35" t="str">
        <f t="shared" si="21"/>
        <v/>
      </c>
      <c r="G339" s="58" t="str">
        <f t="shared" si="22"/>
        <v/>
      </c>
      <c r="H339">
        <f t="shared" si="23"/>
        <v>20925646.325459316</v>
      </c>
    </row>
    <row r="340" spans="1:8" x14ac:dyDescent="0.25">
      <c r="A340" s="61"/>
      <c r="B340" s="67"/>
      <c r="C340" s="67"/>
      <c r="D340" s="61"/>
      <c r="E340" s="35" t="str">
        <f t="shared" si="20"/>
        <v/>
      </c>
      <c r="F340" s="35" t="str">
        <f t="shared" si="21"/>
        <v/>
      </c>
      <c r="G340" s="58" t="str">
        <f t="shared" si="22"/>
        <v/>
      </c>
      <c r="H340">
        <f t="shared" si="23"/>
        <v>20925646.325459316</v>
      </c>
    </row>
    <row r="341" spans="1:8" x14ac:dyDescent="0.25">
      <c r="A341" s="61"/>
      <c r="B341" s="67"/>
      <c r="C341" s="67"/>
      <c r="D341" s="61"/>
      <c r="E341" s="35" t="str">
        <f t="shared" si="20"/>
        <v/>
      </c>
      <c r="F341" s="35" t="str">
        <f t="shared" si="21"/>
        <v/>
      </c>
      <c r="G341" s="58" t="str">
        <f t="shared" si="22"/>
        <v/>
      </c>
      <c r="H341">
        <f t="shared" si="23"/>
        <v>20925646.325459316</v>
      </c>
    </row>
    <row r="342" spans="1:8" x14ac:dyDescent="0.25">
      <c r="A342" s="61"/>
      <c r="B342" s="67"/>
      <c r="C342" s="67"/>
      <c r="D342" s="61"/>
      <c r="E342" s="35" t="str">
        <f t="shared" si="20"/>
        <v/>
      </c>
      <c r="F342" s="35" t="str">
        <f t="shared" si="21"/>
        <v/>
      </c>
      <c r="G342" s="58" t="str">
        <f t="shared" si="22"/>
        <v/>
      </c>
      <c r="H342">
        <f t="shared" si="23"/>
        <v>20925646.325459316</v>
      </c>
    </row>
    <row r="343" spans="1:8" x14ac:dyDescent="0.25">
      <c r="A343" s="61"/>
      <c r="B343" s="67"/>
      <c r="C343" s="67"/>
      <c r="D343" s="61"/>
      <c r="E343" s="35" t="str">
        <f t="shared" si="20"/>
        <v/>
      </c>
      <c r="F343" s="35" t="str">
        <f t="shared" si="21"/>
        <v/>
      </c>
      <c r="G343" s="58" t="str">
        <f t="shared" si="22"/>
        <v/>
      </c>
      <c r="H343">
        <f t="shared" si="23"/>
        <v>20925646.325459316</v>
      </c>
    </row>
    <row r="344" spans="1:8" x14ac:dyDescent="0.25">
      <c r="A344" s="61"/>
      <c r="B344" s="67"/>
      <c r="C344" s="67"/>
      <c r="D344" s="61"/>
      <c r="E344" s="35" t="str">
        <f t="shared" si="20"/>
        <v/>
      </c>
      <c r="F344" s="35" t="str">
        <f t="shared" si="21"/>
        <v/>
      </c>
      <c r="G344" s="58" t="str">
        <f t="shared" si="22"/>
        <v/>
      </c>
      <c r="H344">
        <f t="shared" si="23"/>
        <v>20925646.325459316</v>
      </c>
    </row>
    <row r="345" spans="1:8" x14ac:dyDescent="0.25">
      <c r="A345" s="61"/>
      <c r="B345" s="67"/>
      <c r="C345" s="67"/>
      <c r="D345" s="61"/>
      <c r="E345" s="35" t="str">
        <f t="shared" si="20"/>
        <v/>
      </c>
      <c r="F345" s="35" t="str">
        <f t="shared" si="21"/>
        <v/>
      </c>
      <c r="G345" s="58" t="str">
        <f t="shared" si="22"/>
        <v/>
      </c>
      <c r="H345">
        <f t="shared" si="23"/>
        <v>20925646.325459316</v>
      </c>
    </row>
    <row r="346" spans="1:8" x14ac:dyDescent="0.25">
      <c r="A346" s="61"/>
      <c r="B346" s="67"/>
      <c r="C346" s="67"/>
      <c r="D346" s="61"/>
      <c r="E346" s="35" t="str">
        <f t="shared" si="20"/>
        <v/>
      </c>
      <c r="F346" s="35" t="str">
        <f t="shared" si="21"/>
        <v/>
      </c>
      <c r="G346" s="58" t="str">
        <f t="shared" si="22"/>
        <v/>
      </c>
      <c r="H346">
        <f t="shared" si="23"/>
        <v>20925646.325459316</v>
      </c>
    </row>
    <row r="347" spans="1:8" x14ac:dyDescent="0.25">
      <c r="A347" s="61"/>
      <c r="B347" s="67"/>
      <c r="C347" s="67"/>
      <c r="D347" s="61"/>
      <c r="E347" s="35" t="str">
        <f t="shared" si="20"/>
        <v/>
      </c>
      <c r="F347" s="35" t="str">
        <f t="shared" si="21"/>
        <v/>
      </c>
      <c r="G347" s="58" t="str">
        <f t="shared" si="22"/>
        <v/>
      </c>
      <c r="H347">
        <f t="shared" si="23"/>
        <v>20925646.325459316</v>
      </c>
    </row>
    <row r="348" spans="1:8" x14ac:dyDescent="0.25">
      <c r="A348" s="61"/>
      <c r="B348" s="67"/>
      <c r="C348" s="67"/>
      <c r="D348" s="61"/>
      <c r="E348" s="35" t="str">
        <f t="shared" si="20"/>
        <v/>
      </c>
      <c r="F348" s="35" t="str">
        <f t="shared" si="21"/>
        <v/>
      </c>
      <c r="G348" s="58" t="str">
        <f t="shared" si="22"/>
        <v/>
      </c>
      <c r="H348">
        <f t="shared" si="23"/>
        <v>20925646.325459316</v>
      </c>
    </row>
    <row r="349" spans="1:8" x14ac:dyDescent="0.25">
      <c r="A349" s="61"/>
      <c r="B349" s="67"/>
      <c r="C349" s="67"/>
      <c r="D349" s="61"/>
      <c r="E349" s="35" t="str">
        <f t="shared" si="20"/>
        <v/>
      </c>
      <c r="F349" s="35" t="str">
        <f t="shared" si="21"/>
        <v/>
      </c>
      <c r="G349" s="58" t="str">
        <f t="shared" si="22"/>
        <v/>
      </c>
      <c r="H349">
        <f t="shared" si="23"/>
        <v>20925646.325459316</v>
      </c>
    </row>
    <row r="350" spans="1:8" x14ac:dyDescent="0.25">
      <c r="A350" s="61"/>
      <c r="B350" s="67"/>
      <c r="C350" s="67"/>
      <c r="D350" s="61"/>
      <c r="E350" s="35" t="str">
        <f t="shared" si="20"/>
        <v/>
      </c>
      <c r="F350" s="35" t="str">
        <f t="shared" si="21"/>
        <v/>
      </c>
      <c r="G350" s="58" t="str">
        <f t="shared" si="22"/>
        <v/>
      </c>
      <c r="H350">
        <f t="shared" si="23"/>
        <v>20925646.325459316</v>
      </c>
    </row>
    <row r="351" spans="1:8" x14ac:dyDescent="0.25">
      <c r="A351" s="61"/>
      <c r="B351" s="67"/>
      <c r="C351" s="67"/>
      <c r="D351" s="61"/>
      <c r="E351" s="35" t="str">
        <f t="shared" si="20"/>
        <v/>
      </c>
      <c r="F351" s="35" t="str">
        <f t="shared" si="21"/>
        <v/>
      </c>
      <c r="G351" s="58" t="str">
        <f t="shared" si="22"/>
        <v/>
      </c>
      <c r="H351">
        <f t="shared" si="23"/>
        <v>20925646.325459316</v>
      </c>
    </row>
    <row r="352" spans="1:8" x14ac:dyDescent="0.25">
      <c r="A352" s="61"/>
      <c r="B352" s="67"/>
      <c r="C352" s="67"/>
      <c r="D352" s="61"/>
      <c r="E352" s="35" t="str">
        <f t="shared" si="20"/>
        <v/>
      </c>
      <c r="F352" s="35" t="str">
        <f t="shared" si="21"/>
        <v/>
      </c>
      <c r="G352" s="58" t="str">
        <f t="shared" si="22"/>
        <v/>
      </c>
      <c r="H352">
        <f t="shared" si="23"/>
        <v>20925646.325459316</v>
      </c>
    </row>
    <row r="353" spans="1:8" x14ac:dyDescent="0.25">
      <c r="A353" s="61"/>
      <c r="B353" s="67"/>
      <c r="C353" s="67"/>
      <c r="D353" s="61"/>
      <c r="E353" s="35" t="str">
        <f t="shared" si="20"/>
        <v/>
      </c>
      <c r="F353" s="35" t="str">
        <f t="shared" si="21"/>
        <v/>
      </c>
      <c r="G353" s="58" t="str">
        <f t="shared" si="22"/>
        <v/>
      </c>
      <c r="H353">
        <f t="shared" si="23"/>
        <v>20925646.325459316</v>
      </c>
    </row>
    <row r="354" spans="1:8" x14ac:dyDescent="0.25">
      <c r="A354" s="61"/>
      <c r="B354" s="67"/>
      <c r="C354" s="67"/>
      <c r="D354" s="61"/>
      <c r="E354" s="35" t="str">
        <f t="shared" si="20"/>
        <v/>
      </c>
      <c r="F354" s="35" t="str">
        <f t="shared" si="21"/>
        <v/>
      </c>
      <c r="G354" s="58" t="str">
        <f t="shared" si="22"/>
        <v/>
      </c>
      <c r="H354">
        <f t="shared" si="23"/>
        <v>20925646.325459316</v>
      </c>
    </row>
    <row r="355" spans="1:8" x14ac:dyDescent="0.25">
      <c r="A355" s="61"/>
      <c r="B355" s="67"/>
      <c r="C355" s="67"/>
      <c r="D355" s="61"/>
      <c r="E355" s="35" t="str">
        <f t="shared" si="20"/>
        <v/>
      </c>
      <c r="F355" s="35" t="str">
        <f t="shared" si="21"/>
        <v/>
      </c>
      <c r="G355" s="58" t="str">
        <f t="shared" si="22"/>
        <v/>
      </c>
      <c r="H355">
        <f t="shared" si="23"/>
        <v>20925646.325459316</v>
      </c>
    </row>
    <row r="356" spans="1:8" x14ac:dyDescent="0.25">
      <c r="A356" s="61"/>
      <c r="B356" s="67"/>
      <c r="C356" s="67"/>
      <c r="D356" s="61"/>
      <c r="E356" s="35" t="str">
        <f t="shared" si="20"/>
        <v/>
      </c>
      <c r="F356" s="35" t="str">
        <f t="shared" si="21"/>
        <v/>
      </c>
      <c r="G356" s="58" t="str">
        <f t="shared" si="22"/>
        <v/>
      </c>
      <c r="H356">
        <f t="shared" si="23"/>
        <v>20925646.325459316</v>
      </c>
    </row>
    <row r="357" spans="1:8" x14ac:dyDescent="0.25">
      <c r="A357" s="61"/>
      <c r="B357" s="67"/>
      <c r="C357" s="67"/>
      <c r="D357" s="61"/>
      <c r="E357" s="35" t="str">
        <f t="shared" si="20"/>
        <v/>
      </c>
      <c r="F357" s="35" t="str">
        <f t="shared" si="21"/>
        <v/>
      </c>
      <c r="G357" s="58" t="str">
        <f t="shared" si="22"/>
        <v/>
      </c>
      <c r="H357">
        <f t="shared" si="23"/>
        <v>20925646.325459316</v>
      </c>
    </row>
    <row r="358" spans="1:8" x14ac:dyDescent="0.25">
      <c r="A358" s="61"/>
      <c r="B358" s="67"/>
      <c r="C358" s="67"/>
      <c r="D358" s="61"/>
      <c r="E358" s="35" t="str">
        <f t="shared" si="20"/>
        <v/>
      </c>
      <c r="F358" s="35" t="str">
        <f t="shared" si="21"/>
        <v/>
      </c>
      <c r="G358" s="58" t="str">
        <f t="shared" si="22"/>
        <v/>
      </c>
      <c r="H358">
        <f t="shared" si="23"/>
        <v>20925646.325459316</v>
      </c>
    </row>
    <row r="359" spans="1:8" x14ac:dyDescent="0.25">
      <c r="A359" s="61"/>
      <c r="B359" s="67"/>
      <c r="C359" s="67"/>
      <c r="D359" s="61"/>
      <c r="E359" s="35" t="str">
        <f t="shared" si="20"/>
        <v/>
      </c>
      <c r="F359" s="35" t="str">
        <f t="shared" si="21"/>
        <v/>
      </c>
      <c r="G359" s="58" t="str">
        <f t="shared" si="22"/>
        <v/>
      </c>
      <c r="H359">
        <f t="shared" si="23"/>
        <v>20925646.325459316</v>
      </c>
    </row>
    <row r="360" spans="1:8" x14ac:dyDescent="0.25">
      <c r="A360" s="61"/>
      <c r="B360" s="67"/>
      <c r="C360" s="67"/>
      <c r="D360" s="61"/>
      <c r="E360" s="35" t="str">
        <f t="shared" si="20"/>
        <v/>
      </c>
      <c r="F360" s="35" t="str">
        <f t="shared" si="21"/>
        <v/>
      </c>
      <c r="G360" s="58" t="str">
        <f t="shared" si="22"/>
        <v/>
      </c>
      <c r="H360">
        <f t="shared" si="23"/>
        <v>20925646.325459316</v>
      </c>
    </row>
    <row r="361" spans="1:8" x14ac:dyDescent="0.25">
      <c r="A361" s="61"/>
      <c r="B361" s="67"/>
      <c r="C361" s="67"/>
      <c r="D361" s="61"/>
      <c r="E361" s="35" t="str">
        <f t="shared" si="20"/>
        <v/>
      </c>
      <c r="F361" s="35" t="str">
        <f t="shared" si="21"/>
        <v/>
      </c>
      <c r="G361" s="58" t="str">
        <f t="shared" si="22"/>
        <v/>
      </c>
      <c r="H361">
        <f t="shared" si="23"/>
        <v>20925646.325459316</v>
      </c>
    </row>
    <row r="362" spans="1:8" x14ac:dyDescent="0.25">
      <c r="A362" s="61"/>
      <c r="B362" s="67"/>
      <c r="C362" s="67"/>
      <c r="D362" s="61"/>
      <c r="E362" s="35" t="str">
        <f t="shared" si="20"/>
        <v/>
      </c>
      <c r="F362" s="35" t="str">
        <f t="shared" si="21"/>
        <v/>
      </c>
      <c r="G362" s="58" t="str">
        <f t="shared" si="22"/>
        <v/>
      </c>
      <c r="H362">
        <f t="shared" si="23"/>
        <v>20925646.325459316</v>
      </c>
    </row>
    <row r="363" spans="1:8" x14ac:dyDescent="0.25">
      <c r="A363" s="61"/>
      <c r="B363" s="67"/>
      <c r="C363" s="67"/>
      <c r="D363" s="61"/>
      <c r="E363" s="35" t="str">
        <f t="shared" si="20"/>
        <v/>
      </c>
      <c r="F363" s="35" t="str">
        <f t="shared" si="21"/>
        <v/>
      </c>
      <c r="G363" s="58" t="str">
        <f t="shared" si="22"/>
        <v/>
      </c>
      <c r="H363">
        <f t="shared" si="23"/>
        <v>20925646.325459316</v>
      </c>
    </row>
    <row r="364" spans="1:8" x14ac:dyDescent="0.25">
      <c r="A364" s="61"/>
      <c r="B364" s="67"/>
      <c r="C364" s="67"/>
      <c r="D364" s="61"/>
      <c r="E364" s="35" t="str">
        <f t="shared" si="20"/>
        <v/>
      </c>
      <c r="F364" s="35" t="str">
        <f t="shared" si="21"/>
        <v/>
      </c>
      <c r="G364" s="58" t="str">
        <f t="shared" si="22"/>
        <v/>
      </c>
      <c r="H364">
        <f t="shared" si="23"/>
        <v>20925646.325459316</v>
      </c>
    </row>
    <row r="365" spans="1:8" x14ac:dyDescent="0.25">
      <c r="A365" s="61"/>
      <c r="B365" s="67"/>
      <c r="C365" s="67"/>
      <c r="D365" s="61"/>
      <c r="E365" s="35" t="str">
        <f t="shared" si="20"/>
        <v/>
      </c>
      <c r="F365" s="35" t="str">
        <f t="shared" si="21"/>
        <v/>
      </c>
      <c r="G365" s="58" t="str">
        <f t="shared" si="22"/>
        <v/>
      </c>
      <c r="H365">
        <f t="shared" si="23"/>
        <v>20925646.325459316</v>
      </c>
    </row>
    <row r="366" spans="1:8" x14ac:dyDescent="0.25">
      <c r="A366" s="61"/>
      <c r="B366" s="67"/>
      <c r="C366" s="67"/>
      <c r="D366" s="61"/>
      <c r="E366" s="35" t="str">
        <f t="shared" si="20"/>
        <v/>
      </c>
      <c r="F366" s="35" t="str">
        <f t="shared" si="21"/>
        <v/>
      </c>
      <c r="G366" s="58" t="str">
        <f t="shared" si="22"/>
        <v/>
      </c>
      <c r="H366">
        <f t="shared" si="23"/>
        <v>20925646.325459316</v>
      </c>
    </row>
    <row r="367" spans="1:8" x14ac:dyDescent="0.25">
      <c r="A367" s="61"/>
      <c r="B367" s="67"/>
      <c r="C367" s="67"/>
      <c r="D367" s="61"/>
      <c r="E367" s="35" t="str">
        <f t="shared" si="20"/>
        <v/>
      </c>
      <c r="F367" s="35" t="str">
        <f t="shared" si="21"/>
        <v/>
      </c>
      <c r="G367" s="58" t="str">
        <f t="shared" si="22"/>
        <v/>
      </c>
      <c r="H367">
        <f t="shared" si="23"/>
        <v>20925646.325459316</v>
      </c>
    </row>
    <row r="368" spans="1:8" x14ac:dyDescent="0.25">
      <c r="A368" s="61"/>
      <c r="B368" s="67"/>
      <c r="C368" s="67"/>
      <c r="D368" s="61"/>
      <c r="E368" s="35" t="str">
        <f t="shared" si="20"/>
        <v/>
      </c>
      <c r="F368" s="35" t="str">
        <f t="shared" si="21"/>
        <v/>
      </c>
      <c r="G368" s="58" t="str">
        <f t="shared" si="22"/>
        <v/>
      </c>
      <c r="H368">
        <f t="shared" si="23"/>
        <v>20925646.325459316</v>
      </c>
    </row>
    <row r="369" spans="1:8" x14ac:dyDescent="0.25">
      <c r="A369" s="61"/>
      <c r="B369" s="67"/>
      <c r="C369" s="67"/>
      <c r="D369" s="61"/>
      <c r="E369" s="35" t="str">
        <f t="shared" si="20"/>
        <v/>
      </c>
      <c r="F369" s="35" t="str">
        <f t="shared" si="21"/>
        <v/>
      </c>
      <c r="G369" s="58" t="str">
        <f t="shared" si="22"/>
        <v/>
      </c>
      <c r="H369">
        <f t="shared" si="23"/>
        <v>20925646.325459316</v>
      </c>
    </row>
    <row r="370" spans="1:8" x14ac:dyDescent="0.25">
      <c r="A370" s="61"/>
      <c r="B370" s="67"/>
      <c r="C370" s="67"/>
      <c r="D370" s="61"/>
      <c r="E370" s="35" t="str">
        <f t="shared" si="20"/>
        <v/>
      </c>
      <c r="F370" s="35" t="str">
        <f t="shared" si="21"/>
        <v/>
      </c>
      <c r="G370" s="58" t="str">
        <f t="shared" si="22"/>
        <v/>
      </c>
      <c r="H370">
        <f t="shared" si="23"/>
        <v>20925646.325459316</v>
      </c>
    </row>
    <row r="371" spans="1:8" x14ac:dyDescent="0.25">
      <c r="A371" s="61"/>
      <c r="B371" s="67"/>
      <c r="C371" s="67"/>
      <c r="D371" s="61"/>
      <c r="E371" s="35" t="str">
        <f t="shared" si="20"/>
        <v/>
      </c>
      <c r="F371" s="35" t="str">
        <f t="shared" si="21"/>
        <v/>
      </c>
      <c r="G371" s="58" t="str">
        <f t="shared" si="22"/>
        <v/>
      </c>
      <c r="H371">
        <f t="shared" si="23"/>
        <v>20925646.325459316</v>
      </c>
    </row>
    <row r="372" spans="1:8" x14ac:dyDescent="0.25">
      <c r="A372" s="61"/>
      <c r="B372" s="67"/>
      <c r="C372" s="67"/>
      <c r="D372" s="61"/>
      <c r="E372" s="35" t="str">
        <f t="shared" si="20"/>
        <v/>
      </c>
      <c r="F372" s="35" t="str">
        <f t="shared" si="21"/>
        <v/>
      </c>
      <c r="G372" s="58" t="str">
        <f t="shared" si="22"/>
        <v/>
      </c>
      <c r="H372">
        <f t="shared" si="23"/>
        <v>20925646.325459316</v>
      </c>
    </row>
    <row r="373" spans="1:8" x14ac:dyDescent="0.25">
      <c r="A373" s="61"/>
      <c r="B373" s="67"/>
      <c r="C373" s="67"/>
      <c r="D373" s="61"/>
      <c r="E373" s="35" t="str">
        <f t="shared" si="20"/>
        <v/>
      </c>
      <c r="F373" s="35" t="str">
        <f t="shared" si="21"/>
        <v/>
      </c>
      <c r="G373" s="58" t="str">
        <f t="shared" si="22"/>
        <v/>
      </c>
      <c r="H373">
        <f t="shared" si="23"/>
        <v>20925646.325459316</v>
      </c>
    </row>
    <row r="374" spans="1:8" x14ac:dyDescent="0.25">
      <c r="A374" s="61"/>
      <c r="B374" s="67"/>
      <c r="C374" s="67"/>
      <c r="D374" s="61"/>
      <c r="E374" s="35" t="str">
        <f t="shared" si="20"/>
        <v/>
      </c>
      <c r="F374" s="35" t="str">
        <f t="shared" si="21"/>
        <v/>
      </c>
      <c r="G374" s="58" t="str">
        <f t="shared" si="22"/>
        <v/>
      </c>
      <c r="H374">
        <f t="shared" si="23"/>
        <v>20925646.325459316</v>
      </c>
    </row>
    <row r="375" spans="1:8" x14ac:dyDescent="0.25">
      <c r="A375" s="61"/>
      <c r="B375" s="67"/>
      <c r="C375" s="67"/>
      <c r="D375" s="61"/>
      <c r="E375" s="35" t="str">
        <f t="shared" si="20"/>
        <v/>
      </c>
      <c r="F375" s="35" t="str">
        <f t="shared" si="21"/>
        <v/>
      </c>
      <c r="G375" s="58" t="str">
        <f t="shared" si="22"/>
        <v/>
      </c>
      <c r="H375">
        <f t="shared" si="23"/>
        <v>20925646.325459316</v>
      </c>
    </row>
    <row r="376" spans="1:8" x14ac:dyDescent="0.25">
      <c r="A376" s="61"/>
      <c r="B376" s="67"/>
      <c r="C376" s="67"/>
      <c r="D376" s="61"/>
      <c r="E376" s="35" t="str">
        <f t="shared" si="20"/>
        <v/>
      </c>
      <c r="F376" s="35" t="str">
        <f t="shared" si="21"/>
        <v/>
      </c>
      <c r="G376" s="58" t="str">
        <f t="shared" si="22"/>
        <v/>
      </c>
      <c r="H376">
        <f t="shared" si="23"/>
        <v>20925646.325459316</v>
      </c>
    </row>
    <row r="377" spans="1:8" x14ac:dyDescent="0.25">
      <c r="A377" s="61"/>
      <c r="B377" s="67"/>
      <c r="C377" s="67"/>
      <c r="D377" s="61"/>
      <c r="E377" s="35" t="str">
        <f t="shared" si="20"/>
        <v/>
      </c>
      <c r="F377" s="35" t="str">
        <f t="shared" si="21"/>
        <v/>
      </c>
      <c r="G377" s="58" t="str">
        <f t="shared" si="22"/>
        <v/>
      </c>
      <c r="H377">
        <f t="shared" si="23"/>
        <v>20925646.325459316</v>
      </c>
    </row>
    <row r="378" spans="1:8" x14ac:dyDescent="0.25">
      <c r="A378" s="61"/>
      <c r="B378" s="67"/>
      <c r="C378" s="67"/>
      <c r="D378" s="61"/>
      <c r="E378" s="35" t="str">
        <f t="shared" si="20"/>
        <v/>
      </c>
      <c r="F378" s="35" t="str">
        <f t="shared" si="21"/>
        <v/>
      </c>
      <c r="G378" s="58" t="str">
        <f t="shared" si="22"/>
        <v/>
      </c>
      <c r="H378">
        <f t="shared" si="23"/>
        <v>20925646.325459316</v>
      </c>
    </row>
    <row r="379" spans="1:8" x14ac:dyDescent="0.25">
      <c r="A379" s="61"/>
      <c r="B379" s="67"/>
      <c r="C379" s="67"/>
      <c r="D379" s="61"/>
      <c r="E379" s="35" t="str">
        <f t="shared" si="20"/>
        <v/>
      </c>
      <c r="F379" s="35" t="str">
        <f t="shared" si="21"/>
        <v/>
      </c>
      <c r="G379" s="58" t="str">
        <f t="shared" si="22"/>
        <v/>
      </c>
      <c r="H379">
        <f t="shared" si="23"/>
        <v>20925646.325459316</v>
      </c>
    </row>
    <row r="380" spans="1:8" x14ac:dyDescent="0.25">
      <c r="A380" s="61"/>
      <c r="B380" s="67"/>
      <c r="C380" s="67"/>
      <c r="D380" s="61"/>
      <c r="E380" s="35" t="str">
        <f t="shared" si="20"/>
        <v/>
      </c>
      <c r="F380" s="35" t="str">
        <f t="shared" si="21"/>
        <v/>
      </c>
      <c r="G380" s="58" t="str">
        <f t="shared" si="22"/>
        <v/>
      </c>
      <c r="H380">
        <f t="shared" si="23"/>
        <v>20925646.325459316</v>
      </c>
    </row>
    <row r="381" spans="1:8" x14ac:dyDescent="0.25">
      <c r="A381" s="61"/>
      <c r="B381" s="67"/>
      <c r="C381" s="67"/>
      <c r="D381" s="61"/>
      <c r="E381" s="35" t="str">
        <f t="shared" si="20"/>
        <v/>
      </c>
      <c r="F381" s="35" t="str">
        <f t="shared" si="21"/>
        <v/>
      </c>
      <c r="G381" s="58" t="str">
        <f t="shared" si="22"/>
        <v/>
      </c>
      <c r="H381">
        <f t="shared" si="23"/>
        <v>20925646.325459316</v>
      </c>
    </row>
    <row r="382" spans="1:8" x14ac:dyDescent="0.25">
      <c r="A382" s="61"/>
      <c r="B382" s="67"/>
      <c r="C382" s="67"/>
      <c r="D382" s="61"/>
      <c r="E382" s="35" t="str">
        <f t="shared" si="20"/>
        <v/>
      </c>
      <c r="F382" s="35" t="str">
        <f t="shared" si="21"/>
        <v/>
      </c>
      <c r="G382" s="58" t="str">
        <f t="shared" si="22"/>
        <v/>
      </c>
      <c r="H382">
        <f t="shared" si="23"/>
        <v>20925646.325459316</v>
      </c>
    </row>
    <row r="383" spans="1:8" x14ac:dyDescent="0.25">
      <c r="A383" s="61"/>
      <c r="B383" s="67"/>
      <c r="C383" s="67"/>
      <c r="D383" s="61"/>
      <c r="E383" s="35" t="str">
        <f t="shared" si="20"/>
        <v/>
      </c>
      <c r="F383" s="35" t="str">
        <f t="shared" si="21"/>
        <v/>
      </c>
      <c r="G383" s="58" t="str">
        <f t="shared" si="22"/>
        <v/>
      </c>
      <c r="H383">
        <f t="shared" si="23"/>
        <v>20925646.325459316</v>
      </c>
    </row>
    <row r="384" spans="1:8" x14ac:dyDescent="0.25">
      <c r="A384" s="61"/>
      <c r="B384" s="67"/>
      <c r="C384" s="67"/>
      <c r="D384" s="61"/>
      <c r="E384" s="35" t="str">
        <f t="shared" si="20"/>
        <v/>
      </c>
      <c r="F384" s="35" t="str">
        <f t="shared" si="21"/>
        <v/>
      </c>
      <c r="G384" s="58" t="str">
        <f t="shared" si="22"/>
        <v/>
      </c>
      <c r="H384">
        <f t="shared" si="23"/>
        <v>20925646.325459316</v>
      </c>
    </row>
    <row r="385" spans="1:8" x14ac:dyDescent="0.25">
      <c r="A385" s="61"/>
      <c r="B385" s="67"/>
      <c r="C385" s="67"/>
      <c r="D385" s="61"/>
      <c r="E385" s="35" t="str">
        <f t="shared" si="20"/>
        <v/>
      </c>
      <c r="F385" s="35" t="str">
        <f t="shared" si="21"/>
        <v/>
      </c>
      <c r="G385" s="58" t="str">
        <f t="shared" si="22"/>
        <v/>
      </c>
      <c r="H385">
        <f t="shared" si="23"/>
        <v>20925646.325459316</v>
      </c>
    </row>
    <row r="386" spans="1:8" x14ac:dyDescent="0.25">
      <c r="A386" s="61"/>
      <c r="B386" s="67"/>
      <c r="C386" s="67"/>
      <c r="D386" s="61"/>
      <c r="E386" s="35" t="str">
        <f t="shared" si="20"/>
        <v/>
      </c>
      <c r="F386" s="35" t="str">
        <f t="shared" si="21"/>
        <v/>
      </c>
      <c r="G386" s="58" t="str">
        <f t="shared" si="22"/>
        <v/>
      </c>
      <c r="H386">
        <f t="shared" si="23"/>
        <v>20925646.325459316</v>
      </c>
    </row>
    <row r="387" spans="1:8" x14ac:dyDescent="0.25">
      <c r="A387" s="61"/>
      <c r="B387" s="67"/>
      <c r="C387" s="67"/>
      <c r="D387" s="61"/>
      <c r="E387" s="35" t="str">
        <f t="shared" ref="E387:E450" si="24">IF(B387&lt;&gt;"",(H387+D387)*COS(RADIANS(HMSTOHDD(B387)))*COS(RADIANS(HMSTOHDD(-C387))),"")</f>
        <v/>
      </c>
      <c r="F387" s="35" t="str">
        <f t="shared" ref="F387:F450" si="25">IF(B387&lt;&gt;"",(H387+D387)*COS(RADIANS(HMSTOHDD(B387)))*SIN(RADIANS(HMSTOHDD(-C387))),"")</f>
        <v/>
      </c>
      <c r="G387" s="58" t="str">
        <f t="shared" si="22"/>
        <v/>
      </c>
      <c r="H387">
        <f t="shared" si="23"/>
        <v>20925646.325459316</v>
      </c>
    </row>
    <row r="388" spans="1:8" x14ac:dyDescent="0.25">
      <c r="A388" s="61"/>
      <c r="B388" s="67"/>
      <c r="C388" s="67"/>
      <c r="D388" s="61"/>
      <c r="E388" s="35" t="str">
        <f t="shared" si="24"/>
        <v/>
      </c>
      <c r="F388" s="35" t="str">
        <f t="shared" si="25"/>
        <v/>
      </c>
      <c r="G388" s="58" t="str">
        <f t="shared" ref="G388:G451" si="26">IF(B388&lt;&gt;"",SIN(RADIANS(HMSTOHDD(B388)))*(H388*(1-$M$4)+D388),"")</f>
        <v/>
      </c>
      <c r="H388">
        <f t="shared" ref="H388:H451" si="27">$M$2/(1-$M$4*(SIN(RADIANS(HMSTOHDD(B388))))^2)^0.5</f>
        <v>20925646.325459316</v>
      </c>
    </row>
    <row r="389" spans="1:8" x14ac:dyDescent="0.25">
      <c r="A389" s="61"/>
      <c r="B389" s="67"/>
      <c r="C389" s="67"/>
      <c r="D389" s="61"/>
      <c r="E389" s="35" t="str">
        <f t="shared" si="24"/>
        <v/>
      </c>
      <c r="F389" s="35" t="str">
        <f t="shared" si="25"/>
        <v/>
      </c>
      <c r="G389" s="58" t="str">
        <f t="shared" si="26"/>
        <v/>
      </c>
      <c r="H389">
        <f t="shared" si="27"/>
        <v>20925646.325459316</v>
      </c>
    </row>
    <row r="390" spans="1:8" x14ac:dyDescent="0.25">
      <c r="A390" s="61"/>
      <c r="B390" s="67"/>
      <c r="C390" s="67"/>
      <c r="D390" s="61"/>
      <c r="E390" s="35" t="str">
        <f t="shared" si="24"/>
        <v/>
      </c>
      <c r="F390" s="35" t="str">
        <f t="shared" si="25"/>
        <v/>
      </c>
      <c r="G390" s="58" t="str">
        <f t="shared" si="26"/>
        <v/>
      </c>
      <c r="H390">
        <f t="shared" si="27"/>
        <v>20925646.325459316</v>
      </c>
    </row>
    <row r="391" spans="1:8" x14ac:dyDescent="0.25">
      <c r="A391" s="61"/>
      <c r="B391" s="67"/>
      <c r="C391" s="67"/>
      <c r="D391" s="61"/>
      <c r="E391" s="35" t="str">
        <f t="shared" si="24"/>
        <v/>
      </c>
      <c r="F391" s="35" t="str">
        <f t="shared" si="25"/>
        <v/>
      </c>
      <c r="G391" s="58" t="str">
        <f t="shared" si="26"/>
        <v/>
      </c>
      <c r="H391">
        <f t="shared" si="27"/>
        <v>20925646.325459316</v>
      </c>
    </row>
    <row r="392" spans="1:8" x14ac:dyDescent="0.25">
      <c r="A392" s="61"/>
      <c r="B392" s="67"/>
      <c r="C392" s="67"/>
      <c r="D392" s="61"/>
      <c r="E392" s="35" t="str">
        <f t="shared" si="24"/>
        <v/>
      </c>
      <c r="F392" s="35" t="str">
        <f t="shared" si="25"/>
        <v/>
      </c>
      <c r="G392" s="58" t="str">
        <f t="shared" si="26"/>
        <v/>
      </c>
      <c r="H392">
        <f t="shared" si="27"/>
        <v>20925646.325459316</v>
      </c>
    </row>
    <row r="393" spans="1:8" x14ac:dyDescent="0.25">
      <c r="A393" s="61"/>
      <c r="B393" s="67"/>
      <c r="C393" s="67"/>
      <c r="D393" s="61"/>
      <c r="E393" s="35" t="str">
        <f t="shared" si="24"/>
        <v/>
      </c>
      <c r="F393" s="35" t="str">
        <f t="shared" si="25"/>
        <v/>
      </c>
      <c r="G393" s="58" t="str">
        <f t="shared" si="26"/>
        <v/>
      </c>
      <c r="H393">
        <f t="shared" si="27"/>
        <v>20925646.325459316</v>
      </c>
    </row>
    <row r="394" spans="1:8" x14ac:dyDescent="0.25">
      <c r="A394" s="61"/>
      <c r="B394" s="67"/>
      <c r="C394" s="67"/>
      <c r="D394" s="61"/>
      <c r="E394" s="35" t="str">
        <f t="shared" si="24"/>
        <v/>
      </c>
      <c r="F394" s="35" t="str">
        <f t="shared" si="25"/>
        <v/>
      </c>
      <c r="G394" s="58" t="str">
        <f t="shared" si="26"/>
        <v/>
      </c>
      <c r="H394">
        <f t="shared" si="27"/>
        <v>20925646.325459316</v>
      </c>
    </row>
    <row r="395" spans="1:8" x14ac:dyDescent="0.25">
      <c r="A395" s="61"/>
      <c r="B395" s="67"/>
      <c r="C395" s="67"/>
      <c r="D395" s="61"/>
      <c r="E395" s="35" t="str">
        <f t="shared" si="24"/>
        <v/>
      </c>
      <c r="F395" s="35" t="str">
        <f t="shared" si="25"/>
        <v/>
      </c>
      <c r="G395" s="58" t="str">
        <f t="shared" si="26"/>
        <v/>
      </c>
      <c r="H395">
        <f t="shared" si="27"/>
        <v>20925646.325459316</v>
      </c>
    </row>
    <row r="396" spans="1:8" x14ac:dyDescent="0.25">
      <c r="A396" s="61"/>
      <c r="B396" s="67"/>
      <c r="C396" s="67"/>
      <c r="D396" s="61"/>
      <c r="E396" s="35" t="str">
        <f t="shared" si="24"/>
        <v/>
      </c>
      <c r="F396" s="35" t="str">
        <f t="shared" si="25"/>
        <v/>
      </c>
      <c r="G396" s="58" t="str">
        <f t="shared" si="26"/>
        <v/>
      </c>
      <c r="H396">
        <f t="shared" si="27"/>
        <v>20925646.325459316</v>
      </c>
    </row>
    <row r="397" spans="1:8" x14ac:dyDescent="0.25">
      <c r="A397" s="61"/>
      <c r="B397" s="67"/>
      <c r="C397" s="67"/>
      <c r="D397" s="61"/>
      <c r="E397" s="35" t="str">
        <f t="shared" si="24"/>
        <v/>
      </c>
      <c r="F397" s="35" t="str">
        <f t="shared" si="25"/>
        <v/>
      </c>
      <c r="G397" s="58" t="str">
        <f t="shared" si="26"/>
        <v/>
      </c>
      <c r="H397">
        <f t="shared" si="27"/>
        <v>20925646.325459316</v>
      </c>
    </row>
    <row r="398" spans="1:8" x14ac:dyDescent="0.25">
      <c r="A398" s="61"/>
      <c r="B398" s="67"/>
      <c r="C398" s="67"/>
      <c r="D398" s="61"/>
      <c r="E398" s="35" t="str">
        <f t="shared" si="24"/>
        <v/>
      </c>
      <c r="F398" s="35" t="str">
        <f t="shared" si="25"/>
        <v/>
      </c>
      <c r="G398" s="58" t="str">
        <f t="shared" si="26"/>
        <v/>
      </c>
      <c r="H398">
        <f t="shared" si="27"/>
        <v>20925646.325459316</v>
      </c>
    </row>
    <row r="399" spans="1:8" x14ac:dyDescent="0.25">
      <c r="A399" s="61"/>
      <c r="B399" s="67"/>
      <c r="C399" s="67"/>
      <c r="D399" s="61"/>
      <c r="E399" s="35" t="str">
        <f t="shared" si="24"/>
        <v/>
      </c>
      <c r="F399" s="35" t="str">
        <f t="shared" si="25"/>
        <v/>
      </c>
      <c r="G399" s="58" t="str">
        <f t="shared" si="26"/>
        <v/>
      </c>
      <c r="H399">
        <f t="shared" si="27"/>
        <v>20925646.325459316</v>
      </c>
    </row>
    <row r="400" spans="1:8" x14ac:dyDescent="0.25">
      <c r="A400" s="61"/>
      <c r="B400" s="67"/>
      <c r="C400" s="67"/>
      <c r="D400" s="61"/>
      <c r="E400" s="35" t="str">
        <f t="shared" si="24"/>
        <v/>
      </c>
      <c r="F400" s="35" t="str">
        <f t="shared" si="25"/>
        <v/>
      </c>
      <c r="G400" s="58" t="str">
        <f t="shared" si="26"/>
        <v/>
      </c>
      <c r="H400">
        <f t="shared" si="27"/>
        <v>20925646.325459316</v>
      </c>
    </row>
    <row r="401" spans="1:8" x14ac:dyDescent="0.25">
      <c r="A401" s="61"/>
      <c r="B401" s="67"/>
      <c r="C401" s="67"/>
      <c r="D401" s="61"/>
      <c r="E401" s="35" t="str">
        <f t="shared" si="24"/>
        <v/>
      </c>
      <c r="F401" s="35" t="str">
        <f t="shared" si="25"/>
        <v/>
      </c>
      <c r="G401" s="58" t="str">
        <f t="shared" si="26"/>
        <v/>
      </c>
      <c r="H401">
        <f t="shared" si="27"/>
        <v>20925646.325459316</v>
      </c>
    </row>
    <row r="402" spans="1:8" x14ac:dyDescent="0.25">
      <c r="A402" s="61"/>
      <c r="B402" s="67"/>
      <c r="C402" s="67"/>
      <c r="D402" s="61"/>
      <c r="E402" s="35" t="str">
        <f t="shared" si="24"/>
        <v/>
      </c>
      <c r="F402" s="35" t="str">
        <f t="shared" si="25"/>
        <v/>
      </c>
      <c r="G402" s="58" t="str">
        <f t="shared" si="26"/>
        <v/>
      </c>
      <c r="H402">
        <f t="shared" si="27"/>
        <v>20925646.325459316</v>
      </c>
    </row>
    <row r="403" spans="1:8" x14ac:dyDescent="0.25">
      <c r="A403" s="61"/>
      <c r="B403" s="67"/>
      <c r="C403" s="67"/>
      <c r="D403" s="61"/>
      <c r="E403" s="35" t="str">
        <f t="shared" si="24"/>
        <v/>
      </c>
      <c r="F403" s="35" t="str">
        <f t="shared" si="25"/>
        <v/>
      </c>
      <c r="G403" s="58" t="str">
        <f t="shared" si="26"/>
        <v/>
      </c>
      <c r="H403">
        <f t="shared" si="27"/>
        <v>20925646.325459316</v>
      </c>
    </row>
    <row r="404" spans="1:8" x14ac:dyDescent="0.25">
      <c r="A404" s="61"/>
      <c r="B404" s="67"/>
      <c r="C404" s="67"/>
      <c r="D404" s="61"/>
      <c r="E404" s="35" t="str">
        <f t="shared" si="24"/>
        <v/>
      </c>
      <c r="F404" s="35" t="str">
        <f t="shared" si="25"/>
        <v/>
      </c>
      <c r="G404" s="58" t="str">
        <f t="shared" si="26"/>
        <v/>
      </c>
      <c r="H404">
        <f t="shared" si="27"/>
        <v>20925646.325459316</v>
      </c>
    </row>
    <row r="405" spans="1:8" x14ac:dyDescent="0.25">
      <c r="A405" s="61"/>
      <c r="B405" s="67"/>
      <c r="C405" s="67"/>
      <c r="D405" s="61"/>
      <c r="E405" s="35" t="str">
        <f t="shared" si="24"/>
        <v/>
      </c>
      <c r="F405" s="35" t="str">
        <f t="shared" si="25"/>
        <v/>
      </c>
      <c r="G405" s="58" t="str">
        <f t="shared" si="26"/>
        <v/>
      </c>
      <c r="H405">
        <f t="shared" si="27"/>
        <v>20925646.325459316</v>
      </c>
    </row>
    <row r="406" spans="1:8" x14ac:dyDescent="0.25">
      <c r="A406" s="61"/>
      <c r="B406" s="67"/>
      <c r="C406" s="67"/>
      <c r="D406" s="61"/>
      <c r="E406" s="35" t="str">
        <f t="shared" si="24"/>
        <v/>
      </c>
      <c r="F406" s="35" t="str">
        <f t="shared" si="25"/>
        <v/>
      </c>
      <c r="G406" s="58" t="str">
        <f t="shared" si="26"/>
        <v/>
      </c>
      <c r="H406">
        <f t="shared" si="27"/>
        <v>20925646.325459316</v>
      </c>
    </row>
    <row r="407" spans="1:8" x14ac:dyDescent="0.25">
      <c r="A407" s="61"/>
      <c r="B407" s="67"/>
      <c r="C407" s="67"/>
      <c r="D407" s="61"/>
      <c r="E407" s="35" t="str">
        <f t="shared" si="24"/>
        <v/>
      </c>
      <c r="F407" s="35" t="str">
        <f t="shared" si="25"/>
        <v/>
      </c>
      <c r="G407" s="58" t="str">
        <f t="shared" si="26"/>
        <v/>
      </c>
      <c r="H407">
        <f t="shared" si="27"/>
        <v>20925646.325459316</v>
      </c>
    </row>
    <row r="408" spans="1:8" x14ac:dyDescent="0.25">
      <c r="A408" s="61"/>
      <c r="B408" s="67"/>
      <c r="C408" s="67"/>
      <c r="D408" s="61"/>
      <c r="E408" s="35" t="str">
        <f t="shared" si="24"/>
        <v/>
      </c>
      <c r="F408" s="35" t="str">
        <f t="shared" si="25"/>
        <v/>
      </c>
      <c r="G408" s="58" t="str">
        <f t="shared" si="26"/>
        <v/>
      </c>
      <c r="H408">
        <f t="shared" si="27"/>
        <v>20925646.325459316</v>
      </c>
    </row>
    <row r="409" spans="1:8" x14ac:dyDescent="0.25">
      <c r="A409" s="61"/>
      <c r="B409" s="67"/>
      <c r="C409" s="67"/>
      <c r="D409" s="61"/>
      <c r="E409" s="35" t="str">
        <f t="shared" si="24"/>
        <v/>
      </c>
      <c r="F409" s="35" t="str">
        <f t="shared" si="25"/>
        <v/>
      </c>
      <c r="G409" s="58" t="str">
        <f t="shared" si="26"/>
        <v/>
      </c>
      <c r="H409">
        <f t="shared" si="27"/>
        <v>20925646.325459316</v>
      </c>
    </row>
    <row r="410" spans="1:8" x14ac:dyDescent="0.25">
      <c r="A410" s="61"/>
      <c r="B410" s="67"/>
      <c r="C410" s="67"/>
      <c r="D410" s="61"/>
      <c r="E410" s="35" t="str">
        <f t="shared" si="24"/>
        <v/>
      </c>
      <c r="F410" s="35" t="str">
        <f t="shared" si="25"/>
        <v/>
      </c>
      <c r="G410" s="58" t="str">
        <f t="shared" si="26"/>
        <v/>
      </c>
      <c r="H410">
        <f t="shared" si="27"/>
        <v>20925646.325459316</v>
      </c>
    </row>
    <row r="411" spans="1:8" x14ac:dyDescent="0.25">
      <c r="A411" s="61"/>
      <c r="B411" s="67"/>
      <c r="C411" s="67"/>
      <c r="D411" s="61"/>
      <c r="E411" s="35" t="str">
        <f t="shared" si="24"/>
        <v/>
      </c>
      <c r="F411" s="35" t="str">
        <f t="shared" si="25"/>
        <v/>
      </c>
      <c r="G411" s="58" t="str">
        <f t="shared" si="26"/>
        <v/>
      </c>
      <c r="H411">
        <f t="shared" si="27"/>
        <v>20925646.325459316</v>
      </c>
    </row>
    <row r="412" spans="1:8" x14ac:dyDescent="0.25">
      <c r="A412" s="61"/>
      <c r="B412" s="67"/>
      <c r="C412" s="67"/>
      <c r="D412" s="61"/>
      <c r="E412" s="35" t="str">
        <f t="shared" si="24"/>
        <v/>
      </c>
      <c r="F412" s="35" t="str">
        <f t="shared" si="25"/>
        <v/>
      </c>
      <c r="G412" s="58" t="str">
        <f t="shared" si="26"/>
        <v/>
      </c>
      <c r="H412">
        <f t="shared" si="27"/>
        <v>20925646.325459316</v>
      </c>
    </row>
    <row r="413" spans="1:8" x14ac:dyDescent="0.25">
      <c r="A413" s="61"/>
      <c r="B413" s="67"/>
      <c r="C413" s="67"/>
      <c r="D413" s="61"/>
      <c r="E413" s="35" t="str">
        <f t="shared" si="24"/>
        <v/>
      </c>
      <c r="F413" s="35" t="str">
        <f t="shared" si="25"/>
        <v/>
      </c>
      <c r="G413" s="58" t="str">
        <f t="shared" si="26"/>
        <v/>
      </c>
      <c r="H413">
        <f t="shared" si="27"/>
        <v>20925646.325459316</v>
      </c>
    </row>
    <row r="414" spans="1:8" x14ac:dyDescent="0.25">
      <c r="A414" s="61"/>
      <c r="B414" s="67"/>
      <c r="C414" s="67"/>
      <c r="D414" s="61"/>
      <c r="E414" s="35" t="str">
        <f t="shared" si="24"/>
        <v/>
      </c>
      <c r="F414" s="35" t="str">
        <f t="shared" si="25"/>
        <v/>
      </c>
      <c r="G414" s="58" t="str">
        <f t="shared" si="26"/>
        <v/>
      </c>
      <c r="H414">
        <f t="shared" si="27"/>
        <v>20925646.325459316</v>
      </c>
    </row>
    <row r="415" spans="1:8" x14ac:dyDescent="0.25">
      <c r="A415" s="61"/>
      <c r="B415" s="67"/>
      <c r="C415" s="67"/>
      <c r="D415" s="61"/>
      <c r="E415" s="35" t="str">
        <f t="shared" si="24"/>
        <v/>
      </c>
      <c r="F415" s="35" t="str">
        <f t="shared" si="25"/>
        <v/>
      </c>
      <c r="G415" s="58" t="str">
        <f t="shared" si="26"/>
        <v/>
      </c>
      <c r="H415">
        <f t="shared" si="27"/>
        <v>20925646.325459316</v>
      </c>
    </row>
    <row r="416" spans="1:8" x14ac:dyDescent="0.25">
      <c r="A416" s="61"/>
      <c r="B416" s="67"/>
      <c r="C416" s="67"/>
      <c r="D416" s="61"/>
      <c r="E416" s="35" t="str">
        <f t="shared" si="24"/>
        <v/>
      </c>
      <c r="F416" s="35" t="str">
        <f t="shared" si="25"/>
        <v/>
      </c>
      <c r="G416" s="58" t="str">
        <f t="shared" si="26"/>
        <v/>
      </c>
      <c r="H416">
        <f t="shared" si="27"/>
        <v>20925646.325459316</v>
      </c>
    </row>
    <row r="417" spans="1:8" x14ac:dyDescent="0.25">
      <c r="A417" s="61"/>
      <c r="B417" s="67"/>
      <c r="C417" s="67"/>
      <c r="D417" s="61"/>
      <c r="E417" s="35" t="str">
        <f t="shared" si="24"/>
        <v/>
      </c>
      <c r="F417" s="35" t="str">
        <f t="shared" si="25"/>
        <v/>
      </c>
      <c r="G417" s="58" t="str">
        <f t="shared" si="26"/>
        <v/>
      </c>
      <c r="H417">
        <f t="shared" si="27"/>
        <v>20925646.325459316</v>
      </c>
    </row>
    <row r="418" spans="1:8" x14ac:dyDescent="0.25">
      <c r="A418" s="61"/>
      <c r="B418" s="67"/>
      <c r="C418" s="67"/>
      <c r="D418" s="61"/>
      <c r="E418" s="35" t="str">
        <f t="shared" si="24"/>
        <v/>
      </c>
      <c r="F418" s="35" t="str">
        <f t="shared" si="25"/>
        <v/>
      </c>
      <c r="G418" s="58" t="str">
        <f t="shared" si="26"/>
        <v/>
      </c>
      <c r="H418">
        <f t="shared" si="27"/>
        <v>20925646.325459316</v>
      </c>
    </row>
    <row r="419" spans="1:8" x14ac:dyDescent="0.25">
      <c r="A419" s="61"/>
      <c r="B419" s="67"/>
      <c r="C419" s="67"/>
      <c r="D419" s="61"/>
      <c r="E419" s="35" t="str">
        <f t="shared" si="24"/>
        <v/>
      </c>
      <c r="F419" s="35" t="str">
        <f t="shared" si="25"/>
        <v/>
      </c>
      <c r="G419" s="58" t="str">
        <f t="shared" si="26"/>
        <v/>
      </c>
      <c r="H419">
        <f t="shared" si="27"/>
        <v>20925646.325459316</v>
      </c>
    </row>
    <row r="420" spans="1:8" x14ac:dyDescent="0.25">
      <c r="A420" s="61"/>
      <c r="B420" s="67"/>
      <c r="C420" s="67"/>
      <c r="D420" s="61"/>
      <c r="E420" s="35" t="str">
        <f t="shared" si="24"/>
        <v/>
      </c>
      <c r="F420" s="35" t="str">
        <f t="shared" si="25"/>
        <v/>
      </c>
      <c r="G420" s="58" t="str">
        <f t="shared" si="26"/>
        <v/>
      </c>
      <c r="H420">
        <f t="shared" si="27"/>
        <v>20925646.325459316</v>
      </c>
    </row>
    <row r="421" spans="1:8" x14ac:dyDescent="0.25">
      <c r="A421" s="61"/>
      <c r="B421" s="67"/>
      <c r="C421" s="67"/>
      <c r="D421" s="61"/>
      <c r="E421" s="35" t="str">
        <f t="shared" si="24"/>
        <v/>
      </c>
      <c r="F421" s="35" t="str">
        <f t="shared" si="25"/>
        <v/>
      </c>
      <c r="G421" s="58" t="str">
        <f t="shared" si="26"/>
        <v/>
      </c>
      <c r="H421">
        <f t="shared" si="27"/>
        <v>20925646.325459316</v>
      </c>
    </row>
    <row r="422" spans="1:8" x14ac:dyDescent="0.25">
      <c r="A422" s="61"/>
      <c r="B422" s="67"/>
      <c r="C422" s="67"/>
      <c r="D422" s="61"/>
      <c r="E422" s="35" t="str">
        <f t="shared" si="24"/>
        <v/>
      </c>
      <c r="F422" s="35" t="str">
        <f t="shared" si="25"/>
        <v/>
      </c>
      <c r="G422" s="58" t="str">
        <f t="shared" si="26"/>
        <v/>
      </c>
      <c r="H422">
        <f t="shared" si="27"/>
        <v>20925646.325459316</v>
      </c>
    </row>
    <row r="423" spans="1:8" x14ac:dyDescent="0.25">
      <c r="A423" s="61"/>
      <c r="B423" s="67"/>
      <c r="C423" s="67"/>
      <c r="D423" s="61"/>
      <c r="E423" s="35" t="str">
        <f t="shared" si="24"/>
        <v/>
      </c>
      <c r="F423" s="35" t="str">
        <f t="shared" si="25"/>
        <v/>
      </c>
      <c r="G423" s="58" t="str">
        <f t="shared" si="26"/>
        <v/>
      </c>
      <c r="H423">
        <f t="shared" si="27"/>
        <v>20925646.325459316</v>
      </c>
    </row>
    <row r="424" spans="1:8" x14ac:dyDescent="0.25">
      <c r="A424" s="61"/>
      <c r="B424" s="67"/>
      <c r="C424" s="67"/>
      <c r="D424" s="61"/>
      <c r="E424" s="35" t="str">
        <f t="shared" si="24"/>
        <v/>
      </c>
      <c r="F424" s="35" t="str">
        <f t="shared" si="25"/>
        <v/>
      </c>
      <c r="G424" s="58" t="str">
        <f t="shared" si="26"/>
        <v/>
      </c>
      <c r="H424">
        <f t="shared" si="27"/>
        <v>20925646.325459316</v>
      </c>
    </row>
    <row r="425" spans="1:8" x14ac:dyDescent="0.25">
      <c r="A425" s="61"/>
      <c r="B425" s="67"/>
      <c r="C425" s="67"/>
      <c r="D425" s="61"/>
      <c r="E425" s="35" t="str">
        <f t="shared" si="24"/>
        <v/>
      </c>
      <c r="F425" s="35" t="str">
        <f t="shared" si="25"/>
        <v/>
      </c>
      <c r="G425" s="58" t="str">
        <f t="shared" si="26"/>
        <v/>
      </c>
      <c r="H425">
        <f t="shared" si="27"/>
        <v>20925646.325459316</v>
      </c>
    </row>
    <row r="426" spans="1:8" x14ac:dyDescent="0.25">
      <c r="A426" s="61"/>
      <c r="B426" s="67"/>
      <c r="C426" s="67"/>
      <c r="D426" s="61"/>
      <c r="E426" s="35" t="str">
        <f t="shared" si="24"/>
        <v/>
      </c>
      <c r="F426" s="35" t="str">
        <f t="shared" si="25"/>
        <v/>
      </c>
      <c r="G426" s="58" t="str">
        <f t="shared" si="26"/>
        <v/>
      </c>
      <c r="H426">
        <f t="shared" si="27"/>
        <v>20925646.325459316</v>
      </c>
    </row>
    <row r="427" spans="1:8" x14ac:dyDescent="0.25">
      <c r="A427" s="61"/>
      <c r="B427" s="67"/>
      <c r="C427" s="67"/>
      <c r="D427" s="61"/>
      <c r="E427" s="35" t="str">
        <f t="shared" si="24"/>
        <v/>
      </c>
      <c r="F427" s="35" t="str">
        <f t="shared" si="25"/>
        <v/>
      </c>
      <c r="G427" s="58" t="str">
        <f t="shared" si="26"/>
        <v/>
      </c>
      <c r="H427">
        <f t="shared" si="27"/>
        <v>20925646.325459316</v>
      </c>
    </row>
    <row r="428" spans="1:8" x14ac:dyDescent="0.25">
      <c r="A428" s="61"/>
      <c r="B428" s="67"/>
      <c r="C428" s="67"/>
      <c r="D428" s="61"/>
      <c r="E428" s="35" t="str">
        <f t="shared" si="24"/>
        <v/>
      </c>
      <c r="F428" s="35" t="str">
        <f t="shared" si="25"/>
        <v/>
      </c>
      <c r="G428" s="58" t="str">
        <f t="shared" si="26"/>
        <v/>
      </c>
      <c r="H428">
        <f t="shared" si="27"/>
        <v>20925646.325459316</v>
      </c>
    </row>
    <row r="429" spans="1:8" x14ac:dyDescent="0.25">
      <c r="A429" s="61"/>
      <c r="B429" s="67"/>
      <c r="C429" s="67"/>
      <c r="D429" s="61"/>
      <c r="E429" s="35" t="str">
        <f t="shared" si="24"/>
        <v/>
      </c>
      <c r="F429" s="35" t="str">
        <f t="shared" si="25"/>
        <v/>
      </c>
      <c r="G429" s="58" t="str">
        <f t="shared" si="26"/>
        <v/>
      </c>
      <c r="H429">
        <f t="shared" si="27"/>
        <v>20925646.325459316</v>
      </c>
    </row>
    <row r="430" spans="1:8" x14ac:dyDescent="0.25">
      <c r="A430" s="61"/>
      <c r="B430" s="67"/>
      <c r="C430" s="67"/>
      <c r="D430" s="61"/>
      <c r="E430" s="35" t="str">
        <f t="shared" si="24"/>
        <v/>
      </c>
      <c r="F430" s="35" t="str">
        <f t="shared" si="25"/>
        <v/>
      </c>
      <c r="G430" s="58" t="str">
        <f t="shared" si="26"/>
        <v/>
      </c>
      <c r="H430">
        <f t="shared" si="27"/>
        <v>20925646.325459316</v>
      </c>
    </row>
    <row r="431" spans="1:8" x14ac:dyDescent="0.25">
      <c r="A431" s="61"/>
      <c r="B431" s="67"/>
      <c r="C431" s="67"/>
      <c r="D431" s="61"/>
      <c r="E431" s="35" t="str">
        <f t="shared" si="24"/>
        <v/>
      </c>
      <c r="F431" s="35" t="str">
        <f t="shared" si="25"/>
        <v/>
      </c>
      <c r="G431" s="58" t="str">
        <f t="shared" si="26"/>
        <v/>
      </c>
      <c r="H431">
        <f t="shared" si="27"/>
        <v>20925646.325459316</v>
      </c>
    </row>
    <row r="432" spans="1:8" x14ac:dyDescent="0.25">
      <c r="A432" s="61"/>
      <c r="B432" s="67"/>
      <c r="C432" s="67"/>
      <c r="D432" s="61"/>
      <c r="E432" s="35" t="str">
        <f t="shared" si="24"/>
        <v/>
      </c>
      <c r="F432" s="35" t="str">
        <f t="shared" si="25"/>
        <v/>
      </c>
      <c r="G432" s="58" t="str">
        <f t="shared" si="26"/>
        <v/>
      </c>
      <c r="H432">
        <f t="shared" si="27"/>
        <v>20925646.325459316</v>
      </c>
    </row>
    <row r="433" spans="1:8" x14ac:dyDescent="0.25">
      <c r="A433" s="61"/>
      <c r="B433" s="67"/>
      <c r="C433" s="67"/>
      <c r="D433" s="61"/>
      <c r="E433" s="35" t="str">
        <f t="shared" si="24"/>
        <v/>
      </c>
      <c r="F433" s="35" t="str">
        <f t="shared" si="25"/>
        <v/>
      </c>
      <c r="G433" s="58" t="str">
        <f t="shared" si="26"/>
        <v/>
      </c>
      <c r="H433">
        <f t="shared" si="27"/>
        <v>20925646.325459316</v>
      </c>
    </row>
    <row r="434" spans="1:8" x14ac:dyDescent="0.25">
      <c r="A434" s="61"/>
      <c r="B434" s="67"/>
      <c r="C434" s="67"/>
      <c r="D434" s="61"/>
      <c r="E434" s="35" t="str">
        <f t="shared" si="24"/>
        <v/>
      </c>
      <c r="F434" s="35" t="str">
        <f t="shared" si="25"/>
        <v/>
      </c>
      <c r="G434" s="58" t="str">
        <f t="shared" si="26"/>
        <v/>
      </c>
      <c r="H434">
        <f t="shared" si="27"/>
        <v>20925646.325459316</v>
      </c>
    </row>
    <row r="435" spans="1:8" x14ac:dyDescent="0.25">
      <c r="A435" s="61"/>
      <c r="B435" s="67"/>
      <c r="C435" s="67"/>
      <c r="D435" s="61"/>
      <c r="E435" s="35" t="str">
        <f t="shared" si="24"/>
        <v/>
      </c>
      <c r="F435" s="35" t="str">
        <f t="shared" si="25"/>
        <v/>
      </c>
      <c r="G435" s="58" t="str">
        <f t="shared" si="26"/>
        <v/>
      </c>
      <c r="H435">
        <f t="shared" si="27"/>
        <v>20925646.325459316</v>
      </c>
    </row>
    <row r="436" spans="1:8" x14ac:dyDescent="0.25">
      <c r="A436" s="61"/>
      <c r="B436" s="67"/>
      <c r="C436" s="67"/>
      <c r="D436" s="61"/>
      <c r="E436" s="35" t="str">
        <f t="shared" si="24"/>
        <v/>
      </c>
      <c r="F436" s="35" t="str">
        <f t="shared" si="25"/>
        <v/>
      </c>
      <c r="G436" s="58" t="str">
        <f t="shared" si="26"/>
        <v/>
      </c>
      <c r="H436">
        <f t="shared" si="27"/>
        <v>20925646.325459316</v>
      </c>
    </row>
    <row r="437" spans="1:8" x14ac:dyDescent="0.25">
      <c r="A437" s="61"/>
      <c r="B437" s="67"/>
      <c r="C437" s="67"/>
      <c r="D437" s="61"/>
      <c r="E437" s="35" t="str">
        <f t="shared" si="24"/>
        <v/>
      </c>
      <c r="F437" s="35" t="str">
        <f t="shared" si="25"/>
        <v/>
      </c>
      <c r="G437" s="58" t="str">
        <f t="shared" si="26"/>
        <v/>
      </c>
      <c r="H437">
        <f t="shared" si="27"/>
        <v>20925646.325459316</v>
      </c>
    </row>
    <row r="438" spans="1:8" x14ac:dyDescent="0.25">
      <c r="A438" s="61"/>
      <c r="B438" s="67"/>
      <c r="C438" s="67"/>
      <c r="D438" s="61"/>
      <c r="E438" s="35" t="str">
        <f t="shared" si="24"/>
        <v/>
      </c>
      <c r="F438" s="35" t="str">
        <f t="shared" si="25"/>
        <v/>
      </c>
      <c r="G438" s="58" t="str">
        <f t="shared" si="26"/>
        <v/>
      </c>
      <c r="H438">
        <f t="shared" si="27"/>
        <v>20925646.325459316</v>
      </c>
    </row>
    <row r="439" spans="1:8" x14ac:dyDescent="0.25">
      <c r="A439" s="61"/>
      <c r="B439" s="67"/>
      <c r="C439" s="67"/>
      <c r="D439" s="61"/>
      <c r="E439" s="35" t="str">
        <f t="shared" si="24"/>
        <v/>
      </c>
      <c r="F439" s="35" t="str">
        <f t="shared" si="25"/>
        <v/>
      </c>
      <c r="G439" s="58" t="str">
        <f t="shared" si="26"/>
        <v/>
      </c>
      <c r="H439">
        <f t="shared" si="27"/>
        <v>20925646.325459316</v>
      </c>
    </row>
    <row r="440" spans="1:8" x14ac:dyDescent="0.25">
      <c r="A440" s="61"/>
      <c r="B440" s="67"/>
      <c r="C440" s="67"/>
      <c r="D440" s="61"/>
      <c r="E440" s="35" t="str">
        <f t="shared" si="24"/>
        <v/>
      </c>
      <c r="F440" s="35" t="str">
        <f t="shared" si="25"/>
        <v/>
      </c>
      <c r="G440" s="58" t="str">
        <f t="shared" si="26"/>
        <v/>
      </c>
      <c r="H440">
        <f t="shared" si="27"/>
        <v>20925646.325459316</v>
      </c>
    </row>
    <row r="441" spans="1:8" x14ac:dyDescent="0.25">
      <c r="A441" s="61"/>
      <c r="B441" s="67"/>
      <c r="C441" s="67"/>
      <c r="D441" s="61"/>
      <c r="E441" s="35" t="str">
        <f t="shared" si="24"/>
        <v/>
      </c>
      <c r="F441" s="35" t="str">
        <f t="shared" si="25"/>
        <v/>
      </c>
      <c r="G441" s="58" t="str">
        <f t="shared" si="26"/>
        <v/>
      </c>
      <c r="H441">
        <f t="shared" si="27"/>
        <v>20925646.325459316</v>
      </c>
    </row>
    <row r="442" spans="1:8" x14ac:dyDescent="0.25">
      <c r="A442" s="61"/>
      <c r="B442" s="67"/>
      <c r="C442" s="67"/>
      <c r="D442" s="61"/>
      <c r="E442" s="35" t="str">
        <f t="shared" si="24"/>
        <v/>
      </c>
      <c r="F442" s="35" t="str">
        <f t="shared" si="25"/>
        <v/>
      </c>
      <c r="G442" s="58" t="str">
        <f t="shared" si="26"/>
        <v/>
      </c>
      <c r="H442">
        <f t="shared" si="27"/>
        <v>20925646.325459316</v>
      </c>
    </row>
    <row r="443" spans="1:8" x14ac:dyDescent="0.25">
      <c r="A443" s="61"/>
      <c r="B443" s="67"/>
      <c r="C443" s="67"/>
      <c r="D443" s="61"/>
      <c r="E443" s="35" t="str">
        <f t="shared" si="24"/>
        <v/>
      </c>
      <c r="F443" s="35" t="str">
        <f t="shared" si="25"/>
        <v/>
      </c>
      <c r="G443" s="58" t="str">
        <f t="shared" si="26"/>
        <v/>
      </c>
      <c r="H443">
        <f t="shared" si="27"/>
        <v>20925646.325459316</v>
      </c>
    </row>
    <row r="444" spans="1:8" x14ac:dyDescent="0.25">
      <c r="A444" s="61"/>
      <c r="B444" s="67"/>
      <c r="C444" s="67"/>
      <c r="D444" s="61"/>
      <c r="E444" s="35" t="str">
        <f t="shared" si="24"/>
        <v/>
      </c>
      <c r="F444" s="35" t="str">
        <f t="shared" si="25"/>
        <v/>
      </c>
      <c r="G444" s="58" t="str">
        <f t="shared" si="26"/>
        <v/>
      </c>
      <c r="H444">
        <f t="shared" si="27"/>
        <v>20925646.325459316</v>
      </c>
    </row>
    <row r="445" spans="1:8" x14ac:dyDescent="0.25">
      <c r="A445" s="61"/>
      <c r="B445" s="67"/>
      <c r="C445" s="67"/>
      <c r="D445" s="61"/>
      <c r="E445" s="35" t="str">
        <f t="shared" si="24"/>
        <v/>
      </c>
      <c r="F445" s="35" t="str">
        <f t="shared" si="25"/>
        <v/>
      </c>
      <c r="G445" s="58" t="str">
        <f t="shared" si="26"/>
        <v/>
      </c>
      <c r="H445">
        <f t="shared" si="27"/>
        <v>20925646.325459316</v>
      </c>
    </row>
    <row r="446" spans="1:8" x14ac:dyDescent="0.25">
      <c r="A446" s="61"/>
      <c r="B446" s="67"/>
      <c r="C446" s="67"/>
      <c r="D446" s="61"/>
      <c r="E446" s="35" t="str">
        <f t="shared" si="24"/>
        <v/>
      </c>
      <c r="F446" s="35" t="str">
        <f t="shared" si="25"/>
        <v/>
      </c>
      <c r="G446" s="58" t="str">
        <f t="shared" si="26"/>
        <v/>
      </c>
      <c r="H446">
        <f t="shared" si="27"/>
        <v>20925646.325459316</v>
      </c>
    </row>
    <row r="447" spans="1:8" x14ac:dyDescent="0.25">
      <c r="A447" s="61"/>
      <c r="B447" s="67"/>
      <c r="C447" s="67"/>
      <c r="D447" s="61"/>
      <c r="E447" s="35" t="str">
        <f t="shared" si="24"/>
        <v/>
      </c>
      <c r="F447" s="35" t="str">
        <f t="shared" si="25"/>
        <v/>
      </c>
      <c r="G447" s="58" t="str">
        <f t="shared" si="26"/>
        <v/>
      </c>
      <c r="H447">
        <f t="shared" si="27"/>
        <v>20925646.325459316</v>
      </c>
    </row>
    <row r="448" spans="1:8" x14ac:dyDescent="0.25">
      <c r="A448" s="61"/>
      <c r="B448" s="67"/>
      <c r="C448" s="67"/>
      <c r="D448" s="61"/>
      <c r="E448" s="35" t="str">
        <f t="shared" si="24"/>
        <v/>
      </c>
      <c r="F448" s="35" t="str">
        <f t="shared" si="25"/>
        <v/>
      </c>
      <c r="G448" s="58" t="str">
        <f t="shared" si="26"/>
        <v/>
      </c>
      <c r="H448">
        <f t="shared" si="27"/>
        <v>20925646.325459316</v>
      </c>
    </row>
    <row r="449" spans="1:8" x14ac:dyDescent="0.25">
      <c r="A449" s="61"/>
      <c r="B449" s="67"/>
      <c r="C449" s="67"/>
      <c r="D449" s="61"/>
      <c r="E449" s="35" t="str">
        <f t="shared" si="24"/>
        <v/>
      </c>
      <c r="F449" s="35" t="str">
        <f t="shared" si="25"/>
        <v/>
      </c>
      <c r="G449" s="58" t="str">
        <f t="shared" si="26"/>
        <v/>
      </c>
      <c r="H449">
        <f t="shared" si="27"/>
        <v>20925646.325459316</v>
      </c>
    </row>
    <row r="450" spans="1:8" x14ac:dyDescent="0.25">
      <c r="A450" s="61"/>
      <c r="B450" s="67"/>
      <c r="C450" s="67"/>
      <c r="D450" s="61"/>
      <c r="E450" s="35" t="str">
        <f t="shared" si="24"/>
        <v/>
      </c>
      <c r="F450" s="35" t="str">
        <f t="shared" si="25"/>
        <v/>
      </c>
      <c r="G450" s="58" t="str">
        <f t="shared" si="26"/>
        <v/>
      </c>
      <c r="H450">
        <f t="shared" si="27"/>
        <v>20925646.325459316</v>
      </c>
    </row>
    <row r="451" spans="1:8" x14ac:dyDescent="0.25">
      <c r="A451" s="61"/>
      <c r="B451" s="67"/>
      <c r="C451" s="67"/>
      <c r="D451" s="61"/>
      <c r="E451" s="35" t="str">
        <f t="shared" ref="E451:E514" si="28">IF(B451&lt;&gt;"",(H451+D451)*COS(RADIANS(HMSTOHDD(B451)))*COS(RADIANS(HMSTOHDD(-C451))),"")</f>
        <v/>
      </c>
      <c r="F451" s="35" t="str">
        <f t="shared" ref="F451:F514" si="29">IF(B451&lt;&gt;"",(H451+D451)*COS(RADIANS(HMSTOHDD(B451)))*SIN(RADIANS(HMSTOHDD(-C451))),"")</f>
        <v/>
      </c>
      <c r="G451" s="58" t="str">
        <f t="shared" si="26"/>
        <v/>
      </c>
      <c r="H451">
        <f t="shared" si="27"/>
        <v>20925646.325459316</v>
      </c>
    </row>
    <row r="452" spans="1:8" x14ac:dyDescent="0.25">
      <c r="A452" s="61"/>
      <c r="B452" s="67"/>
      <c r="C452" s="67"/>
      <c r="D452" s="61"/>
      <c r="E452" s="35" t="str">
        <f t="shared" si="28"/>
        <v/>
      </c>
      <c r="F452" s="35" t="str">
        <f t="shared" si="29"/>
        <v/>
      </c>
      <c r="G452" s="58" t="str">
        <f t="shared" ref="G452:G515" si="30">IF(B452&lt;&gt;"",SIN(RADIANS(HMSTOHDD(B452)))*(H452*(1-$M$4)+D452),"")</f>
        <v/>
      </c>
      <c r="H452">
        <f t="shared" ref="H452:H500" si="31">$M$2/(1-$M$4*(SIN(RADIANS(HMSTOHDD(B452))))^2)^0.5</f>
        <v>20925646.325459316</v>
      </c>
    </row>
    <row r="453" spans="1:8" x14ac:dyDescent="0.25">
      <c r="A453" s="61"/>
      <c r="B453" s="67"/>
      <c r="C453" s="67"/>
      <c r="D453" s="61"/>
      <c r="E453" s="35" t="str">
        <f t="shared" si="28"/>
        <v/>
      </c>
      <c r="F453" s="35" t="str">
        <f t="shared" si="29"/>
        <v/>
      </c>
      <c r="G453" s="58" t="str">
        <f t="shared" si="30"/>
        <v/>
      </c>
      <c r="H453">
        <f t="shared" si="31"/>
        <v>20925646.325459316</v>
      </c>
    </row>
    <row r="454" spans="1:8" x14ac:dyDescent="0.25">
      <c r="A454" s="61"/>
      <c r="B454" s="67"/>
      <c r="C454" s="67"/>
      <c r="D454" s="61"/>
      <c r="E454" s="35" t="str">
        <f t="shared" si="28"/>
        <v/>
      </c>
      <c r="F454" s="35" t="str">
        <f t="shared" si="29"/>
        <v/>
      </c>
      <c r="G454" s="58" t="str">
        <f t="shared" si="30"/>
        <v/>
      </c>
      <c r="H454">
        <f t="shared" si="31"/>
        <v>20925646.325459316</v>
      </c>
    </row>
    <row r="455" spans="1:8" x14ac:dyDescent="0.25">
      <c r="A455" s="61"/>
      <c r="B455" s="67"/>
      <c r="C455" s="67"/>
      <c r="D455" s="61"/>
      <c r="E455" s="35" t="str">
        <f t="shared" si="28"/>
        <v/>
      </c>
      <c r="F455" s="35" t="str">
        <f t="shared" si="29"/>
        <v/>
      </c>
      <c r="G455" s="58" t="str">
        <f t="shared" si="30"/>
        <v/>
      </c>
      <c r="H455">
        <f t="shared" si="31"/>
        <v>20925646.325459316</v>
      </c>
    </row>
    <row r="456" spans="1:8" x14ac:dyDescent="0.25">
      <c r="A456" s="61"/>
      <c r="B456" s="67"/>
      <c r="C456" s="67"/>
      <c r="D456" s="61"/>
      <c r="E456" s="35" t="str">
        <f t="shared" si="28"/>
        <v/>
      </c>
      <c r="F456" s="35" t="str">
        <f t="shared" si="29"/>
        <v/>
      </c>
      <c r="G456" s="58" t="str">
        <f t="shared" si="30"/>
        <v/>
      </c>
      <c r="H456">
        <f t="shared" si="31"/>
        <v>20925646.325459316</v>
      </c>
    </row>
    <row r="457" spans="1:8" x14ac:dyDescent="0.25">
      <c r="A457" s="61"/>
      <c r="B457" s="67"/>
      <c r="C457" s="67"/>
      <c r="D457" s="61"/>
      <c r="E457" s="35" t="str">
        <f t="shared" si="28"/>
        <v/>
      </c>
      <c r="F457" s="35" t="str">
        <f t="shared" si="29"/>
        <v/>
      </c>
      <c r="G457" s="58" t="str">
        <f t="shared" si="30"/>
        <v/>
      </c>
      <c r="H457">
        <f t="shared" si="31"/>
        <v>20925646.325459316</v>
      </c>
    </row>
    <row r="458" spans="1:8" x14ac:dyDescent="0.25">
      <c r="A458" s="61"/>
      <c r="B458" s="67"/>
      <c r="C458" s="67"/>
      <c r="D458" s="61"/>
      <c r="E458" s="35" t="str">
        <f t="shared" si="28"/>
        <v/>
      </c>
      <c r="F458" s="35" t="str">
        <f t="shared" si="29"/>
        <v/>
      </c>
      <c r="G458" s="58" t="str">
        <f t="shared" si="30"/>
        <v/>
      </c>
      <c r="H458">
        <f t="shared" si="31"/>
        <v>20925646.325459316</v>
      </c>
    </row>
    <row r="459" spans="1:8" x14ac:dyDescent="0.25">
      <c r="A459" s="61"/>
      <c r="B459" s="67"/>
      <c r="C459" s="67"/>
      <c r="D459" s="61"/>
      <c r="E459" s="35" t="str">
        <f t="shared" si="28"/>
        <v/>
      </c>
      <c r="F459" s="35" t="str">
        <f t="shared" si="29"/>
        <v/>
      </c>
      <c r="G459" s="58" t="str">
        <f t="shared" si="30"/>
        <v/>
      </c>
      <c r="H459">
        <f t="shared" si="31"/>
        <v>20925646.325459316</v>
      </c>
    </row>
    <row r="460" spans="1:8" x14ac:dyDescent="0.25">
      <c r="A460" s="61"/>
      <c r="B460" s="67"/>
      <c r="C460" s="67"/>
      <c r="D460" s="61"/>
      <c r="E460" s="35" t="str">
        <f t="shared" si="28"/>
        <v/>
      </c>
      <c r="F460" s="35" t="str">
        <f t="shared" si="29"/>
        <v/>
      </c>
      <c r="G460" s="58" t="str">
        <f t="shared" si="30"/>
        <v/>
      </c>
      <c r="H460">
        <f t="shared" si="31"/>
        <v>20925646.325459316</v>
      </c>
    </row>
    <row r="461" spans="1:8" x14ac:dyDescent="0.25">
      <c r="A461" s="61"/>
      <c r="B461" s="67"/>
      <c r="C461" s="67"/>
      <c r="D461" s="61"/>
      <c r="E461" s="35" t="str">
        <f t="shared" si="28"/>
        <v/>
      </c>
      <c r="F461" s="35" t="str">
        <f t="shared" si="29"/>
        <v/>
      </c>
      <c r="G461" s="58" t="str">
        <f t="shared" si="30"/>
        <v/>
      </c>
      <c r="H461">
        <f t="shared" si="31"/>
        <v>20925646.325459316</v>
      </c>
    </row>
    <row r="462" spans="1:8" x14ac:dyDescent="0.25">
      <c r="A462" s="61"/>
      <c r="B462" s="67"/>
      <c r="C462" s="67"/>
      <c r="D462" s="61"/>
      <c r="E462" s="35" t="str">
        <f t="shared" si="28"/>
        <v/>
      </c>
      <c r="F462" s="35" t="str">
        <f t="shared" si="29"/>
        <v/>
      </c>
      <c r="G462" s="58" t="str">
        <f t="shared" si="30"/>
        <v/>
      </c>
      <c r="H462">
        <f t="shared" si="31"/>
        <v>20925646.325459316</v>
      </c>
    </row>
    <row r="463" spans="1:8" x14ac:dyDescent="0.25">
      <c r="A463" s="61"/>
      <c r="B463" s="67"/>
      <c r="C463" s="67"/>
      <c r="D463" s="61"/>
      <c r="E463" s="35" t="str">
        <f t="shared" si="28"/>
        <v/>
      </c>
      <c r="F463" s="35" t="str">
        <f t="shared" si="29"/>
        <v/>
      </c>
      <c r="G463" s="58" t="str">
        <f t="shared" si="30"/>
        <v/>
      </c>
      <c r="H463">
        <f t="shared" si="31"/>
        <v>20925646.325459316</v>
      </c>
    </row>
    <row r="464" spans="1:8" x14ac:dyDescent="0.25">
      <c r="A464" s="61"/>
      <c r="B464" s="67"/>
      <c r="C464" s="67"/>
      <c r="D464" s="61"/>
      <c r="E464" s="35" t="str">
        <f t="shared" si="28"/>
        <v/>
      </c>
      <c r="F464" s="35" t="str">
        <f t="shared" si="29"/>
        <v/>
      </c>
      <c r="G464" s="58" t="str">
        <f t="shared" si="30"/>
        <v/>
      </c>
      <c r="H464">
        <f t="shared" si="31"/>
        <v>20925646.325459316</v>
      </c>
    </row>
    <row r="465" spans="1:8" x14ac:dyDescent="0.25">
      <c r="A465" s="61"/>
      <c r="B465" s="67"/>
      <c r="C465" s="67"/>
      <c r="D465" s="61"/>
      <c r="E465" s="35" t="str">
        <f t="shared" si="28"/>
        <v/>
      </c>
      <c r="F465" s="35" t="str">
        <f t="shared" si="29"/>
        <v/>
      </c>
      <c r="G465" s="58" t="str">
        <f t="shared" si="30"/>
        <v/>
      </c>
      <c r="H465">
        <f t="shared" si="31"/>
        <v>20925646.325459316</v>
      </c>
    </row>
    <row r="466" spans="1:8" x14ac:dyDescent="0.25">
      <c r="A466" s="61"/>
      <c r="B466" s="67"/>
      <c r="C466" s="67"/>
      <c r="D466" s="61"/>
      <c r="E466" s="35" t="str">
        <f t="shared" si="28"/>
        <v/>
      </c>
      <c r="F466" s="35" t="str">
        <f t="shared" si="29"/>
        <v/>
      </c>
      <c r="G466" s="58" t="str">
        <f t="shared" si="30"/>
        <v/>
      </c>
      <c r="H466">
        <f t="shared" si="31"/>
        <v>20925646.325459316</v>
      </c>
    </row>
    <row r="467" spans="1:8" x14ac:dyDescent="0.25">
      <c r="A467" s="61"/>
      <c r="B467" s="67"/>
      <c r="C467" s="67"/>
      <c r="D467" s="61"/>
      <c r="E467" s="35" t="str">
        <f t="shared" si="28"/>
        <v/>
      </c>
      <c r="F467" s="35" t="str">
        <f t="shared" si="29"/>
        <v/>
      </c>
      <c r="G467" s="58" t="str">
        <f t="shared" si="30"/>
        <v/>
      </c>
      <c r="H467">
        <f t="shared" si="31"/>
        <v>20925646.325459316</v>
      </c>
    </row>
    <row r="468" spans="1:8" x14ac:dyDescent="0.25">
      <c r="A468" s="61"/>
      <c r="B468" s="67"/>
      <c r="C468" s="67"/>
      <c r="D468" s="61"/>
      <c r="E468" s="35" t="str">
        <f t="shared" si="28"/>
        <v/>
      </c>
      <c r="F468" s="35" t="str">
        <f t="shared" si="29"/>
        <v/>
      </c>
      <c r="G468" s="58" t="str">
        <f t="shared" si="30"/>
        <v/>
      </c>
      <c r="H468">
        <f t="shared" si="31"/>
        <v>20925646.325459316</v>
      </c>
    </row>
    <row r="469" spans="1:8" x14ac:dyDescent="0.25">
      <c r="A469" s="61"/>
      <c r="B469" s="67"/>
      <c r="C469" s="67"/>
      <c r="D469" s="61"/>
      <c r="E469" s="35" t="str">
        <f t="shared" si="28"/>
        <v/>
      </c>
      <c r="F469" s="35" t="str">
        <f t="shared" si="29"/>
        <v/>
      </c>
      <c r="G469" s="58" t="str">
        <f t="shared" si="30"/>
        <v/>
      </c>
      <c r="H469">
        <f t="shared" si="31"/>
        <v>20925646.325459316</v>
      </c>
    </row>
    <row r="470" spans="1:8" x14ac:dyDescent="0.25">
      <c r="A470" s="61"/>
      <c r="B470" s="67"/>
      <c r="C470" s="67"/>
      <c r="D470" s="61"/>
      <c r="E470" s="35" t="str">
        <f t="shared" si="28"/>
        <v/>
      </c>
      <c r="F470" s="35" t="str">
        <f t="shared" si="29"/>
        <v/>
      </c>
      <c r="G470" s="58" t="str">
        <f t="shared" si="30"/>
        <v/>
      </c>
      <c r="H470">
        <f t="shared" si="31"/>
        <v>20925646.325459316</v>
      </c>
    </row>
    <row r="471" spans="1:8" x14ac:dyDescent="0.25">
      <c r="A471" s="61"/>
      <c r="B471" s="67"/>
      <c r="C471" s="67"/>
      <c r="D471" s="61"/>
      <c r="E471" s="35" t="str">
        <f t="shared" si="28"/>
        <v/>
      </c>
      <c r="F471" s="35" t="str">
        <f t="shared" si="29"/>
        <v/>
      </c>
      <c r="G471" s="58" t="str">
        <f t="shared" si="30"/>
        <v/>
      </c>
      <c r="H471">
        <f t="shared" si="31"/>
        <v>20925646.325459316</v>
      </c>
    </row>
    <row r="472" spans="1:8" x14ac:dyDescent="0.25">
      <c r="A472" s="61"/>
      <c r="B472" s="67"/>
      <c r="C472" s="67"/>
      <c r="D472" s="61"/>
      <c r="E472" s="35" t="str">
        <f t="shared" si="28"/>
        <v/>
      </c>
      <c r="F472" s="35" t="str">
        <f t="shared" si="29"/>
        <v/>
      </c>
      <c r="G472" s="58" t="str">
        <f t="shared" si="30"/>
        <v/>
      </c>
      <c r="H472">
        <f t="shared" si="31"/>
        <v>20925646.325459316</v>
      </c>
    </row>
    <row r="473" spans="1:8" x14ac:dyDescent="0.25">
      <c r="A473" s="61"/>
      <c r="B473" s="67"/>
      <c r="C473" s="67"/>
      <c r="D473" s="61"/>
      <c r="E473" s="35" t="str">
        <f t="shared" si="28"/>
        <v/>
      </c>
      <c r="F473" s="35" t="str">
        <f t="shared" si="29"/>
        <v/>
      </c>
      <c r="G473" s="58" t="str">
        <f t="shared" si="30"/>
        <v/>
      </c>
      <c r="H473">
        <f t="shared" si="31"/>
        <v>20925646.325459316</v>
      </c>
    </row>
    <row r="474" spans="1:8" x14ac:dyDescent="0.25">
      <c r="A474" s="61"/>
      <c r="B474" s="67"/>
      <c r="C474" s="67"/>
      <c r="D474" s="61"/>
      <c r="E474" s="35" t="str">
        <f t="shared" si="28"/>
        <v/>
      </c>
      <c r="F474" s="35" t="str">
        <f t="shared" si="29"/>
        <v/>
      </c>
      <c r="G474" s="58" t="str">
        <f t="shared" si="30"/>
        <v/>
      </c>
      <c r="H474">
        <f t="shared" si="31"/>
        <v>20925646.325459316</v>
      </c>
    </row>
    <row r="475" spans="1:8" x14ac:dyDescent="0.25">
      <c r="A475" s="61"/>
      <c r="B475" s="67"/>
      <c r="C475" s="67"/>
      <c r="D475" s="61"/>
      <c r="E475" s="35" t="str">
        <f t="shared" si="28"/>
        <v/>
      </c>
      <c r="F475" s="35" t="str">
        <f t="shared" si="29"/>
        <v/>
      </c>
      <c r="G475" s="58" t="str">
        <f t="shared" si="30"/>
        <v/>
      </c>
      <c r="H475">
        <f t="shared" si="31"/>
        <v>20925646.325459316</v>
      </c>
    </row>
    <row r="476" spans="1:8" x14ac:dyDescent="0.25">
      <c r="A476" s="61"/>
      <c r="B476" s="67"/>
      <c r="C476" s="67"/>
      <c r="D476" s="61"/>
      <c r="E476" s="35" t="str">
        <f t="shared" si="28"/>
        <v/>
      </c>
      <c r="F476" s="35" t="str">
        <f t="shared" si="29"/>
        <v/>
      </c>
      <c r="G476" s="58" t="str">
        <f t="shared" si="30"/>
        <v/>
      </c>
      <c r="H476">
        <f t="shared" si="31"/>
        <v>20925646.325459316</v>
      </c>
    </row>
    <row r="477" spans="1:8" x14ac:dyDescent="0.25">
      <c r="A477" s="61"/>
      <c r="B477" s="67"/>
      <c r="C477" s="67"/>
      <c r="D477" s="61"/>
      <c r="E477" s="35" t="str">
        <f t="shared" si="28"/>
        <v/>
      </c>
      <c r="F477" s="35" t="str">
        <f t="shared" si="29"/>
        <v/>
      </c>
      <c r="G477" s="58" t="str">
        <f t="shared" si="30"/>
        <v/>
      </c>
      <c r="H477">
        <f t="shared" si="31"/>
        <v>20925646.325459316</v>
      </c>
    </row>
    <row r="478" spans="1:8" x14ac:dyDescent="0.25">
      <c r="A478" s="61"/>
      <c r="B478" s="67"/>
      <c r="C478" s="67"/>
      <c r="D478" s="61"/>
      <c r="E478" s="35" t="str">
        <f t="shared" si="28"/>
        <v/>
      </c>
      <c r="F478" s="35" t="str">
        <f t="shared" si="29"/>
        <v/>
      </c>
      <c r="G478" s="58" t="str">
        <f t="shared" si="30"/>
        <v/>
      </c>
      <c r="H478">
        <f t="shared" si="31"/>
        <v>20925646.325459316</v>
      </c>
    </row>
    <row r="479" spans="1:8" x14ac:dyDescent="0.25">
      <c r="A479" s="61"/>
      <c r="B479" s="67"/>
      <c r="C479" s="67"/>
      <c r="D479" s="61"/>
      <c r="E479" s="35" t="str">
        <f t="shared" si="28"/>
        <v/>
      </c>
      <c r="F479" s="35" t="str">
        <f t="shared" si="29"/>
        <v/>
      </c>
      <c r="G479" s="58" t="str">
        <f t="shared" si="30"/>
        <v/>
      </c>
      <c r="H479">
        <f t="shared" si="31"/>
        <v>20925646.325459316</v>
      </c>
    </row>
    <row r="480" spans="1:8" x14ac:dyDescent="0.25">
      <c r="A480" s="61"/>
      <c r="B480" s="67"/>
      <c r="C480" s="67"/>
      <c r="D480" s="61"/>
      <c r="E480" s="35" t="str">
        <f t="shared" si="28"/>
        <v/>
      </c>
      <c r="F480" s="35" t="str">
        <f t="shared" si="29"/>
        <v/>
      </c>
      <c r="G480" s="58" t="str">
        <f t="shared" si="30"/>
        <v/>
      </c>
      <c r="H480">
        <f t="shared" si="31"/>
        <v>20925646.325459316</v>
      </c>
    </row>
    <row r="481" spans="1:8" x14ac:dyDescent="0.25">
      <c r="A481" s="61"/>
      <c r="B481" s="67"/>
      <c r="C481" s="67"/>
      <c r="D481" s="61"/>
      <c r="E481" s="35" t="str">
        <f t="shared" si="28"/>
        <v/>
      </c>
      <c r="F481" s="35" t="str">
        <f t="shared" si="29"/>
        <v/>
      </c>
      <c r="G481" s="58" t="str">
        <f t="shared" si="30"/>
        <v/>
      </c>
      <c r="H481">
        <f t="shared" si="31"/>
        <v>20925646.325459316</v>
      </c>
    </row>
    <row r="482" spans="1:8" x14ac:dyDescent="0.25">
      <c r="A482" s="61"/>
      <c r="B482" s="67"/>
      <c r="C482" s="67"/>
      <c r="D482" s="61"/>
      <c r="E482" s="35" t="str">
        <f t="shared" si="28"/>
        <v/>
      </c>
      <c r="F482" s="35" t="str">
        <f t="shared" si="29"/>
        <v/>
      </c>
      <c r="G482" s="58" t="str">
        <f t="shared" si="30"/>
        <v/>
      </c>
      <c r="H482">
        <f t="shared" si="31"/>
        <v>20925646.325459316</v>
      </c>
    </row>
    <row r="483" spans="1:8" x14ac:dyDescent="0.25">
      <c r="A483" s="61"/>
      <c r="B483" s="67"/>
      <c r="C483" s="67"/>
      <c r="D483" s="61"/>
      <c r="E483" s="35" t="str">
        <f t="shared" si="28"/>
        <v/>
      </c>
      <c r="F483" s="35" t="str">
        <f t="shared" si="29"/>
        <v/>
      </c>
      <c r="G483" s="58" t="str">
        <f t="shared" si="30"/>
        <v/>
      </c>
      <c r="H483">
        <f t="shared" si="31"/>
        <v>20925646.325459316</v>
      </c>
    </row>
    <row r="484" spans="1:8" x14ac:dyDescent="0.25">
      <c r="A484" s="61"/>
      <c r="B484" s="67"/>
      <c r="C484" s="67"/>
      <c r="D484" s="61"/>
      <c r="E484" s="35" t="str">
        <f t="shared" si="28"/>
        <v/>
      </c>
      <c r="F484" s="35" t="str">
        <f t="shared" si="29"/>
        <v/>
      </c>
      <c r="G484" s="58" t="str">
        <f t="shared" si="30"/>
        <v/>
      </c>
      <c r="H484">
        <f t="shared" si="31"/>
        <v>20925646.325459316</v>
      </c>
    </row>
    <row r="485" spans="1:8" x14ac:dyDescent="0.25">
      <c r="A485" s="61"/>
      <c r="B485" s="67"/>
      <c r="C485" s="67"/>
      <c r="D485" s="61"/>
      <c r="E485" s="35" t="str">
        <f t="shared" si="28"/>
        <v/>
      </c>
      <c r="F485" s="35" t="str">
        <f t="shared" si="29"/>
        <v/>
      </c>
      <c r="G485" s="58" t="str">
        <f t="shared" si="30"/>
        <v/>
      </c>
      <c r="H485">
        <f t="shared" si="31"/>
        <v>20925646.325459316</v>
      </c>
    </row>
    <row r="486" spans="1:8" x14ac:dyDescent="0.25">
      <c r="A486" s="61"/>
      <c r="B486" s="67"/>
      <c r="C486" s="67"/>
      <c r="D486" s="61"/>
      <c r="E486" s="35" t="str">
        <f t="shared" si="28"/>
        <v/>
      </c>
      <c r="F486" s="35" t="str">
        <f t="shared" si="29"/>
        <v/>
      </c>
      <c r="G486" s="58" t="str">
        <f t="shared" si="30"/>
        <v/>
      </c>
      <c r="H486">
        <f t="shared" si="31"/>
        <v>20925646.325459316</v>
      </c>
    </row>
    <row r="487" spans="1:8" x14ac:dyDescent="0.25">
      <c r="A487" s="61"/>
      <c r="B487" s="67"/>
      <c r="C487" s="67"/>
      <c r="D487" s="61"/>
      <c r="E487" s="35" t="str">
        <f t="shared" si="28"/>
        <v/>
      </c>
      <c r="F487" s="35" t="str">
        <f t="shared" si="29"/>
        <v/>
      </c>
      <c r="G487" s="58" t="str">
        <f t="shared" si="30"/>
        <v/>
      </c>
      <c r="H487">
        <f t="shared" si="31"/>
        <v>20925646.325459316</v>
      </c>
    </row>
    <row r="488" spans="1:8" x14ac:dyDescent="0.25">
      <c r="A488" s="61"/>
      <c r="B488" s="67"/>
      <c r="C488" s="67"/>
      <c r="D488" s="61"/>
      <c r="E488" s="35" t="str">
        <f t="shared" si="28"/>
        <v/>
      </c>
      <c r="F488" s="35" t="str">
        <f t="shared" si="29"/>
        <v/>
      </c>
      <c r="G488" s="58" t="str">
        <f t="shared" si="30"/>
        <v/>
      </c>
      <c r="H488">
        <f t="shared" si="31"/>
        <v>20925646.325459316</v>
      </c>
    </row>
    <row r="489" spans="1:8" x14ac:dyDescent="0.25">
      <c r="A489" s="61"/>
      <c r="B489" s="67"/>
      <c r="C489" s="67"/>
      <c r="D489" s="61"/>
      <c r="E489" s="35" t="str">
        <f t="shared" si="28"/>
        <v/>
      </c>
      <c r="F489" s="35" t="str">
        <f t="shared" si="29"/>
        <v/>
      </c>
      <c r="G489" s="58" t="str">
        <f t="shared" si="30"/>
        <v/>
      </c>
      <c r="H489">
        <f t="shared" si="31"/>
        <v>20925646.325459316</v>
      </c>
    </row>
    <row r="490" spans="1:8" x14ac:dyDescent="0.25">
      <c r="A490" s="61"/>
      <c r="B490" s="67"/>
      <c r="C490" s="67"/>
      <c r="D490" s="61"/>
      <c r="E490" s="35" t="str">
        <f t="shared" si="28"/>
        <v/>
      </c>
      <c r="F490" s="35" t="str">
        <f t="shared" si="29"/>
        <v/>
      </c>
      <c r="G490" s="58" t="str">
        <f t="shared" si="30"/>
        <v/>
      </c>
      <c r="H490">
        <f t="shared" si="31"/>
        <v>20925646.325459316</v>
      </c>
    </row>
    <row r="491" spans="1:8" x14ac:dyDescent="0.25">
      <c r="A491" s="61"/>
      <c r="B491" s="67"/>
      <c r="C491" s="67"/>
      <c r="D491" s="61"/>
      <c r="E491" s="35" t="str">
        <f t="shared" si="28"/>
        <v/>
      </c>
      <c r="F491" s="35" t="str">
        <f t="shared" si="29"/>
        <v/>
      </c>
      <c r="G491" s="58" t="str">
        <f t="shared" si="30"/>
        <v/>
      </c>
      <c r="H491">
        <f t="shared" si="31"/>
        <v>20925646.325459316</v>
      </c>
    </row>
    <row r="492" spans="1:8" x14ac:dyDescent="0.25">
      <c r="A492" s="61"/>
      <c r="B492" s="67"/>
      <c r="C492" s="67"/>
      <c r="D492" s="61"/>
      <c r="E492" s="35" t="str">
        <f t="shared" si="28"/>
        <v/>
      </c>
      <c r="F492" s="35" t="str">
        <f t="shared" si="29"/>
        <v/>
      </c>
      <c r="G492" s="58" t="str">
        <f t="shared" si="30"/>
        <v/>
      </c>
      <c r="H492">
        <f t="shared" si="31"/>
        <v>20925646.325459316</v>
      </c>
    </row>
    <row r="493" spans="1:8" x14ac:dyDescent="0.25">
      <c r="A493" s="61"/>
      <c r="B493" s="67"/>
      <c r="C493" s="67"/>
      <c r="D493" s="61"/>
      <c r="E493" s="35" t="str">
        <f t="shared" si="28"/>
        <v/>
      </c>
      <c r="F493" s="35" t="str">
        <f t="shared" si="29"/>
        <v/>
      </c>
      <c r="G493" s="58" t="str">
        <f t="shared" si="30"/>
        <v/>
      </c>
      <c r="H493">
        <f t="shared" si="31"/>
        <v>20925646.325459316</v>
      </c>
    </row>
    <row r="494" spans="1:8" x14ac:dyDescent="0.25">
      <c r="A494" s="61"/>
      <c r="B494" s="67"/>
      <c r="C494" s="67"/>
      <c r="D494" s="61"/>
      <c r="E494" s="35" t="str">
        <f t="shared" si="28"/>
        <v/>
      </c>
      <c r="F494" s="35" t="str">
        <f t="shared" si="29"/>
        <v/>
      </c>
      <c r="G494" s="58" t="str">
        <f t="shared" si="30"/>
        <v/>
      </c>
      <c r="H494">
        <f t="shared" si="31"/>
        <v>20925646.325459316</v>
      </c>
    </row>
    <row r="495" spans="1:8" x14ac:dyDescent="0.25">
      <c r="A495" s="61"/>
      <c r="B495" s="67"/>
      <c r="C495" s="67"/>
      <c r="D495" s="61"/>
      <c r="E495" s="35" t="str">
        <f t="shared" si="28"/>
        <v/>
      </c>
      <c r="F495" s="35" t="str">
        <f t="shared" si="29"/>
        <v/>
      </c>
      <c r="G495" s="58" t="str">
        <f t="shared" si="30"/>
        <v/>
      </c>
      <c r="H495">
        <f t="shared" si="31"/>
        <v>20925646.325459316</v>
      </c>
    </row>
    <row r="496" spans="1:8" x14ac:dyDescent="0.25">
      <c r="A496" s="61"/>
      <c r="B496" s="67"/>
      <c r="C496" s="67"/>
      <c r="D496" s="61"/>
      <c r="E496" s="35" t="str">
        <f t="shared" si="28"/>
        <v/>
      </c>
      <c r="F496" s="35" t="str">
        <f t="shared" si="29"/>
        <v/>
      </c>
      <c r="G496" s="58" t="str">
        <f t="shared" si="30"/>
        <v/>
      </c>
      <c r="H496">
        <f t="shared" si="31"/>
        <v>20925646.325459316</v>
      </c>
    </row>
    <row r="497" spans="1:8" x14ac:dyDescent="0.25">
      <c r="A497" s="61"/>
      <c r="B497" s="67"/>
      <c r="C497" s="67"/>
      <c r="D497" s="61"/>
      <c r="E497" s="35" t="str">
        <f t="shared" si="28"/>
        <v/>
      </c>
      <c r="F497" s="35" t="str">
        <f t="shared" si="29"/>
        <v/>
      </c>
      <c r="G497" s="58" t="str">
        <f t="shared" si="30"/>
        <v/>
      </c>
      <c r="H497">
        <f t="shared" si="31"/>
        <v>20925646.325459316</v>
      </c>
    </row>
    <row r="498" spans="1:8" x14ac:dyDescent="0.25">
      <c r="A498" s="61"/>
      <c r="B498" s="67"/>
      <c r="C498" s="67"/>
      <c r="D498" s="61"/>
      <c r="E498" s="35" t="str">
        <f t="shared" si="28"/>
        <v/>
      </c>
      <c r="F498" s="35" t="str">
        <f t="shared" si="29"/>
        <v/>
      </c>
      <c r="G498" s="58" t="str">
        <f t="shared" si="30"/>
        <v/>
      </c>
      <c r="H498">
        <f t="shared" si="31"/>
        <v>20925646.325459316</v>
      </c>
    </row>
    <row r="499" spans="1:8" x14ac:dyDescent="0.25">
      <c r="A499" s="61"/>
      <c r="B499" s="67"/>
      <c r="C499" s="67"/>
      <c r="D499" s="61"/>
      <c r="E499" s="35" t="str">
        <f t="shared" si="28"/>
        <v/>
      </c>
      <c r="F499" s="35" t="str">
        <f t="shared" si="29"/>
        <v/>
      </c>
      <c r="G499" s="58" t="str">
        <f t="shared" si="30"/>
        <v/>
      </c>
      <c r="H499">
        <f t="shared" si="31"/>
        <v>20925646.325459316</v>
      </c>
    </row>
    <row r="500" spans="1:8" x14ac:dyDescent="0.25">
      <c r="A500" s="61"/>
      <c r="B500" s="67"/>
      <c r="C500" s="67"/>
      <c r="D500" s="61"/>
      <c r="E500" s="35" t="str">
        <f t="shared" si="28"/>
        <v/>
      </c>
      <c r="F500" s="35" t="str">
        <f t="shared" si="29"/>
        <v/>
      </c>
      <c r="G500" s="58" t="str">
        <f t="shared" si="30"/>
        <v/>
      </c>
      <c r="H500">
        <f t="shared" si="31"/>
        <v>20925646.325459316</v>
      </c>
    </row>
    <row r="501" spans="1:8" x14ac:dyDescent="0.25">
      <c r="A501" s="61"/>
      <c r="B501" s="67"/>
      <c r="C501" s="67"/>
      <c r="D501" s="61"/>
      <c r="E501" s="35" t="str">
        <f t="shared" si="28"/>
        <v/>
      </c>
      <c r="F501" s="35" t="str">
        <f t="shared" si="29"/>
        <v/>
      </c>
      <c r="G501" s="58" t="str">
        <f t="shared" si="30"/>
        <v/>
      </c>
    </row>
    <row r="502" spans="1:8" x14ac:dyDescent="0.25">
      <c r="A502" s="61"/>
      <c r="B502" s="67"/>
      <c r="C502" s="67"/>
      <c r="D502" s="61"/>
      <c r="E502" s="35" t="str">
        <f t="shared" si="28"/>
        <v/>
      </c>
      <c r="F502" s="35" t="str">
        <f t="shared" si="29"/>
        <v/>
      </c>
      <c r="G502" s="58" t="str">
        <f t="shared" si="30"/>
        <v/>
      </c>
    </row>
    <row r="503" spans="1:8" x14ac:dyDescent="0.25">
      <c r="A503" s="61"/>
      <c r="B503" s="67"/>
      <c r="C503" s="67"/>
      <c r="D503" s="61"/>
      <c r="E503" s="35" t="str">
        <f t="shared" si="28"/>
        <v/>
      </c>
      <c r="F503" s="35" t="str">
        <f t="shared" si="29"/>
        <v/>
      </c>
      <c r="G503" s="58" t="str">
        <f t="shared" si="30"/>
        <v/>
      </c>
    </row>
    <row r="504" spans="1:8" x14ac:dyDescent="0.25">
      <c r="A504" s="61"/>
      <c r="B504" s="67"/>
      <c r="C504" s="67"/>
      <c r="D504" s="61"/>
      <c r="E504" s="35" t="str">
        <f t="shared" si="28"/>
        <v/>
      </c>
      <c r="F504" s="35" t="str">
        <f t="shared" si="29"/>
        <v/>
      </c>
      <c r="G504" s="58" t="str">
        <f t="shared" si="30"/>
        <v/>
      </c>
    </row>
    <row r="505" spans="1:8" x14ac:dyDescent="0.25">
      <c r="A505" s="61"/>
      <c r="B505" s="67"/>
      <c r="C505" s="67"/>
      <c r="D505" s="61"/>
      <c r="E505" s="35" t="str">
        <f t="shared" si="28"/>
        <v/>
      </c>
      <c r="F505" s="35" t="str">
        <f t="shared" si="29"/>
        <v/>
      </c>
      <c r="G505" s="58" t="str">
        <f t="shared" si="30"/>
        <v/>
      </c>
    </row>
    <row r="506" spans="1:8" x14ac:dyDescent="0.25">
      <c r="A506" s="61"/>
      <c r="B506" s="67"/>
      <c r="C506" s="67"/>
      <c r="D506" s="61"/>
      <c r="E506" s="35" t="str">
        <f t="shared" si="28"/>
        <v/>
      </c>
      <c r="F506" s="35" t="str">
        <f t="shared" si="29"/>
        <v/>
      </c>
      <c r="G506" s="58" t="str">
        <f t="shared" si="30"/>
        <v/>
      </c>
    </row>
    <row r="507" spans="1:8" x14ac:dyDescent="0.25">
      <c r="A507" s="61"/>
      <c r="B507" s="67"/>
      <c r="C507" s="67"/>
      <c r="D507" s="61"/>
      <c r="E507" s="35" t="str">
        <f t="shared" si="28"/>
        <v/>
      </c>
      <c r="F507" s="35" t="str">
        <f t="shared" si="29"/>
        <v/>
      </c>
      <c r="G507" s="58" t="str">
        <f t="shared" si="30"/>
        <v/>
      </c>
    </row>
    <row r="508" spans="1:8" x14ac:dyDescent="0.25">
      <c r="A508" s="61"/>
      <c r="B508" s="67"/>
      <c r="C508" s="67"/>
      <c r="D508" s="61"/>
      <c r="E508" s="35" t="str">
        <f t="shared" si="28"/>
        <v/>
      </c>
      <c r="F508" s="35" t="str">
        <f t="shared" si="29"/>
        <v/>
      </c>
      <c r="G508" s="58" t="str">
        <f t="shared" si="30"/>
        <v/>
      </c>
    </row>
    <row r="509" spans="1:8" x14ac:dyDescent="0.25">
      <c r="A509" s="61"/>
      <c r="B509" s="67"/>
      <c r="C509" s="67"/>
      <c r="D509" s="61"/>
      <c r="E509" s="35" t="str">
        <f t="shared" si="28"/>
        <v/>
      </c>
      <c r="F509" s="35" t="str">
        <f t="shared" si="29"/>
        <v/>
      </c>
      <c r="G509" s="58" t="str">
        <f t="shared" si="30"/>
        <v/>
      </c>
    </row>
    <row r="510" spans="1:8" x14ac:dyDescent="0.25">
      <c r="A510" s="61"/>
      <c r="B510" s="67"/>
      <c r="C510" s="67"/>
      <c r="D510" s="61"/>
      <c r="E510" s="35" t="str">
        <f t="shared" si="28"/>
        <v/>
      </c>
      <c r="F510" s="35" t="str">
        <f t="shared" si="29"/>
        <v/>
      </c>
      <c r="G510" s="58" t="str">
        <f t="shared" si="30"/>
        <v/>
      </c>
    </row>
    <row r="511" spans="1:8" x14ac:dyDescent="0.25">
      <c r="A511" s="61"/>
      <c r="B511" s="67"/>
      <c r="C511" s="67"/>
      <c r="D511" s="61"/>
      <c r="E511" s="35" t="str">
        <f t="shared" si="28"/>
        <v/>
      </c>
      <c r="F511" s="35" t="str">
        <f t="shared" si="29"/>
        <v/>
      </c>
      <c r="G511" s="58" t="str">
        <f t="shared" si="30"/>
        <v/>
      </c>
    </row>
    <row r="512" spans="1:8" x14ac:dyDescent="0.25">
      <c r="A512" s="61"/>
      <c r="B512" s="67"/>
      <c r="C512" s="67"/>
      <c r="D512" s="61"/>
      <c r="E512" s="35" t="str">
        <f t="shared" si="28"/>
        <v/>
      </c>
      <c r="F512" s="35" t="str">
        <f t="shared" si="29"/>
        <v/>
      </c>
      <c r="G512" s="58" t="str">
        <f t="shared" si="30"/>
        <v/>
      </c>
    </row>
    <row r="513" spans="1:7" x14ac:dyDescent="0.25">
      <c r="A513" s="61"/>
      <c r="B513" s="67"/>
      <c r="C513" s="67"/>
      <c r="D513" s="61"/>
      <c r="E513" s="35" t="str">
        <f t="shared" si="28"/>
        <v/>
      </c>
      <c r="F513" s="35" t="str">
        <f t="shared" si="29"/>
        <v/>
      </c>
      <c r="G513" s="58" t="str">
        <f t="shared" si="30"/>
        <v/>
      </c>
    </row>
    <row r="514" spans="1:7" x14ac:dyDescent="0.25">
      <c r="A514" s="61"/>
      <c r="B514" s="67"/>
      <c r="C514" s="67"/>
      <c r="D514" s="61"/>
      <c r="E514" s="35" t="str">
        <f t="shared" si="28"/>
        <v/>
      </c>
      <c r="F514" s="35" t="str">
        <f t="shared" si="29"/>
        <v/>
      </c>
      <c r="G514" s="58" t="str">
        <f t="shared" si="30"/>
        <v/>
      </c>
    </row>
    <row r="515" spans="1:7" x14ac:dyDescent="0.25">
      <c r="A515" s="61"/>
      <c r="B515" s="67"/>
      <c r="C515" s="67"/>
      <c r="D515" s="61"/>
      <c r="E515" s="35" t="str">
        <f t="shared" ref="E515:E578" si="32">IF(B515&lt;&gt;"",(H515+D515)*COS(RADIANS(HMSTOHDD(B515)))*COS(RADIANS(HMSTOHDD(-C515))),"")</f>
        <v/>
      </c>
      <c r="F515" s="35" t="str">
        <f t="shared" ref="F515:F578" si="33">IF(B515&lt;&gt;"",(H515+D515)*COS(RADIANS(HMSTOHDD(B515)))*SIN(RADIANS(HMSTOHDD(-C515))),"")</f>
        <v/>
      </c>
      <c r="G515" s="58" t="str">
        <f t="shared" si="30"/>
        <v/>
      </c>
    </row>
    <row r="516" spans="1:7" x14ac:dyDescent="0.25">
      <c r="A516" s="61"/>
      <c r="B516" s="67"/>
      <c r="C516" s="67"/>
      <c r="D516" s="61"/>
      <c r="E516" s="35" t="str">
        <f t="shared" si="32"/>
        <v/>
      </c>
      <c r="F516" s="35" t="str">
        <f t="shared" si="33"/>
        <v/>
      </c>
      <c r="G516" s="58" t="str">
        <f t="shared" ref="G516:G579" si="34">IF(B516&lt;&gt;"",SIN(RADIANS(HMSTOHDD(B516)))*(H516*(1-$M$4)+D516),"")</f>
        <v/>
      </c>
    </row>
    <row r="517" spans="1:7" x14ac:dyDescent="0.25">
      <c r="A517" s="61"/>
      <c r="B517" s="67"/>
      <c r="C517" s="67"/>
      <c r="D517" s="61"/>
      <c r="E517" s="35" t="str">
        <f t="shared" si="32"/>
        <v/>
      </c>
      <c r="F517" s="35" t="str">
        <f t="shared" si="33"/>
        <v/>
      </c>
      <c r="G517" s="58" t="str">
        <f t="shared" si="34"/>
        <v/>
      </c>
    </row>
    <row r="518" spans="1:7" x14ac:dyDescent="0.25">
      <c r="A518" s="61"/>
      <c r="B518" s="67"/>
      <c r="C518" s="67"/>
      <c r="D518" s="61"/>
      <c r="E518" s="35" t="str">
        <f t="shared" si="32"/>
        <v/>
      </c>
      <c r="F518" s="35" t="str">
        <f t="shared" si="33"/>
        <v/>
      </c>
      <c r="G518" s="58" t="str">
        <f t="shared" si="34"/>
        <v/>
      </c>
    </row>
    <row r="519" spans="1:7" x14ac:dyDescent="0.25">
      <c r="A519" s="61"/>
      <c r="B519" s="67"/>
      <c r="C519" s="67"/>
      <c r="D519" s="61"/>
      <c r="E519" s="35" t="str">
        <f t="shared" si="32"/>
        <v/>
      </c>
      <c r="F519" s="35" t="str">
        <f t="shared" si="33"/>
        <v/>
      </c>
      <c r="G519" s="58" t="str">
        <f t="shared" si="34"/>
        <v/>
      </c>
    </row>
    <row r="520" spans="1:7" x14ac:dyDescent="0.25">
      <c r="A520" s="61"/>
      <c r="B520" s="67"/>
      <c r="C520" s="67"/>
      <c r="D520" s="61"/>
      <c r="E520" s="35" t="str">
        <f t="shared" si="32"/>
        <v/>
      </c>
      <c r="F520" s="35" t="str">
        <f t="shared" si="33"/>
        <v/>
      </c>
      <c r="G520" s="58" t="str">
        <f t="shared" si="34"/>
        <v/>
      </c>
    </row>
    <row r="521" spans="1:7" x14ac:dyDescent="0.25">
      <c r="A521" s="61"/>
      <c r="B521" s="67"/>
      <c r="C521" s="67"/>
      <c r="D521" s="61"/>
      <c r="E521" s="35" t="str">
        <f t="shared" si="32"/>
        <v/>
      </c>
      <c r="F521" s="35" t="str">
        <f t="shared" si="33"/>
        <v/>
      </c>
      <c r="G521" s="58" t="str">
        <f t="shared" si="34"/>
        <v/>
      </c>
    </row>
    <row r="522" spans="1:7" x14ac:dyDescent="0.25">
      <c r="A522" s="61"/>
      <c r="B522" s="67"/>
      <c r="C522" s="67"/>
      <c r="D522" s="61"/>
      <c r="E522" s="35" t="str">
        <f t="shared" si="32"/>
        <v/>
      </c>
      <c r="F522" s="35" t="str">
        <f t="shared" si="33"/>
        <v/>
      </c>
      <c r="G522" s="58" t="str">
        <f t="shared" si="34"/>
        <v/>
      </c>
    </row>
    <row r="523" spans="1:7" x14ac:dyDescent="0.25">
      <c r="A523" s="61"/>
      <c r="B523" s="67"/>
      <c r="C523" s="67"/>
      <c r="D523" s="61"/>
      <c r="E523" s="35" t="str">
        <f t="shared" si="32"/>
        <v/>
      </c>
      <c r="F523" s="35" t="str">
        <f t="shared" si="33"/>
        <v/>
      </c>
      <c r="G523" s="58" t="str">
        <f t="shared" si="34"/>
        <v/>
      </c>
    </row>
    <row r="524" spans="1:7" x14ac:dyDescent="0.25">
      <c r="A524" s="61"/>
      <c r="B524" s="67"/>
      <c r="C524" s="67"/>
      <c r="D524" s="61"/>
      <c r="E524" s="35" t="str">
        <f t="shared" si="32"/>
        <v/>
      </c>
      <c r="F524" s="35" t="str">
        <f t="shared" si="33"/>
        <v/>
      </c>
      <c r="G524" s="58" t="str">
        <f t="shared" si="34"/>
        <v/>
      </c>
    </row>
    <row r="525" spans="1:7" x14ac:dyDescent="0.25">
      <c r="A525" s="61"/>
      <c r="B525" s="67"/>
      <c r="C525" s="67"/>
      <c r="D525" s="61"/>
      <c r="E525" s="35" t="str">
        <f t="shared" si="32"/>
        <v/>
      </c>
      <c r="F525" s="35" t="str">
        <f t="shared" si="33"/>
        <v/>
      </c>
      <c r="G525" s="58" t="str">
        <f t="shared" si="34"/>
        <v/>
      </c>
    </row>
    <row r="526" spans="1:7" x14ac:dyDescent="0.25">
      <c r="A526" s="61"/>
      <c r="B526" s="67"/>
      <c r="C526" s="67"/>
      <c r="D526" s="61"/>
      <c r="E526" s="35" t="str">
        <f t="shared" si="32"/>
        <v/>
      </c>
      <c r="F526" s="35" t="str">
        <f t="shared" si="33"/>
        <v/>
      </c>
      <c r="G526" s="58" t="str">
        <f t="shared" si="34"/>
        <v/>
      </c>
    </row>
    <row r="527" spans="1:7" x14ac:dyDescent="0.25">
      <c r="A527" s="61"/>
      <c r="B527" s="67"/>
      <c r="C527" s="67"/>
      <c r="D527" s="61"/>
      <c r="E527" s="35" t="str">
        <f t="shared" si="32"/>
        <v/>
      </c>
      <c r="F527" s="35" t="str">
        <f t="shared" si="33"/>
        <v/>
      </c>
      <c r="G527" s="58" t="str">
        <f t="shared" si="34"/>
        <v/>
      </c>
    </row>
    <row r="528" spans="1:7" x14ac:dyDescent="0.25">
      <c r="A528" s="61"/>
      <c r="B528" s="67"/>
      <c r="C528" s="67"/>
      <c r="D528" s="61"/>
      <c r="E528" s="35" t="str">
        <f t="shared" si="32"/>
        <v/>
      </c>
      <c r="F528" s="35" t="str">
        <f t="shared" si="33"/>
        <v/>
      </c>
      <c r="G528" s="58" t="str">
        <f t="shared" si="34"/>
        <v/>
      </c>
    </row>
    <row r="529" spans="1:7" x14ac:dyDescent="0.25">
      <c r="A529" s="61"/>
      <c r="B529" s="67"/>
      <c r="C529" s="67"/>
      <c r="D529" s="61"/>
      <c r="E529" s="35" t="str">
        <f t="shared" si="32"/>
        <v/>
      </c>
      <c r="F529" s="35" t="str">
        <f t="shared" si="33"/>
        <v/>
      </c>
      <c r="G529" s="58" t="str">
        <f t="shared" si="34"/>
        <v/>
      </c>
    </row>
    <row r="530" spans="1:7" x14ac:dyDescent="0.25">
      <c r="A530" s="61"/>
      <c r="B530" s="67"/>
      <c r="C530" s="67"/>
      <c r="D530" s="61"/>
      <c r="E530" s="35" t="str">
        <f t="shared" si="32"/>
        <v/>
      </c>
      <c r="F530" s="35" t="str">
        <f t="shared" si="33"/>
        <v/>
      </c>
      <c r="G530" s="58" t="str">
        <f t="shared" si="34"/>
        <v/>
      </c>
    </row>
    <row r="531" spans="1:7" x14ac:dyDescent="0.25">
      <c r="A531" s="61"/>
      <c r="B531" s="67"/>
      <c r="C531" s="67"/>
      <c r="D531" s="61"/>
      <c r="E531" s="35" t="str">
        <f t="shared" si="32"/>
        <v/>
      </c>
      <c r="F531" s="35" t="str">
        <f t="shared" si="33"/>
        <v/>
      </c>
      <c r="G531" s="58" t="str">
        <f t="shared" si="34"/>
        <v/>
      </c>
    </row>
    <row r="532" spans="1:7" x14ac:dyDescent="0.25">
      <c r="A532" s="61"/>
      <c r="B532" s="67"/>
      <c r="C532" s="67"/>
      <c r="D532" s="61"/>
      <c r="E532" s="35" t="str">
        <f t="shared" si="32"/>
        <v/>
      </c>
      <c r="F532" s="35" t="str">
        <f t="shared" si="33"/>
        <v/>
      </c>
      <c r="G532" s="58" t="str">
        <f t="shared" si="34"/>
        <v/>
      </c>
    </row>
    <row r="533" spans="1:7" x14ac:dyDescent="0.25">
      <c r="A533" s="61"/>
      <c r="B533" s="67"/>
      <c r="C533" s="67"/>
      <c r="D533" s="61"/>
      <c r="E533" s="35" t="str">
        <f t="shared" si="32"/>
        <v/>
      </c>
      <c r="F533" s="35" t="str">
        <f t="shared" si="33"/>
        <v/>
      </c>
      <c r="G533" s="58" t="str">
        <f t="shared" si="34"/>
        <v/>
      </c>
    </row>
    <row r="534" spans="1:7" x14ac:dyDescent="0.25">
      <c r="A534" s="61"/>
      <c r="B534" s="67"/>
      <c r="C534" s="67"/>
      <c r="D534" s="61"/>
      <c r="E534" s="35" t="str">
        <f t="shared" si="32"/>
        <v/>
      </c>
      <c r="F534" s="35" t="str">
        <f t="shared" si="33"/>
        <v/>
      </c>
      <c r="G534" s="58" t="str">
        <f t="shared" si="34"/>
        <v/>
      </c>
    </row>
    <row r="535" spans="1:7" x14ac:dyDescent="0.25">
      <c r="A535" s="61"/>
      <c r="B535" s="67"/>
      <c r="C535" s="67"/>
      <c r="D535" s="61"/>
      <c r="E535" s="35" t="str">
        <f t="shared" si="32"/>
        <v/>
      </c>
      <c r="F535" s="35" t="str">
        <f t="shared" si="33"/>
        <v/>
      </c>
      <c r="G535" s="58" t="str">
        <f t="shared" si="34"/>
        <v/>
      </c>
    </row>
    <row r="536" spans="1:7" x14ac:dyDescent="0.25">
      <c r="A536" s="61"/>
      <c r="B536" s="67"/>
      <c r="C536" s="67"/>
      <c r="D536" s="61"/>
      <c r="E536" s="35" t="str">
        <f t="shared" si="32"/>
        <v/>
      </c>
      <c r="F536" s="35" t="str">
        <f t="shared" si="33"/>
        <v/>
      </c>
      <c r="G536" s="58" t="str">
        <f t="shared" si="34"/>
        <v/>
      </c>
    </row>
    <row r="537" spans="1:7" x14ac:dyDescent="0.25">
      <c r="A537" s="61"/>
      <c r="B537" s="67"/>
      <c r="C537" s="67"/>
      <c r="D537" s="61"/>
      <c r="E537" s="35" t="str">
        <f t="shared" si="32"/>
        <v/>
      </c>
      <c r="F537" s="35" t="str">
        <f t="shared" si="33"/>
        <v/>
      </c>
      <c r="G537" s="58" t="str">
        <f t="shared" si="34"/>
        <v/>
      </c>
    </row>
    <row r="538" spans="1:7" x14ac:dyDescent="0.25">
      <c r="A538" s="61"/>
      <c r="B538" s="67"/>
      <c r="C538" s="67"/>
      <c r="D538" s="61"/>
      <c r="E538" s="35" t="str">
        <f t="shared" si="32"/>
        <v/>
      </c>
      <c r="F538" s="35" t="str">
        <f t="shared" si="33"/>
        <v/>
      </c>
      <c r="G538" s="58" t="str">
        <f t="shared" si="34"/>
        <v/>
      </c>
    </row>
    <row r="539" spans="1:7" x14ac:dyDescent="0.25">
      <c r="A539" s="61"/>
      <c r="B539" s="67"/>
      <c r="C539" s="67"/>
      <c r="D539" s="61"/>
      <c r="E539" s="35" t="str">
        <f t="shared" si="32"/>
        <v/>
      </c>
      <c r="F539" s="35" t="str">
        <f t="shared" si="33"/>
        <v/>
      </c>
      <c r="G539" s="58" t="str">
        <f t="shared" si="34"/>
        <v/>
      </c>
    </row>
    <row r="540" spans="1:7" x14ac:dyDescent="0.25">
      <c r="A540" s="61"/>
      <c r="B540" s="67"/>
      <c r="C540" s="67"/>
      <c r="D540" s="61"/>
      <c r="E540" s="35" t="str">
        <f t="shared" si="32"/>
        <v/>
      </c>
      <c r="F540" s="35" t="str">
        <f t="shared" si="33"/>
        <v/>
      </c>
      <c r="G540" s="58" t="str">
        <f t="shared" si="34"/>
        <v/>
      </c>
    </row>
    <row r="541" spans="1:7" x14ac:dyDescent="0.25">
      <c r="A541" s="61"/>
      <c r="B541" s="67"/>
      <c r="C541" s="67"/>
      <c r="D541" s="61"/>
      <c r="E541" s="35" t="str">
        <f t="shared" si="32"/>
        <v/>
      </c>
      <c r="F541" s="35" t="str">
        <f t="shared" si="33"/>
        <v/>
      </c>
      <c r="G541" s="58" t="str">
        <f t="shared" si="34"/>
        <v/>
      </c>
    </row>
    <row r="542" spans="1:7" x14ac:dyDescent="0.25">
      <c r="A542" s="61"/>
      <c r="B542" s="67"/>
      <c r="C542" s="67"/>
      <c r="D542" s="61"/>
      <c r="E542" s="35" t="str">
        <f t="shared" si="32"/>
        <v/>
      </c>
      <c r="F542" s="35" t="str">
        <f t="shared" si="33"/>
        <v/>
      </c>
      <c r="G542" s="58" t="str">
        <f t="shared" si="34"/>
        <v/>
      </c>
    </row>
    <row r="543" spans="1:7" x14ac:dyDescent="0.25">
      <c r="A543" s="61"/>
      <c r="B543" s="67"/>
      <c r="C543" s="67"/>
      <c r="D543" s="61"/>
      <c r="E543" s="35" t="str">
        <f t="shared" si="32"/>
        <v/>
      </c>
      <c r="F543" s="35" t="str">
        <f t="shared" si="33"/>
        <v/>
      </c>
      <c r="G543" s="58" t="str">
        <f t="shared" si="34"/>
        <v/>
      </c>
    </row>
    <row r="544" spans="1:7" x14ac:dyDescent="0.25">
      <c r="A544" s="61"/>
      <c r="B544" s="67"/>
      <c r="C544" s="67"/>
      <c r="D544" s="61"/>
      <c r="E544" s="35" t="str">
        <f t="shared" si="32"/>
        <v/>
      </c>
      <c r="F544" s="35" t="str">
        <f t="shared" si="33"/>
        <v/>
      </c>
      <c r="G544" s="58" t="str">
        <f t="shared" si="34"/>
        <v/>
      </c>
    </row>
    <row r="545" spans="1:7" x14ac:dyDescent="0.25">
      <c r="A545" s="61"/>
      <c r="B545" s="67"/>
      <c r="C545" s="67"/>
      <c r="D545" s="61"/>
      <c r="E545" s="35" t="str">
        <f t="shared" si="32"/>
        <v/>
      </c>
      <c r="F545" s="35" t="str">
        <f t="shared" si="33"/>
        <v/>
      </c>
      <c r="G545" s="58" t="str">
        <f t="shared" si="34"/>
        <v/>
      </c>
    </row>
    <row r="546" spans="1:7" x14ac:dyDescent="0.25">
      <c r="A546" s="61"/>
      <c r="B546" s="67"/>
      <c r="C546" s="67"/>
      <c r="D546" s="61"/>
      <c r="E546" s="35" t="str">
        <f t="shared" si="32"/>
        <v/>
      </c>
      <c r="F546" s="35" t="str">
        <f t="shared" si="33"/>
        <v/>
      </c>
      <c r="G546" s="58" t="str">
        <f t="shared" si="34"/>
        <v/>
      </c>
    </row>
    <row r="547" spans="1:7" x14ac:dyDescent="0.25">
      <c r="A547" s="61"/>
      <c r="B547" s="67"/>
      <c r="C547" s="67"/>
      <c r="D547" s="61"/>
      <c r="E547" s="35" t="str">
        <f t="shared" si="32"/>
        <v/>
      </c>
      <c r="F547" s="35" t="str">
        <f t="shared" si="33"/>
        <v/>
      </c>
      <c r="G547" s="58" t="str">
        <f t="shared" si="34"/>
        <v/>
      </c>
    </row>
    <row r="548" spans="1:7" x14ac:dyDescent="0.25">
      <c r="A548" s="61"/>
      <c r="B548" s="67"/>
      <c r="C548" s="67"/>
      <c r="D548" s="61"/>
      <c r="E548" s="35" t="str">
        <f t="shared" si="32"/>
        <v/>
      </c>
      <c r="F548" s="35" t="str">
        <f t="shared" si="33"/>
        <v/>
      </c>
      <c r="G548" s="58" t="str">
        <f t="shared" si="34"/>
        <v/>
      </c>
    </row>
    <row r="549" spans="1:7" x14ac:dyDescent="0.25">
      <c r="A549" s="61"/>
      <c r="B549" s="67"/>
      <c r="C549" s="67"/>
      <c r="D549" s="61"/>
      <c r="E549" s="35" t="str">
        <f t="shared" si="32"/>
        <v/>
      </c>
      <c r="F549" s="35" t="str">
        <f t="shared" si="33"/>
        <v/>
      </c>
      <c r="G549" s="58" t="str">
        <f t="shared" si="34"/>
        <v/>
      </c>
    </row>
    <row r="550" spans="1:7" x14ac:dyDescent="0.25">
      <c r="A550" s="61"/>
      <c r="B550" s="67"/>
      <c r="C550" s="67"/>
      <c r="D550" s="61"/>
      <c r="E550" s="35" t="str">
        <f t="shared" si="32"/>
        <v/>
      </c>
      <c r="F550" s="35" t="str">
        <f t="shared" si="33"/>
        <v/>
      </c>
      <c r="G550" s="58" t="str">
        <f t="shared" si="34"/>
        <v/>
      </c>
    </row>
    <row r="551" spans="1:7" x14ac:dyDescent="0.25">
      <c r="A551" s="61"/>
      <c r="B551" s="67"/>
      <c r="C551" s="67"/>
      <c r="D551" s="61"/>
      <c r="E551" s="35" t="str">
        <f t="shared" si="32"/>
        <v/>
      </c>
      <c r="F551" s="35" t="str">
        <f t="shared" si="33"/>
        <v/>
      </c>
      <c r="G551" s="58" t="str">
        <f t="shared" si="34"/>
        <v/>
      </c>
    </row>
    <row r="552" spans="1:7" x14ac:dyDescent="0.25">
      <c r="A552" s="61"/>
      <c r="B552" s="67"/>
      <c r="C552" s="67"/>
      <c r="D552" s="61"/>
      <c r="E552" s="35" t="str">
        <f t="shared" si="32"/>
        <v/>
      </c>
      <c r="F552" s="35" t="str">
        <f t="shared" si="33"/>
        <v/>
      </c>
      <c r="G552" s="58" t="str">
        <f t="shared" si="34"/>
        <v/>
      </c>
    </row>
    <row r="553" spans="1:7" x14ac:dyDescent="0.25">
      <c r="A553" s="61"/>
      <c r="B553" s="67"/>
      <c r="C553" s="67"/>
      <c r="D553" s="61"/>
      <c r="E553" s="35" t="str">
        <f t="shared" si="32"/>
        <v/>
      </c>
      <c r="F553" s="35" t="str">
        <f t="shared" si="33"/>
        <v/>
      </c>
      <c r="G553" s="58" t="str">
        <f t="shared" si="34"/>
        <v/>
      </c>
    </row>
    <row r="554" spans="1:7" x14ac:dyDescent="0.25">
      <c r="A554" s="61"/>
      <c r="B554" s="67"/>
      <c r="C554" s="67"/>
      <c r="D554" s="61"/>
      <c r="E554" s="35" t="str">
        <f t="shared" si="32"/>
        <v/>
      </c>
      <c r="F554" s="35" t="str">
        <f t="shared" si="33"/>
        <v/>
      </c>
      <c r="G554" s="58" t="str">
        <f t="shared" si="34"/>
        <v/>
      </c>
    </row>
    <row r="555" spans="1:7" x14ac:dyDescent="0.25">
      <c r="A555" s="61"/>
      <c r="B555" s="67"/>
      <c r="C555" s="67"/>
      <c r="D555" s="61"/>
      <c r="E555" s="35" t="str">
        <f t="shared" si="32"/>
        <v/>
      </c>
      <c r="F555" s="35" t="str">
        <f t="shared" si="33"/>
        <v/>
      </c>
      <c r="G555" s="58" t="str">
        <f t="shared" si="34"/>
        <v/>
      </c>
    </row>
    <row r="556" spans="1:7" x14ac:dyDescent="0.25">
      <c r="A556" s="61"/>
      <c r="B556" s="67"/>
      <c r="C556" s="67"/>
      <c r="D556" s="61"/>
      <c r="E556" s="35" t="str">
        <f t="shared" si="32"/>
        <v/>
      </c>
      <c r="F556" s="35" t="str">
        <f t="shared" si="33"/>
        <v/>
      </c>
      <c r="G556" s="58" t="str">
        <f t="shared" si="34"/>
        <v/>
      </c>
    </row>
    <row r="557" spans="1:7" x14ac:dyDescent="0.25">
      <c r="A557" s="61"/>
      <c r="B557" s="67"/>
      <c r="C557" s="67"/>
      <c r="D557" s="61"/>
      <c r="E557" s="35" t="str">
        <f t="shared" si="32"/>
        <v/>
      </c>
      <c r="F557" s="35" t="str">
        <f t="shared" si="33"/>
        <v/>
      </c>
      <c r="G557" s="58" t="str">
        <f t="shared" si="34"/>
        <v/>
      </c>
    </row>
    <row r="558" spans="1:7" x14ac:dyDescent="0.25">
      <c r="A558" s="61"/>
      <c r="B558" s="67"/>
      <c r="C558" s="67"/>
      <c r="D558" s="61"/>
      <c r="E558" s="35" t="str">
        <f t="shared" si="32"/>
        <v/>
      </c>
      <c r="F558" s="35" t="str">
        <f t="shared" si="33"/>
        <v/>
      </c>
      <c r="G558" s="58" t="str">
        <f t="shared" si="34"/>
        <v/>
      </c>
    </row>
    <row r="559" spans="1:7" x14ac:dyDescent="0.25">
      <c r="A559" s="61"/>
      <c r="B559" s="67"/>
      <c r="C559" s="67"/>
      <c r="D559" s="61"/>
      <c r="E559" s="35" t="str">
        <f t="shared" si="32"/>
        <v/>
      </c>
      <c r="F559" s="35" t="str">
        <f t="shared" si="33"/>
        <v/>
      </c>
      <c r="G559" s="58" t="str">
        <f t="shared" si="34"/>
        <v/>
      </c>
    </row>
    <row r="560" spans="1:7" x14ac:dyDescent="0.25">
      <c r="A560" s="61"/>
      <c r="B560" s="67"/>
      <c r="C560" s="67"/>
      <c r="D560" s="61"/>
      <c r="E560" s="35" t="str">
        <f t="shared" si="32"/>
        <v/>
      </c>
      <c r="F560" s="35" t="str">
        <f t="shared" si="33"/>
        <v/>
      </c>
      <c r="G560" s="58" t="str">
        <f t="shared" si="34"/>
        <v/>
      </c>
    </row>
    <row r="561" spans="1:7" x14ac:dyDescent="0.25">
      <c r="A561" s="61"/>
      <c r="B561" s="67"/>
      <c r="C561" s="67"/>
      <c r="D561" s="61"/>
      <c r="E561" s="35" t="str">
        <f t="shared" si="32"/>
        <v/>
      </c>
      <c r="F561" s="35" t="str">
        <f t="shared" si="33"/>
        <v/>
      </c>
      <c r="G561" s="58" t="str">
        <f t="shared" si="34"/>
        <v/>
      </c>
    </row>
    <row r="562" spans="1:7" x14ac:dyDescent="0.25">
      <c r="A562" s="61"/>
      <c r="B562" s="67"/>
      <c r="C562" s="67"/>
      <c r="D562" s="61"/>
      <c r="E562" s="35" t="str">
        <f t="shared" si="32"/>
        <v/>
      </c>
      <c r="F562" s="35" t="str">
        <f t="shared" si="33"/>
        <v/>
      </c>
      <c r="G562" s="58" t="str">
        <f t="shared" si="34"/>
        <v/>
      </c>
    </row>
    <row r="563" spans="1:7" x14ac:dyDescent="0.25">
      <c r="A563" s="61"/>
      <c r="B563" s="67"/>
      <c r="C563" s="67"/>
      <c r="D563" s="61"/>
      <c r="E563" s="35" t="str">
        <f t="shared" si="32"/>
        <v/>
      </c>
      <c r="F563" s="35" t="str">
        <f t="shared" si="33"/>
        <v/>
      </c>
      <c r="G563" s="58" t="str">
        <f t="shared" si="34"/>
        <v/>
      </c>
    </row>
    <row r="564" spans="1:7" x14ac:dyDescent="0.25">
      <c r="A564" s="61"/>
      <c r="B564" s="67"/>
      <c r="C564" s="67"/>
      <c r="D564" s="61"/>
      <c r="E564" s="35" t="str">
        <f t="shared" si="32"/>
        <v/>
      </c>
      <c r="F564" s="35" t="str">
        <f t="shared" si="33"/>
        <v/>
      </c>
      <c r="G564" s="58" t="str">
        <f t="shared" si="34"/>
        <v/>
      </c>
    </row>
    <row r="565" spans="1:7" x14ac:dyDescent="0.25">
      <c r="A565" s="61"/>
      <c r="B565" s="67"/>
      <c r="C565" s="67"/>
      <c r="D565" s="61"/>
      <c r="E565" s="35" t="str">
        <f t="shared" si="32"/>
        <v/>
      </c>
      <c r="F565" s="35" t="str">
        <f t="shared" si="33"/>
        <v/>
      </c>
      <c r="G565" s="58" t="str">
        <f t="shared" si="34"/>
        <v/>
      </c>
    </row>
    <row r="566" spans="1:7" x14ac:dyDescent="0.25">
      <c r="A566" s="61"/>
      <c r="B566" s="67"/>
      <c r="C566" s="67"/>
      <c r="D566" s="61"/>
      <c r="E566" s="35" t="str">
        <f t="shared" si="32"/>
        <v/>
      </c>
      <c r="F566" s="35" t="str">
        <f t="shared" si="33"/>
        <v/>
      </c>
      <c r="G566" s="58" t="str">
        <f t="shared" si="34"/>
        <v/>
      </c>
    </row>
    <row r="567" spans="1:7" x14ac:dyDescent="0.25">
      <c r="A567" s="61"/>
      <c r="B567" s="67"/>
      <c r="C567" s="67"/>
      <c r="D567" s="61"/>
      <c r="E567" s="35" t="str">
        <f t="shared" si="32"/>
        <v/>
      </c>
      <c r="F567" s="35" t="str">
        <f t="shared" si="33"/>
        <v/>
      </c>
      <c r="G567" s="58" t="str">
        <f t="shared" si="34"/>
        <v/>
      </c>
    </row>
    <row r="568" spans="1:7" x14ac:dyDescent="0.25">
      <c r="A568" s="61"/>
      <c r="B568" s="67"/>
      <c r="C568" s="67"/>
      <c r="D568" s="61"/>
      <c r="E568" s="35" t="str">
        <f t="shared" si="32"/>
        <v/>
      </c>
      <c r="F568" s="35" t="str">
        <f t="shared" si="33"/>
        <v/>
      </c>
      <c r="G568" s="58" t="str">
        <f t="shared" si="34"/>
        <v/>
      </c>
    </row>
    <row r="569" spans="1:7" x14ac:dyDescent="0.25">
      <c r="A569" s="61"/>
      <c r="B569" s="67"/>
      <c r="C569" s="67"/>
      <c r="D569" s="61"/>
      <c r="E569" s="35" t="str">
        <f t="shared" si="32"/>
        <v/>
      </c>
      <c r="F569" s="35" t="str">
        <f t="shared" si="33"/>
        <v/>
      </c>
      <c r="G569" s="58" t="str">
        <f t="shared" si="34"/>
        <v/>
      </c>
    </row>
    <row r="570" spans="1:7" x14ac:dyDescent="0.25">
      <c r="A570" s="61"/>
      <c r="B570" s="67"/>
      <c r="C570" s="67"/>
      <c r="D570" s="61"/>
      <c r="E570" s="35" t="str">
        <f t="shared" si="32"/>
        <v/>
      </c>
      <c r="F570" s="35" t="str">
        <f t="shared" si="33"/>
        <v/>
      </c>
      <c r="G570" s="58" t="str">
        <f t="shared" si="34"/>
        <v/>
      </c>
    </row>
    <row r="571" spans="1:7" x14ac:dyDescent="0.25">
      <c r="A571" s="61"/>
      <c r="B571" s="67"/>
      <c r="C571" s="67"/>
      <c r="D571" s="61"/>
      <c r="E571" s="35" t="str">
        <f t="shared" si="32"/>
        <v/>
      </c>
      <c r="F571" s="35" t="str">
        <f t="shared" si="33"/>
        <v/>
      </c>
      <c r="G571" s="58" t="str">
        <f t="shared" si="34"/>
        <v/>
      </c>
    </row>
    <row r="572" spans="1:7" x14ac:dyDescent="0.25">
      <c r="A572" s="61"/>
      <c r="B572" s="67"/>
      <c r="C572" s="67"/>
      <c r="D572" s="61"/>
      <c r="E572" s="35" t="str">
        <f t="shared" si="32"/>
        <v/>
      </c>
      <c r="F572" s="35" t="str">
        <f t="shared" si="33"/>
        <v/>
      </c>
      <c r="G572" s="58" t="str">
        <f t="shared" si="34"/>
        <v/>
      </c>
    </row>
    <row r="573" spans="1:7" x14ac:dyDescent="0.25">
      <c r="A573" s="61"/>
      <c r="B573" s="67"/>
      <c r="C573" s="67"/>
      <c r="D573" s="61"/>
      <c r="E573" s="35" t="str">
        <f t="shared" si="32"/>
        <v/>
      </c>
      <c r="F573" s="35" t="str">
        <f t="shared" si="33"/>
        <v/>
      </c>
      <c r="G573" s="58" t="str">
        <f t="shared" si="34"/>
        <v/>
      </c>
    </row>
    <row r="574" spans="1:7" x14ac:dyDescent="0.25">
      <c r="A574" s="61"/>
      <c r="B574" s="67"/>
      <c r="C574" s="67"/>
      <c r="D574" s="61"/>
      <c r="E574" s="35" t="str">
        <f t="shared" si="32"/>
        <v/>
      </c>
      <c r="F574" s="35" t="str">
        <f t="shared" si="33"/>
        <v/>
      </c>
      <c r="G574" s="58" t="str">
        <f t="shared" si="34"/>
        <v/>
      </c>
    </row>
    <row r="575" spans="1:7" x14ac:dyDescent="0.25">
      <c r="A575" s="61"/>
      <c r="B575" s="67"/>
      <c r="C575" s="67"/>
      <c r="D575" s="61"/>
      <c r="E575" s="35" t="str">
        <f t="shared" si="32"/>
        <v/>
      </c>
      <c r="F575" s="35" t="str">
        <f t="shared" si="33"/>
        <v/>
      </c>
      <c r="G575" s="58" t="str">
        <f t="shared" si="34"/>
        <v/>
      </c>
    </row>
    <row r="576" spans="1:7" x14ac:dyDescent="0.25">
      <c r="A576" s="61"/>
      <c r="B576" s="67"/>
      <c r="C576" s="67"/>
      <c r="D576" s="61"/>
      <c r="E576" s="35" t="str">
        <f t="shared" si="32"/>
        <v/>
      </c>
      <c r="F576" s="35" t="str">
        <f t="shared" si="33"/>
        <v/>
      </c>
      <c r="G576" s="58" t="str">
        <f t="shared" si="34"/>
        <v/>
      </c>
    </row>
    <row r="577" spans="1:7" x14ac:dyDescent="0.25">
      <c r="A577" s="61"/>
      <c r="B577" s="67"/>
      <c r="C577" s="67"/>
      <c r="D577" s="61"/>
      <c r="E577" s="35" t="str">
        <f t="shared" si="32"/>
        <v/>
      </c>
      <c r="F577" s="35" t="str">
        <f t="shared" si="33"/>
        <v/>
      </c>
      <c r="G577" s="58" t="str">
        <f t="shared" si="34"/>
        <v/>
      </c>
    </row>
    <row r="578" spans="1:7" x14ac:dyDescent="0.25">
      <c r="A578" s="61"/>
      <c r="B578" s="67"/>
      <c r="C578" s="67"/>
      <c r="D578" s="61"/>
      <c r="E578" s="35" t="str">
        <f t="shared" si="32"/>
        <v/>
      </c>
      <c r="F578" s="35" t="str">
        <f t="shared" si="33"/>
        <v/>
      </c>
      <c r="G578" s="58" t="str">
        <f t="shared" si="34"/>
        <v/>
      </c>
    </row>
    <row r="579" spans="1:7" x14ac:dyDescent="0.25">
      <c r="A579" s="61"/>
      <c r="B579" s="67"/>
      <c r="C579" s="67"/>
      <c r="D579" s="61"/>
      <c r="E579" s="35" t="str">
        <f t="shared" ref="E579:E642" si="35">IF(B579&lt;&gt;"",(H579+D579)*COS(RADIANS(HMSTOHDD(B579)))*COS(RADIANS(HMSTOHDD(-C579))),"")</f>
        <v/>
      </c>
      <c r="F579" s="35" t="str">
        <f t="shared" ref="F579:F642" si="36">IF(B579&lt;&gt;"",(H579+D579)*COS(RADIANS(HMSTOHDD(B579)))*SIN(RADIANS(HMSTOHDD(-C579))),"")</f>
        <v/>
      </c>
      <c r="G579" s="58" t="str">
        <f t="shared" si="34"/>
        <v/>
      </c>
    </row>
    <row r="580" spans="1:7" x14ac:dyDescent="0.25">
      <c r="A580" s="61"/>
      <c r="B580" s="67"/>
      <c r="C580" s="67"/>
      <c r="D580" s="61"/>
      <c r="E580" s="35" t="str">
        <f t="shared" si="35"/>
        <v/>
      </c>
      <c r="F580" s="35" t="str">
        <f t="shared" si="36"/>
        <v/>
      </c>
      <c r="G580" s="58" t="str">
        <f t="shared" ref="G580:G643" si="37">IF(B580&lt;&gt;"",SIN(RADIANS(HMSTOHDD(B580)))*(H580*(1-$M$4)+D580),"")</f>
        <v/>
      </c>
    </row>
    <row r="581" spans="1:7" x14ac:dyDescent="0.25">
      <c r="A581" s="61"/>
      <c r="B581" s="67"/>
      <c r="C581" s="67"/>
      <c r="D581" s="61"/>
      <c r="E581" s="35" t="str">
        <f t="shared" si="35"/>
        <v/>
      </c>
      <c r="F581" s="35" t="str">
        <f t="shared" si="36"/>
        <v/>
      </c>
      <c r="G581" s="58" t="str">
        <f t="shared" si="37"/>
        <v/>
      </c>
    </row>
    <row r="582" spans="1:7" x14ac:dyDescent="0.25">
      <c r="A582" s="61"/>
      <c r="B582" s="67"/>
      <c r="C582" s="67"/>
      <c r="D582" s="61"/>
      <c r="E582" s="35" t="str">
        <f t="shared" si="35"/>
        <v/>
      </c>
      <c r="F582" s="35" t="str">
        <f t="shared" si="36"/>
        <v/>
      </c>
      <c r="G582" s="58" t="str">
        <f t="shared" si="37"/>
        <v/>
      </c>
    </row>
    <row r="583" spans="1:7" x14ac:dyDescent="0.25">
      <c r="A583" s="61"/>
      <c r="B583" s="67"/>
      <c r="C583" s="67"/>
      <c r="D583" s="61"/>
      <c r="E583" s="35" t="str">
        <f t="shared" si="35"/>
        <v/>
      </c>
      <c r="F583" s="35" t="str">
        <f t="shared" si="36"/>
        <v/>
      </c>
      <c r="G583" s="58" t="str">
        <f t="shared" si="37"/>
        <v/>
      </c>
    </row>
    <row r="584" spans="1:7" x14ac:dyDescent="0.25">
      <c r="A584" s="61"/>
      <c r="B584" s="67"/>
      <c r="C584" s="67"/>
      <c r="D584" s="61"/>
      <c r="E584" s="35" t="str">
        <f t="shared" si="35"/>
        <v/>
      </c>
      <c r="F584" s="35" t="str">
        <f t="shared" si="36"/>
        <v/>
      </c>
      <c r="G584" s="58" t="str">
        <f t="shared" si="37"/>
        <v/>
      </c>
    </row>
    <row r="585" spans="1:7" x14ac:dyDescent="0.25">
      <c r="A585" s="61"/>
      <c r="B585" s="67"/>
      <c r="C585" s="67"/>
      <c r="D585" s="61"/>
      <c r="E585" s="35" t="str">
        <f t="shared" si="35"/>
        <v/>
      </c>
      <c r="F585" s="35" t="str">
        <f t="shared" si="36"/>
        <v/>
      </c>
      <c r="G585" s="58" t="str">
        <f t="shared" si="37"/>
        <v/>
      </c>
    </row>
    <row r="586" spans="1:7" x14ac:dyDescent="0.25">
      <c r="A586" s="61"/>
      <c r="B586" s="67"/>
      <c r="C586" s="67"/>
      <c r="D586" s="61"/>
      <c r="E586" s="35" t="str">
        <f t="shared" si="35"/>
        <v/>
      </c>
      <c r="F586" s="35" t="str">
        <f t="shared" si="36"/>
        <v/>
      </c>
      <c r="G586" s="58" t="str">
        <f t="shared" si="37"/>
        <v/>
      </c>
    </row>
    <row r="587" spans="1:7" x14ac:dyDescent="0.25">
      <c r="A587" s="61"/>
      <c r="B587" s="67"/>
      <c r="C587" s="67"/>
      <c r="D587" s="61"/>
      <c r="E587" s="35" t="str">
        <f t="shared" si="35"/>
        <v/>
      </c>
      <c r="F587" s="35" t="str">
        <f t="shared" si="36"/>
        <v/>
      </c>
      <c r="G587" s="58" t="str">
        <f t="shared" si="37"/>
        <v/>
      </c>
    </row>
    <row r="588" spans="1:7" x14ac:dyDescent="0.25">
      <c r="A588" s="61"/>
      <c r="B588" s="67"/>
      <c r="C588" s="67"/>
      <c r="D588" s="61"/>
      <c r="E588" s="35" t="str">
        <f t="shared" si="35"/>
        <v/>
      </c>
      <c r="F588" s="35" t="str">
        <f t="shared" si="36"/>
        <v/>
      </c>
      <c r="G588" s="58" t="str">
        <f t="shared" si="37"/>
        <v/>
      </c>
    </row>
    <row r="589" spans="1:7" x14ac:dyDescent="0.25">
      <c r="A589" s="61"/>
      <c r="B589" s="67"/>
      <c r="C589" s="67"/>
      <c r="D589" s="61"/>
      <c r="E589" s="35" t="str">
        <f t="shared" si="35"/>
        <v/>
      </c>
      <c r="F589" s="35" t="str">
        <f t="shared" si="36"/>
        <v/>
      </c>
      <c r="G589" s="58" t="str">
        <f t="shared" si="37"/>
        <v/>
      </c>
    </row>
    <row r="590" spans="1:7" x14ac:dyDescent="0.25">
      <c r="A590" s="61"/>
      <c r="B590" s="67"/>
      <c r="C590" s="67"/>
      <c r="D590" s="61"/>
      <c r="E590" s="35" t="str">
        <f t="shared" si="35"/>
        <v/>
      </c>
      <c r="F590" s="35" t="str">
        <f t="shared" si="36"/>
        <v/>
      </c>
      <c r="G590" s="58" t="str">
        <f t="shared" si="37"/>
        <v/>
      </c>
    </row>
    <row r="591" spans="1:7" x14ac:dyDescent="0.25">
      <c r="A591" s="61"/>
      <c r="B591" s="67"/>
      <c r="C591" s="67"/>
      <c r="D591" s="61"/>
      <c r="E591" s="35" t="str">
        <f t="shared" si="35"/>
        <v/>
      </c>
      <c r="F591" s="35" t="str">
        <f t="shared" si="36"/>
        <v/>
      </c>
      <c r="G591" s="58" t="str">
        <f t="shared" si="37"/>
        <v/>
      </c>
    </row>
    <row r="592" spans="1:7" x14ac:dyDescent="0.25">
      <c r="A592" s="61"/>
      <c r="B592" s="67"/>
      <c r="C592" s="67"/>
      <c r="D592" s="61"/>
      <c r="E592" s="35" t="str">
        <f t="shared" si="35"/>
        <v/>
      </c>
      <c r="F592" s="35" t="str">
        <f t="shared" si="36"/>
        <v/>
      </c>
      <c r="G592" s="58" t="str">
        <f t="shared" si="37"/>
        <v/>
      </c>
    </row>
    <row r="593" spans="1:7" x14ac:dyDescent="0.25">
      <c r="A593" s="61"/>
      <c r="B593" s="67"/>
      <c r="C593" s="67"/>
      <c r="D593" s="61"/>
      <c r="E593" s="35" t="str">
        <f t="shared" si="35"/>
        <v/>
      </c>
      <c r="F593" s="35" t="str">
        <f t="shared" si="36"/>
        <v/>
      </c>
      <c r="G593" s="58" t="str">
        <f t="shared" si="37"/>
        <v/>
      </c>
    </row>
    <row r="594" spans="1:7" x14ac:dyDescent="0.25">
      <c r="A594" s="61"/>
      <c r="B594" s="67"/>
      <c r="C594" s="67"/>
      <c r="D594" s="61"/>
      <c r="E594" s="35" t="str">
        <f t="shared" si="35"/>
        <v/>
      </c>
      <c r="F594" s="35" t="str">
        <f t="shared" si="36"/>
        <v/>
      </c>
      <c r="G594" s="58" t="str">
        <f t="shared" si="37"/>
        <v/>
      </c>
    </row>
    <row r="595" spans="1:7" x14ac:dyDescent="0.25">
      <c r="A595" s="61"/>
      <c r="B595" s="67"/>
      <c r="C595" s="67"/>
      <c r="D595" s="61"/>
      <c r="E595" s="35" t="str">
        <f t="shared" si="35"/>
        <v/>
      </c>
      <c r="F595" s="35" t="str">
        <f t="shared" si="36"/>
        <v/>
      </c>
      <c r="G595" s="58" t="str">
        <f t="shared" si="37"/>
        <v/>
      </c>
    </row>
    <row r="596" spans="1:7" x14ac:dyDescent="0.25">
      <c r="A596" s="61"/>
      <c r="B596" s="67"/>
      <c r="C596" s="67"/>
      <c r="D596" s="61"/>
      <c r="E596" s="35" t="str">
        <f t="shared" si="35"/>
        <v/>
      </c>
      <c r="F596" s="35" t="str">
        <f t="shared" si="36"/>
        <v/>
      </c>
      <c r="G596" s="58" t="str">
        <f t="shared" si="37"/>
        <v/>
      </c>
    </row>
    <row r="597" spans="1:7" x14ac:dyDescent="0.25">
      <c r="A597" s="61"/>
      <c r="B597" s="67"/>
      <c r="C597" s="67"/>
      <c r="D597" s="61"/>
      <c r="E597" s="35" t="str">
        <f t="shared" si="35"/>
        <v/>
      </c>
      <c r="F597" s="35" t="str">
        <f t="shared" si="36"/>
        <v/>
      </c>
      <c r="G597" s="58" t="str">
        <f t="shared" si="37"/>
        <v/>
      </c>
    </row>
    <row r="598" spans="1:7" x14ac:dyDescent="0.25">
      <c r="A598" s="61"/>
      <c r="B598" s="67"/>
      <c r="C598" s="67"/>
      <c r="D598" s="61"/>
      <c r="E598" s="35" t="str">
        <f t="shared" si="35"/>
        <v/>
      </c>
      <c r="F598" s="35" t="str">
        <f t="shared" si="36"/>
        <v/>
      </c>
      <c r="G598" s="58" t="str">
        <f t="shared" si="37"/>
        <v/>
      </c>
    </row>
    <row r="599" spans="1:7" x14ac:dyDescent="0.25">
      <c r="A599" s="61"/>
      <c r="B599" s="67"/>
      <c r="C599" s="67"/>
      <c r="D599" s="61"/>
      <c r="E599" s="35" t="str">
        <f t="shared" si="35"/>
        <v/>
      </c>
      <c r="F599" s="35" t="str">
        <f t="shared" si="36"/>
        <v/>
      </c>
      <c r="G599" s="58" t="str">
        <f t="shared" si="37"/>
        <v/>
      </c>
    </row>
    <row r="600" spans="1:7" x14ac:dyDescent="0.25">
      <c r="A600" s="61"/>
      <c r="B600" s="67"/>
      <c r="C600" s="67"/>
      <c r="D600" s="61"/>
      <c r="E600" s="35" t="str">
        <f t="shared" si="35"/>
        <v/>
      </c>
      <c r="F600" s="35" t="str">
        <f t="shared" si="36"/>
        <v/>
      </c>
      <c r="G600" s="58" t="str">
        <f t="shared" si="37"/>
        <v/>
      </c>
    </row>
    <row r="601" spans="1:7" x14ac:dyDescent="0.25">
      <c r="A601" s="61"/>
      <c r="B601" s="67"/>
      <c r="C601" s="67"/>
      <c r="D601" s="61"/>
      <c r="E601" s="35" t="str">
        <f t="shared" si="35"/>
        <v/>
      </c>
      <c r="F601" s="35" t="str">
        <f t="shared" si="36"/>
        <v/>
      </c>
      <c r="G601" s="58" t="str">
        <f t="shared" si="37"/>
        <v/>
      </c>
    </row>
    <row r="602" spans="1:7" x14ac:dyDescent="0.25">
      <c r="A602" s="61"/>
      <c r="B602" s="67"/>
      <c r="C602" s="67"/>
      <c r="D602" s="61"/>
      <c r="E602" s="35" t="str">
        <f t="shared" si="35"/>
        <v/>
      </c>
      <c r="F602" s="35" t="str">
        <f t="shared" si="36"/>
        <v/>
      </c>
      <c r="G602" s="58" t="str">
        <f t="shared" si="37"/>
        <v/>
      </c>
    </row>
    <row r="603" spans="1:7" x14ac:dyDescent="0.25">
      <c r="A603" s="61"/>
      <c r="B603" s="67"/>
      <c r="C603" s="67"/>
      <c r="D603" s="61"/>
      <c r="E603" s="35" t="str">
        <f t="shared" si="35"/>
        <v/>
      </c>
      <c r="F603" s="35" t="str">
        <f t="shared" si="36"/>
        <v/>
      </c>
      <c r="G603" s="58" t="str">
        <f t="shared" si="37"/>
        <v/>
      </c>
    </row>
    <row r="604" spans="1:7" x14ac:dyDescent="0.25">
      <c r="A604" s="61"/>
      <c r="B604" s="67"/>
      <c r="C604" s="67"/>
      <c r="D604" s="61"/>
      <c r="E604" s="35" t="str">
        <f t="shared" si="35"/>
        <v/>
      </c>
      <c r="F604" s="35" t="str">
        <f t="shared" si="36"/>
        <v/>
      </c>
      <c r="G604" s="58" t="str">
        <f t="shared" si="37"/>
        <v/>
      </c>
    </row>
    <row r="605" spans="1:7" x14ac:dyDescent="0.25">
      <c r="A605" s="61"/>
      <c r="B605" s="67"/>
      <c r="C605" s="67"/>
      <c r="D605" s="61"/>
      <c r="E605" s="35" t="str">
        <f t="shared" si="35"/>
        <v/>
      </c>
      <c r="F605" s="35" t="str">
        <f t="shared" si="36"/>
        <v/>
      </c>
      <c r="G605" s="58" t="str">
        <f t="shared" si="37"/>
        <v/>
      </c>
    </row>
    <row r="606" spans="1:7" x14ac:dyDescent="0.25">
      <c r="A606" s="61"/>
      <c r="B606" s="67"/>
      <c r="C606" s="67"/>
      <c r="D606" s="61"/>
      <c r="E606" s="35" t="str">
        <f t="shared" si="35"/>
        <v/>
      </c>
      <c r="F606" s="35" t="str">
        <f t="shared" si="36"/>
        <v/>
      </c>
      <c r="G606" s="58" t="str">
        <f t="shared" si="37"/>
        <v/>
      </c>
    </row>
    <row r="607" spans="1:7" x14ac:dyDescent="0.25">
      <c r="A607" s="61"/>
      <c r="B607" s="67"/>
      <c r="C607" s="67"/>
      <c r="D607" s="61"/>
      <c r="E607" s="35" t="str">
        <f t="shared" si="35"/>
        <v/>
      </c>
      <c r="F607" s="35" t="str">
        <f t="shared" si="36"/>
        <v/>
      </c>
      <c r="G607" s="58" t="str">
        <f t="shared" si="37"/>
        <v/>
      </c>
    </row>
    <row r="608" spans="1:7" x14ac:dyDescent="0.25">
      <c r="A608" s="61"/>
      <c r="B608" s="67"/>
      <c r="C608" s="67"/>
      <c r="D608" s="61"/>
      <c r="E608" s="35" t="str">
        <f t="shared" si="35"/>
        <v/>
      </c>
      <c r="F608" s="35" t="str">
        <f t="shared" si="36"/>
        <v/>
      </c>
      <c r="G608" s="58" t="str">
        <f t="shared" si="37"/>
        <v/>
      </c>
    </row>
    <row r="609" spans="1:7" x14ac:dyDescent="0.25">
      <c r="A609" s="61"/>
      <c r="B609" s="67"/>
      <c r="C609" s="67"/>
      <c r="D609" s="61"/>
      <c r="E609" s="35" t="str">
        <f t="shared" si="35"/>
        <v/>
      </c>
      <c r="F609" s="35" t="str">
        <f t="shared" si="36"/>
        <v/>
      </c>
      <c r="G609" s="58" t="str">
        <f t="shared" si="37"/>
        <v/>
      </c>
    </row>
    <row r="610" spans="1:7" x14ac:dyDescent="0.25">
      <c r="A610" s="61"/>
      <c r="B610" s="67"/>
      <c r="C610" s="67"/>
      <c r="D610" s="61"/>
      <c r="E610" s="35" t="str">
        <f t="shared" si="35"/>
        <v/>
      </c>
      <c r="F610" s="35" t="str">
        <f t="shared" si="36"/>
        <v/>
      </c>
      <c r="G610" s="58" t="str">
        <f t="shared" si="37"/>
        <v/>
      </c>
    </row>
    <row r="611" spans="1:7" x14ac:dyDescent="0.25">
      <c r="A611" s="61"/>
      <c r="B611" s="67"/>
      <c r="C611" s="67"/>
      <c r="D611" s="61"/>
      <c r="E611" s="35" t="str">
        <f t="shared" si="35"/>
        <v/>
      </c>
      <c r="F611" s="35" t="str">
        <f t="shared" si="36"/>
        <v/>
      </c>
      <c r="G611" s="58" t="str">
        <f t="shared" si="37"/>
        <v/>
      </c>
    </row>
    <row r="612" spans="1:7" x14ac:dyDescent="0.25">
      <c r="A612" s="61"/>
      <c r="B612" s="67"/>
      <c r="C612" s="67"/>
      <c r="D612" s="61"/>
      <c r="E612" s="35" t="str">
        <f t="shared" si="35"/>
        <v/>
      </c>
      <c r="F612" s="35" t="str">
        <f t="shared" si="36"/>
        <v/>
      </c>
      <c r="G612" s="58" t="str">
        <f t="shared" si="37"/>
        <v/>
      </c>
    </row>
    <row r="613" spans="1:7" x14ac:dyDescent="0.25">
      <c r="A613" s="61"/>
      <c r="B613" s="67"/>
      <c r="C613" s="67"/>
      <c r="D613" s="61"/>
      <c r="E613" s="35" t="str">
        <f t="shared" si="35"/>
        <v/>
      </c>
      <c r="F613" s="35" t="str">
        <f t="shared" si="36"/>
        <v/>
      </c>
      <c r="G613" s="58" t="str">
        <f t="shared" si="37"/>
        <v/>
      </c>
    </row>
    <row r="614" spans="1:7" x14ac:dyDescent="0.25">
      <c r="A614" s="61"/>
      <c r="B614" s="67"/>
      <c r="C614" s="67"/>
      <c r="D614" s="61"/>
      <c r="E614" s="35" t="str">
        <f t="shared" si="35"/>
        <v/>
      </c>
      <c r="F614" s="35" t="str">
        <f t="shared" si="36"/>
        <v/>
      </c>
      <c r="G614" s="58" t="str">
        <f t="shared" si="37"/>
        <v/>
      </c>
    </row>
    <row r="615" spans="1:7" x14ac:dyDescent="0.25">
      <c r="A615" s="61"/>
      <c r="B615" s="67"/>
      <c r="C615" s="67"/>
      <c r="D615" s="61"/>
      <c r="E615" s="35" t="str">
        <f t="shared" si="35"/>
        <v/>
      </c>
      <c r="F615" s="35" t="str">
        <f t="shared" si="36"/>
        <v/>
      </c>
      <c r="G615" s="58" t="str">
        <f t="shared" si="37"/>
        <v/>
      </c>
    </row>
    <row r="616" spans="1:7" x14ac:dyDescent="0.25">
      <c r="A616" s="61"/>
      <c r="B616" s="67"/>
      <c r="C616" s="67"/>
      <c r="D616" s="61"/>
      <c r="E616" s="35" t="str">
        <f t="shared" si="35"/>
        <v/>
      </c>
      <c r="F616" s="35" t="str">
        <f t="shared" si="36"/>
        <v/>
      </c>
      <c r="G616" s="58" t="str">
        <f t="shared" si="37"/>
        <v/>
      </c>
    </row>
    <row r="617" spans="1:7" x14ac:dyDescent="0.25">
      <c r="A617" s="61"/>
      <c r="B617" s="67"/>
      <c r="C617" s="67"/>
      <c r="D617" s="61"/>
      <c r="E617" s="35" t="str">
        <f t="shared" si="35"/>
        <v/>
      </c>
      <c r="F617" s="35" t="str">
        <f t="shared" si="36"/>
        <v/>
      </c>
      <c r="G617" s="58" t="str">
        <f t="shared" si="37"/>
        <v/>
      </c>
    </row>
    <row r="618" spans="1:7" x14ac:dyDescent="0.25">
      <c r="A618" s="61"/>
      <c r="B618" s="67"/>
      <c r="C618" s="67"/>
      <c r="D618" s="61"/>
      <c r="E618" s="35" t="str">
        <f t="shared" si="35"/>
        <v/>
      </c>
      <c r="F618" s="35" t="str">
        <f t="shared" si="36"/>
        <v/>
      </c>
      <c r="G618" s="58" t="str">
        <f t="shared" si="37"/>
        <v/>
      </c>
    </row>
    <row r="619" spans="1:7" x14ac:dyDescent="0.25">
      <c r="A619" s="61"/>
      <c r="B619" s="67"/>
      <c r="C619" s="67"/>
      <c r="D619" s="61"/>
      <c r="E619" s="35" t="str">
        <f t="shared" si="35"/>
        <v/>
      </c>
      <c r="F619" s="35" t="str">
        <f t="shared" si="36"/>
        <v/>
      </c>
      <c r="G619" s="58" t="str">
        <f t="shared" si="37"/>
        <v/>
      </c>
    </row>
    <row r="620" spans="1:7" x14ac:dyDescent="0.25">
      <c r="A620" s="61"/>
      <c r="B620" s="67"/>
      <c r="C620" s="67"/>
      <c r="D620" s="61"/>
      <c r="E620" s="35" t="str">
        <f t="shared" si="35"/>
        <v/>
      </c>
      <c r="F620" s="35" t="str">
        <f t="shared" si="36"/>
        <v/>
      </c>
      <c r="G620" s="58" t="str">
        <f t="shared" si="37"/>
        <v/>
      </c>
    </row>
    <row r="621" spans="1:7" x14ac:dyDescent="0.25">
      <c r="A621" s="61"/>
      <c r="B621" s="67"/>
      <c r="C621" s="67"/>
      <c r="D621" s="61"/>
      <c r="E621" s="35" t="str">
        <f t="shared" si="35"/>
        <v/>
      </c>
      <c r="F621" s="35" t="str">
        <f t="shared" si="36"/>
        <v/>
      </c>
      <c r="G621" s="58" t="str">
        <f t="shared" si="37"/>
        <v/>
      </c>
    </row>
    <row r="622" spans="1:7" x14ac:dyDescent="0.25">
      <c r="A622" s="61"/>
      <c r="B622" s="67"/>
      <c r="C622" s="67"/>
      <c r="D622" s="61"/>
      <c r="E622" s="35" t="str">
        <f t="shared" si="35"/>
        <v/>
      </c>
      <c r="F622" s="35" t="str">
        <f t="shared" si="36"/>
        <v/>
      </c>
      <c r="G622" s="58" t="str">
        <f t="shared" si="37"/>
        <v/>
      </c>
    </row>
    <row r="623" spans="1:7" x14ac:dyDescent="0.25">
      <c r="A623" s="61"/>
      <c r="B623" s="67"/>
      <c r="C623" s="67"/>
      <c r="D623" s="61"/>
      <c r="E623" s="35" t="str">
        <f t="shared" si="35"/>
        <v/>
      </c>
      <c r="F623" s="35" t="str">
        <f t="shared" si="36"/>
        <v/>
      </c>
      <c r="G623" s="58" t="str">
        <f t="shared" si="37"/>
        <v/>
      </c>
    </row>
    <row r="624" spans="1:7" x14ac:dyDescent="0.25">
      <c r="A624" s="61"/>
      <c r="B624" s="67"/>
      <c r="C624" s="67"/>
      <c r="D624" s="61"/>
      <c r="E624" s="35" t="str">
        <f t="shared" si="35"/>
        <v/>
      </c>
      <c r="F624" s="35" t="str">
        <f t="shared" si="36"/>
        <v/>
      </c>
      <c r="G624" s="58" t="str">
        <f t="shared" si="37"/>
        <v/>
      </c>
    </row>
    <row r="625" spans="1:7" x14ac:dyDescent="0.25">
      <c r="A625" s="61"/>
      <c r="B625" s="67"/>
      <c r="C625" s="67"/>
      <c r="D625" s="61"/>
      <c r="E625" s="35" t="str">
        <f t="shared" si="35"/>
        <v/>
      </c>
      <c r="F625" s="35" t="str">
        <f t="shared" si="36"/>
        <v/>
      </c>
      <c r="G625" s="58" t="str">
        <f t="shared" si="37"/>
        <v/>
      </c>
    </row>
    <row r="626" spans="1:7" x14ac:dyDescent="0.25">
      <c r="A626" s="61"/>
      <c r="B626" s="67"/>
      <c r="C626" s="67"/>
      <c r="D626" s="61"/>
      <c r="E626" s="35" t="str">
        <f t="shared" si="35"/>
        <v/>
      </c>
      <c r="F626" s="35" t="str">
        <f t="shared" si="36"/>
        <v/>
      </c>
      <c r="G626" s="58" t="str">
        <f t="shared" si="37"/>
        <v/>
      </c>
    </row>
    <row r="627" spans="1:7" x14ac:dyDescent="0.25">
      <c r="A627" s="61"/>
      <c r="B627" s="67"/>
      <c r="C627" s="67"/>
      <c r="D627" s="61"/>
      <c r="E627" s="35" t="str">
        <f t="shared" si="35"/>
        <v/>
      </c>
      <c r="F627" s="35" t="str">
        <f t="shared" si="36"/>
        <v/>
      </c>
      <c r="G627" s="58" t="str">
        <f t="shared" si="37"/>
        <v/>
      </c>
    </row>
    <row r="628" spans="1:7" x14ac:dyDescent="0.25">
      <c r="A628" s="61"/>
      <c r="B628" s="67"/>
      <c r="C628" s="67"/>
      <c r="D628" s="61"/>
      <c r="E628" s="35" t="str">
        <f t="shared" si="35"/>
        <v/>
      </c>
      <c r="F628" s="35" t="str">
        <f t="shared" si="36"/>
        <v/>
      </c>
      <c r="G628" s="58" t="str">
        <f t="shared" si="37"/>
        <v/>
      </c>
    </row>
    <row r="629" spans="1:7" x14ac:dyDescent="0.25">
      <c r="A629" s="61"/>
      <c r="B629" s="67"/>
      <c r="C629" s="67"/>
      <c r="D629" s="61"/>
      <c r="E629" s="35" t="str">
        <f t="shared" si="35"/>
        <v/>
      </c>
      <c r="F629" s="35" t="str">
        <f t="shared" si="36"/>
        <v/>
      </c>
      <c r="G629" s="58" t="str">
        <f t="shared" si="37"/>
        <v/>
      </c>
    </row>
    <row r="630" spans="1:7" x14ac:dyDescent="0.25">
      <c r="A630" s="61"/>
      <c r="B630" s="67"/>
      <c r="C630" s="67"/>
      <c r="D630" s="61"/>
      <c r="E630" s="35" t="str">
        <f t="shared" si="35"/>
        <v/>
      </c>
      <c r="F630" s="35" t="str">
        <f t="shared" si="36"/>
        <v/>
      </c>
      <c r="G630" s="58" t="str">
        <f t="shared" si="37"/>
        <v/>
      </c>
    </row>
    <row r="631" spans="1:7" x14ac:dyDescent="0.25">
      <c r="A631" s="61"/>
      <c r="B631" s="67"/>
      <c r="C631" s="67"/>
      <c r="D631" s="61"/>
      <c r="E631" s="35" t="str">
        <f t="shared" si="35"/>
        <v/>
      </c>
      <c r="F631" s="35" t="str">
        <f t="shared" si="36"/>
        <v/>
      </c>
      <c r="G631" s="58" t="str">
        <f t="shared" si="37"/>
        <v/>
      </c>
    </row>
    <row r="632" spans="1:7" x14ac:dyDescent="0.25">
      <c r="A632" s="61"/>
      <c r="B632" s="67"/>
      <c r="C632" s="67"/>
      <c r="D632" s="61"/>
      <c r="E632" s="35" t="str">
        <f t="shared" si="35"/>
        <v/>
      </c>
      <c r="F632" s="35" t="str">
        <f t="shared" si="36"/>
        <v/>
      </c>
      <c r="G632" s="58" t="str">
        <f t="shared" si="37"/>
        <v/>
      </c>
    </row>
    <row r="633" spans="1:7" x14ac:dyDescent="0.25">
      <c r="A633" s="61"/>
      <c r="B633" s="67"/>
      <c r="C633" s="67"/>
      <c r="D633" s="61"/>
      <c r="E633" s="35" t="str">
        <f t="shared" si="35"/>
        <v/>
      </c>
      <c r="F633" s="35" t="str">
        <f t="shared" si="36"/>
        <v/>
      </c>
      <c r="G633" s="58" t="str">
        <f t="shared" si="37"/>
        <v/>
      </c>
    </row>
    <row r="634" spans="1:7" x14ac:dyDescent="0.25">
      <c r="A634" s="61"/>
      <c r="B634" s="67"/>
      <c r="C634" s="67"/>
      <c r="D634" s="61"/>
      <c r="E634" s="35" t="str">
        <f t="shared" si="35"/>
        <v/>
      </c>
      <c r="F634" s="35" t="str">
        <f t="shared" si="36"/>
        <v/>
      </c>
      <c r="G634" s="58" t="str">
        <f t="shared" si="37"/>
        <v/>
      </c>
    </row>
    <row r="635" spans="1:7" x14ac:dyDescent="0.25">
      <c r="A635" s="61"/>
      <c r="B635" s="67"/>
      <c r="C635" s="67"/>
      <c r="D635" s="61"/>
      <c r="E635" s="35" t="str">
        <f t="shared" si="35"/>
        <v/>
      </c>
      <c r="F635" s="35" t="str">
        <f t="shared" si="36"/>
        <v/>
      </c>
      <c r="G635" s="58" t="str">
        <f t="shared" si="37"/>
        <v/>
      </c>
    </row>
    <row r="636" spans="1:7" x14ac:dyDescent="0.25">
      <c r="A636" s="61"/>
      <c r="B636" s="67"/>
      <c r="C636" s="67"/>
      <c r="D636" s="61"/>
      <c r="E636" s="35" t="str">
        <f t="shared" si="35"/>
        <v/>
      </c>
      <c r="F636" s="35" t="str">
        <f t="shared" si="36"/>
        <v/>
      </c>
      <c r="G636" s="58" t="str">
        <f t="shared" si="37"/>
        <v/>
      </c>
    </row>
    <row r="637" spans="1:7" x14ac:dyDescent="0.25">
      <c r="A637" s="61"/>
      <c r="B637" s="67"/>
      <c r="C637" s="67"/>
      <c r="D637" s="61"/>
      <c r="E637" s="35" t="str">
        <f t="shared" si="35"/>
        <v/>
      </c>
      <c r="F637" s="35" t="str">
        <f t="shared" si="36"/>
        <v/>
      </c>
      <c r="G637" s="58" t="str">
        <f t="shared" si="37"/>
        <v/>
      </c>
    </row>
    <row r="638" spans="1:7" x14ac:dyDescent="0.25">
      <c r="A638" s="61"/>
      <c r="B638" s="67"/>
      <c r="C638" s="67"/>
      <c r="D638" s="61"/>
      <c r="E638" s="35" t="str">
        <f t="shared" si="35"/>
        <v/>
      </c>
      <c r="F638" s="35" t="str">
        <f t="shared" si="36"/>
        <v/>
      </c>
      <c r="G638" s="58" t="str">
        <f t="shared" si="37"/>
        <v/>
      </c>
    </row>
    <row r="639" spans="1:7" x14ac:dyDescent="0.25">
      <c r="A639" s="61"/>
      <c r="B639" s="67"/>
      <c r="C639" s="67"/>
      <c r="D639" s="61"/>
      <c r="E639" s="35" t="str">
        <f t="shared" si="35"/>
        <v/>
      </c>
      <c r="F639" s="35" t="str">
        <f t="shared" si="36"/>
        <v/>
      </c>
      <c r="G639" s="58" t="str">
        <f t="shared" si="37"/>
        <v/>
      </c>
    </row>
    <row r="640" spans="1:7" x14ac:dyDescent="0.25">
      <c r="A640" s="61"/>
      <c r="B640" s="67"/>
      <c r="C640" s="67"/>
      <c r="D640" s="61"/>
      <c r="E640" s="35" t="str">
        <f t="shared" si="35"/>
        <v/>
      </c>
      <c r="F640" s="35" t="str">
        <f t="shared" si="36"/>
        <v/>
      </c>
      <c r="G640" s="58" t="str">
        <f t="shared" si="37"/>
        <v/>
      </c>
    </row>
    <row r="641" spans="1:7" x14ac:dyDescent="0.25">
      <c r="A641" s="61"/>
      <c r="B641" s="67"/>
      <c r="C641" s="67"/>
      <c r="D641" s="61"/>
      <c r="E641" s="35" t="str">
        <f t="shared" si="35"/>
        <v/>
      </c>
      <c r="F641" s="35" t="str">
        <f t="shared" si="36"/>
        <v/>
      </c>
      <c r="G641" s="58" t="str">
        <f t="shared" si="37"/>
        <v/>
      </c>
    </row>
    <row r="642" spans="1:7" x14ac:dyDescent="0.25">
      <c r="A642" s="61"/>
      <c r="B642" s="67"/>
      <c r="C642" s="67"/>
      <c r="D642" s="61"/>
      <c r="E642" s="35" t="str">
        <f t="shared" si="35"/>
        <v/>
      </c>
      <c r="F642" s="35" t="str">
        <f t="shared" si="36"/>
        <v/>
      </c>
      <c r="G642" s="58" t="str">
        <f t="shared" si="37"/>
        <v/>
      </c>
    </row>
    <row r="643" spans="1:7" x14ac:dyDescent="0.25">
      <c r="A643" s="61"/>
      <c r="B643" s="67"/>
      <c r="C643" s="67"/>
      <c r="D643" s="61"/>
      <c r="E643" s="35" t="str">
        <f t="shared" ref="E643:E706" si="38">IF(B643&lt;&gt;"",(H643+D643)*COS(RADIANS(HMSTOHDD(B643)))*COS(RADIANS(HMSTOHDD(-C643))),"")</f>
        <v/>
      </c>
      <c r="F643" s="35" t="str">
        <f t="shared" ref="F643:F706" si="39">IF(B643&lt;&gt;"",(H643+D643)*COS(RADIANS(HMSTOHDD(B643)))*SIN(RADIANS(HMSTOHDD(-C643))),"")</f>
        <v/>
      </c>
      <c r="G643" s="58" t="str">
        <f t="shared" si="37"/>
        <v/>
      </c>
    </row>
    <row r="644" spans="1:7" x14ac:dyDescent="0.25">
      <c r="A644" s="61"/>
      <c r="B644" s="67"/>
      <c r="C644" s="67"/>
      <c r="D644" s="61"/>
      <c r="E644" s="35" t="str">
        <f t="shared" si="38"/>
        <v/>
      </c>
      <c r="F644" s="35" t="str">
        <f t="shared" si="39"/>
        <v/>
      </c>
      <c r="G644" s="58" t="str">
        <f t="shared" ref="G644:G707" si="40">IF(B644&lt;&gt;"",SIN(RADIANS(HMSTOHDD(B644)))*(H644*(1-$M$4)+D644),"")</f>
        <v/>
      </c>
    </row>
    <row r="645" spans="1:7" x14ac:dyDescent="0.25">
      <c r="A645" s="61"/>
      <c r="B645" s="67"/>
      <c r="C645" s="67"/>
      <c r="D645" s="61"/>
      <c r="E645" s="35" t="str">
        <f t="shared" si="38"/>
        <v/>
      </c>
      <c r="F645" s="35" t="str">
        <f t="shared" si="39"/>
        <v/>
      </c>
      <c r="G645" s="58" t="str">
        <f t="shared" si="40"/>
        <v/>
      </c>
    </row>
    <row r="646" spans="1:7" x14ac:dyDescent="0.25">
      <c r="A646" s="61"/>
      <c r="B646" s="67"/>
      <c r="C646" s="67"/>
      <c r="D646" s="61"/>
      <c r="E646" s="35" t="str">
        <f t="shared" si="38"/>
        <v/>
      </c>
      <c r="F646" s="35" t="str">
        <f t="shared" si="39"/>
        <v/>
      </c>
      <c r="G646" s="58" t="str">
        <f t="shared" si="40"/>
        <v/>
      </c>
    </row>
    <row r="647" spans="1:7" x14ac:dyDescent="0.25">
      <c r="A647" s="61"/>
      <c r="B647" s="67"/>
      <c r="C647" s="67"/>
      <c r="D647" s="61"/>
      <c r="E647" s="35" t="str">
        <f t="shared" si="38"/>
        <v/>
      </c>
      <c r="F647" s="35" t="str">
        <f t="shared" si="39"/>
        <v/>
      </c>
      <c r="G647" s="58" t="str">
        <f t="shared" si="40"/>
        <v/>
      </c>
    </row>
    <row r="648" spans="1:7" x14ac:dyDescent="0.25">
      <c r="A648" s="61"/>
      <c r="B648" s="67"/>
      <c r="C648" s="67"/>
      <c r="D648" s="61"/>
      <c r="E648" s="35" t="str">
        <f t="shared" si="38"/>
        <v/>
      </c>
      <c r="F648" s="35" t="str">
        <f t="shared" si="39"/>
        <v/>
      </c>
      <c r="G648" s="58" t="str">
        <f t="shared" si="40"/>
        <v/>
      </c>
    </row>
    <row r="649" spans="1:7" x14ac:dyDescent="0.25">
      <c r="A649" s="61"/>
      <c r="B649" s="67"/>
      <c r="C649" s="67"/>
      <c r="D649" s="61"/>
      <c r="E649" s="35" t="str">
        <f t="shared" si="38"/>
        <v/>
      </c>
      <c r="F649" s="35" t="str">
        <f t="shared" si="39"/>
        <v/>
      </c>
      <c r="G649" s="58" t="str">
        <f t="shared" si="40"/>
        <v/>
      </c>
    </row>
    <row r="650" spans="1:7" x14ac:dyDescent="0.25">
      <c r="A650" s="61"/>
      <c r="B650" s="67"/>
      <c r="C650" s="67"/>
      <c r="D650" s="61"/>
      <c r="E650" s="35" t="str">
        <f t="shared" si="38"/>
        <v/>
      </c>
      <c r="F650" s="35" t="str">
        <f t="shared" si="39"/>
        <v/>
      </c>
      <c r="G650" s="58" t="str">
        <f t="shared" si="40"/>
        <v/>
      </c>
    </row>
    <row r="651" spans="1:7" x14ac:dyDescent="0.25">
      <c r="A651" s="61"/>
      <c r="B651" s="67"/>
      <c r="C651" s="67"/>
      <c r="D651" s="61"/>
      <c r="E651" s="35" t="str">
        <f t="shared" si="38"/>
        <v/>
      </c>
      <c r="F651" s="35" t="str">
        <f t="shared" si="39"/>
        <v/>
      </c>
      <c r="G651" s="58" t="str">
        <f t="shared" si="40"/>
        <v/>
      </c>
    </row>
    <row r="652" spans="1:7" x14ac:dyDescent="0.25">
      <c r="A652" s="61"/>
      <c r="B652" s="67"/>
      <c r="C652" s="67"/>
      <c r="D652" s="61"/>
      <c r="E652" s="35" t="str">
        <f t="shared" si="38"/>
        <v/>
      </c>
      <c r="F652" s="35" t="str">
        <f t="shared" si="39"/>
        <v/>
      </c>
      <c r="G652" s="58" t="str">
        <f t="shared" si="40"/>
        <v/>
      </c>
    </row>
    <row r="653" spans="1:7" x14ac:dyDescent="0.25">
      <c r="A653" s="61"/>
      <c r="B653" s="67"/>
      <c r="C653" s="67"/>
      <c r="D653" s="61"/>
      <c r="E653" s="35" t="str">
        <f t="shared" si="38"/>
        <v/>
      </c>
      <c r="F653" s="35" t="str">
        <f t="shared" si="39"/>
        <v/>
      </c>
      <c r="G653" s="58" t="str">
        <f t="shared" si="40"/>
        <v/>
      </c>
    </row>
    <row r="654" spans="1:7" x14ac:dyDescent="0.25">
      <c r="A654" s="61"/>
      <c r="B654" s="67"/>
      <c r="C654" s="67"/>
      <c r="D654" s="61"/>
      <c r="E654" s="35" t="str">
        <f t="shared" si="38"/>
        <v/>
      </c>
      <c r="F654" s="35" t="str">
        <f t="shared" si="39"/>
        <v/>
      </c>
      <c r="G654" s="58" t="str">
        <f t="shared" si="40"/>
        <v/>
      </c>
    </row>
    <row r="655" spans="1:7" x14ac:dyDescent="0.25">
      <c r="A655" s="61"/>
      <c r="B655" s="67"/>
      <c r="C655" s="67"/>
      <c r="D655" s="61"/>
      <c r="E655" s="35" t="str">
        <f t="shared" si="38"/>
        <v/>
      </c>
      <c r="F655" s="35" t="str">
        <f t="shared" si="39"/>
        <v/>
      </c>
      <c r="G655" s="58" t="str">
        <f t="shared" si="40"/>
        <v/>
      </c>
    </row>
    <row r="656" spans="1:7" x14ac:dyDescent="0.25">
      <c r="A656" s="61"/>
      <c r="B656" s="67"/>
      <c r="C656" s="67"/>
      <c r="D656" s="61"/>
      <c r="E656" s="35" t="str">
        <f t="shared" si="38"/>
        <v/>
      </c>
      <c r="F656" s="35" t="str">
        <f t="shared" si="39"/>
        <v/>
      </c>
      <c r="G656" s="58" t="str">
        <f t="shared" si="40"/>
        <v/>
      </c>
    </row>
    <row r="657" spans="1:7" x14ac:dyDescent="0.25">
      <c r="A657" s="61"/>
      <c r="B657" s="67"/>
      <c r="C657" s="67"/>
      <c r="D657" s="61"/>
      <c r="E657" s="35" t="str">
        <f t="shared" si="38"/>
        <v/>
      </c>
      <c r="F657" s="35" t="str">
        <f t="shared" si="39"/>
        <v/>
      </c>
      <c r="G657" s="58" t="str">
        <f t="shared" si="40"/>
        <v/>
      </c>
    </row>
    <row r="658" spans="1:7" x14ac:dyDescent="0.25">
      <c r="A658" s="61"/>
      <c r="B658" s="67"/>
      <c r="C658" s="67"/>
      <c r="D658" s="61"/>
      <c r="E658" s="35" t="str">
        <f t="shared" si="38"/>
        <v/>
      </c>
      <c r="F658" s="35" t="str">
        <f t="shared" si="39"/>
        <v/>
      </c>
      <c r="G658" s="58" t="str">
        <f t="shared" si="40"/>
        <v/>
      </c>
    </row>
    <row r="659" spans="1:7" x14ac:dyDescent="0.25">
      <c r="A659" s="61"/>
      <c r="B659" s="67"/>
      <c r="C659" s="67"/>
      <c r="D659" s="61"/>
      <c r="E659" s="35" t="str">
        <f t="shared" si="38"/>
        <v/>
      </c>
      <c r="F659" s="35" t="str">
        <f t="shared" si="39"/>
        <v/>
      </c>
      <c r="G659" s="58" t="str">
        <f t="shared" si="40"/>
        <v/>
      </c>
    </row>
    <row r="660" spans="1:7" x14ac:dyDescent="0.25">
      <c r="A660" s="61"/>
      <c r="B660" s="67"/>
      <c r="C660" s="67"/>
      <c r="D660" s="61"/>
      <c r="E660" s="35" t="str">
        <f t="shared" si="38"/>
        <v/>
      </c>
      <c r="F660" s="35" t="str">
        <f t="shared" si="39"/>
        <v/>
      </c>
      <c r="G660" s="58" t="str">
        <f t="shared" si="40"/>
        <v/>
      </c>
    </row>
    <row r="661" spans="1:7" x14ac:dyDescent="0.25">
      <c r="A661" s="61"/>
      <c r="B661" s="67"/>
      <c r="C661" s="67"/>
      <c r="D661" s="61"/>
      <c r="E661" s="35" t="str">
        <f t="shared" si="38"/>
        <v/>
      </c>
      <c r="F661" s="35" t="str">
        <f t="shared" si="39"/>
        <v/>
      </c>
      <c r="G661" s="58" t="str">
        <f t="shared" si="40"/>
        <v/>
      </c>
    </row>
    <row r="662" spans="1:7" x14ac:dyDescent="0.25">
      <c r="A662" s="61"/>
      <c r="B662" s="67"/>
      <c r="C662" s="67"/>
      <c r="D662" s="61"/>
      <c r="E662" s="35" t="str">
        <f t="shared" si="38"/>
        <v/>
      </c>
      <c r="F662" s="35" t="str">
        <f t="shared" si="39"/>
        <v/>
      </c>
      <c r="G662" s="58" t="str">
        <f t="shared" si="40"/>
        <v/>
      </c>
    </row>
    <row r="663" spans="1:7" x14ac:dyDescent="0.25">
      <c r="A663" s="61"/>
      <c r="B663" s="67"/>
      <c r="C663" s="67"/>
      <c r="D663" s="61"/>
      <c r="E663" s="35" t="str">
        <f t="shared" si="38"/>
        <v/>
      </c>
      <c r="F663" s="35" t="str">
        <f t="shared" si="39"/>
        <v/>
      </c>
      <c r="G663" s="58" t="str">
        <f t="shared" si="40"/>
        <v/>
      </c>
    </row>
    <row r="664" spans="1:7" x14ac:dyDescent="0.25">
      <c r="A664" s="61"/>
      <c r="B664" s="67"/>
      <c r="C664" s="67"/>
      <c r="D664" s="61"/>
      <c r="E664" s="35" t="str">
        <f t="shared" si="38"/>
        <v/>
      </c>
      <c r="F664" s="35" t="str">
        <f t="shared" si="39"/>
        <v/>
      </c>
      <c r="G664" s="58" t="str">
        <f t="shared" si="40"/>
        <v/>
      </c>
    </row>
    <row r="665" spans="1:7" x14ac:dyDescent="0.25">
      <c r="A665" s="61"/>
      <c r="B665" s="67"/>
      <c r="C665" s="67"/>
      <c r="D665" s="61"/>
      <c r="E665" s="35" t="str">
        <f t="shared" si="38"/>
        <v/>
      </c>
      <c r="F665" s="35" t="str">
        <f t="shared" si="39"/>
        <v/>
      </c>
      <c r="G665" s="58" t="str">
        <f t="shared" si="40"/>
        <v/>
      </c>
    </row>
    <row r="666" spans="1:7" x14ac:dyDescent="0.25">
      <c r="A666" s="61"/>
      <c r="B666" s="67"/>
      <c r="C666" s="67"/>
      <c r="D666" s="61"/>
      <c r="E666" s="35" t="str">
        <f t="shared" si="38"/>
        <v/>
      </c>
      <c r="F666" s="35" t="str">
        <f t="shared" si="39"/>
        <v/>
      </c>
      <c r="G666" s="58" t="str">
        <f t="shared" si="40"/>
        <v/>
      </c>
    </row>
    <row r="667" spans="1:7" x14ac:dyDescent="0.25">
      <c r="A667" s="61"/>
      <c r="B667" s="67"/>
      <c r="C667" s="67"/>
      <c r="D667" s="61"/>
      <c r="E667" s="35" t="str">
        <f t="shared" si="38"/>
        <v/>
      </c>
      <c r="F667" s="35" t="str">
        <f t="shared" si="39"/>
        <v/>
      </c>
      <c r="G667" s="58" t="str">
        <f t="shared" si="40"/>
        <v/>
      </c>
    </row>
    <row r="668" spans="1:7" x14ac:dyDescent="0.25">
      <c r="A668" s="61"/>
      <c r="B668" s="67"/>
      <c r="C668" s="67"/>
      <c r="D668" s="61"/>
      <c r="E668" s="35" t="str">
        <f t="shared" si="38"/>
        <v/>
      </c>
      <c r="F668" s="35" t="str">
        <f t="shared" si="39"/>
        <v/>
      </c>
      <c r="G668" s="58" t="str">
        <f t="shared" si="40"/>
        <v/>
      </c>
    </row>
    <row r="669" spans="1:7" x14ac:dyDescent="0.25">
      <c r="A669" s="61"/>
      <c r="B669" s="67"/>
      <c r="C669" s="67"/>
      <c r="D669" s="61"/>
      <c r="E669" s="35" t="str">
        <f t="shared" si="38"/>
        <v/>
      </c>
      <c r="F669" s="35" t="str">
        <f t="shared" si="39"/>
        <v/>
      </c>
      <c r="G669" s="58" t="str">
        <f t="shared" si="40"/>
        <v/>
      </c>
    </row>
    <row r="670" spans="1:7" x14ac:dyDescent="0.25">
      <c r="A670" s="61"/>
      <c r="B670" s="67"/>
      <c r="C670" s="67"/>
      <c r="D670" s="61"/>
      <c r="E670" s="35" t="str">
        <f t="shared" si="38"/>
        <v/>
      </c>
      <c r="F670" s="35" t="str">
        <f t="shared" si="39"/>
        <v/>
      </c>
      <c r="G670" s="58" t="str">
        <f t="shared" si="40"/>
        <v/>
      </c>
    </row>
    <row r="671" spans="1:7" x14ac:dyDescent="0.25">
      <c r="A671" s="61"/>
      <c r="B671" s="67"/>
      <c r="C671" s="67"/>
      <c r="D671" s="61"/>
      <c r="E671" s="35" t="str">
        <f t="shared" si="38"/>
        <v/>
      </c>
      <c r="F671" s="35" t="str">
        <f t="shared" si="39"/>
        <v/>
      </c>
      <c r="G671" s="58" t="str">
        <f t="shared" si="40"/>
        <v/>
      </c>
    </row>
    <row r="672" spans="1:7" x14ac:dyDescent="0.25">
      <c r="A672" s="61"/>
      <c r="B672" s="67"/>
      <c r="C672" s="67"/>
      <c r="D672" s="61"/>
      <c r="E672" s="35" t="str">
        <f t="shared" si="38"/>
        <v/>
      </c>
      <c r="F672" s="35" t="str">
        <f t="shared" si="39"/>
        <v/>
      </c>
      <c r="G672" s="58" t="str">
        <f t="shared" si="40"/>
        <v/>
      </c>
    </row>
    <row r="673" spans="1:7" x14ac:dyDescent="0.25">
      <c r="A673" s="61"/>
      <c r="B673" s="67"/>
      <c r="C673" s="67"/>
      <c r="D673" s="61"/>
      <c r="E673" s="35" t="str">
        <f t="shared" si="38"/>
        <v/>
      </c>
      <c r="F673" s="35" t="str">
        <f t="shared" si="39"/>
        <v/>
      </c>
      <c r="G673" s="58" t="str">
        <f t="shared" si="40"/>
        <v/>
      </c>
    </row>
    <row r="674" spans="1:7" x14ac:dyDescent="0.25">
      <c r="A674" s="61"/>
      <c r="B674" s="67"/>
      <c r="C674" s="67"/>
      <c r="D674" s="61"/>
      <c r="E674" s="35" t="str">
        <f t="shared" si="38"/>
        <v/>
      </c>
      <c r="F674" s="35" t="str">
        <f t="shared" si="39"/>
        <v/>
      </c>
      <c r="G674" s="58" t="str">
        <f t="shared" si="40"/>
        <v/>
      </c>
    </row>
    <row r="675" spans="1:7" x14ac:dyDescent="0.25">
      <c r="A675" s="61"/>
      <c r="B675" s="67"/>
      <c r="C675" s="67"/>
      <c r="D675" s="61"/>
      <c r="E675" s="35" t="str">
        <f t="shared" si="38"/>
        <v/>
      </c>
      <c r="F675" s="35" t="str">
        <f t="shared" si="39"/>
        <v/>
      </c>
      <c r="G675" s="58" t="str">
        <f t="shared" si="40"/>
        <v/>
      </c>
    </row>
    <row r="676" spans="1:7" x14ac:dyDescent="0.25">
      <c r="A676" s="61"/>
      <c r="B676" s="67"/>
      <c r="C676" s="67"/>
      <c r="D676" s="61"/>
      <c r="E676" s="35" t="str">
        <f t="shared" si="38"/>
        <v/>
      </c>
      <c r="F676" s="35" t="str">
        <f t="shared" si="39"/>
        <v/>
      </c>
      <c r="G676" s="58" t="str">
        <f t="shared" si="40"/>
        <v/>
      </c>
    </row>
    <row r="677" spans="1:7" x14ac:dyDescent="0.25">
      <c r="A677" s="61"/>
      <c r="B677" s="67"/>
      <c r="C677" s="67"/>
      <c r="D677" s="61"/>
      <c r="E677" s="35" t="str">
        <f t="shared" si="38"/>
        <v/>
      </c>
      <c r="F677" s="35" t="str">
        <f t="shared" si="39"/>
        <v/>
      </c>
      <c r="G677" s="58" t="str">
        <f t="shared" si="40"/>
        <v/>
      </c>
    </row>
    <row r="678" spans="1:7" x14ac:dyDescent="0.25">
      <c r="A678" s="61"/>
      <c r="B678" s="67"/>
      <c r="C678" s="67"/>
      <c r="D678" s="61"/>
      <c r="E678" s="35" t="str">
        <f t="shared" si="38"/>
        <v/>
      </c>
      <c r="F678" s="35" t="str">
        <f t="shared" si="39"/>
        <v/>
      </c>
      <c r="G678" s="58" t="str">
        <f t="shared" si="40"/>
        <v/>
      </c>
    </row>
    <row r="679" spans="1:7" x14ac:dyDescent="0.25">
      <c r="A679" s="61"/>
      <c r="B679" s="67"/>
      <c r="C679" s="67"/>
      <c r="D679" s="61"/>
      <c r="E679" s="35" t="str">
        <f t="shared" si="38"/>
        <v/>
      </c>
      <c r="F679" s="35" t="str">
        <f t="shared" si="39"/>
        <v/>
      </c>
      <c r="G679" s="58" t="str">
        <f t="shared" si="40"/>
        <v/>
      </c>
    </row>
    <row r="680" spans="1:7" x14ac:dyDescent="0.25">
      <c r="A680" s="61"/>
      <c r="B680" s="67"/>
      <c r="C680" s="67"/>
      <c r="D680" s="61"/>
      <c r="E680" s="35" t="str">
        <f t="shared" si="38"/>
        <v/>
      </c>
      <c r="F680" s="35" t="str">
        <f t="shared" si="39"/>
        <v/>
      </c>
      <c r="G680" s="58" t="str">
        <f t="shared" si="40"/>
        <v/>
      </c>
    </row>
    <row r="681" spans="1:7" x14ac:dyDescent="0.25">
      <c r="A681" s="61"/>
      <c r="B681" s="67"/>
      <c r="C681" s="67"/>
      <c r="D681" s="61"/>
      <c r="E681" s="35" t="str">
        <f t="shared" si="38"/>
        <v/>
      </c>
      <c r="F681" s="35" t="str">
        <f t="shared" si="39"/>
        <v/>
      </c>
      <c r="G681" s="58" t="str">
        <f t="shared" si="40"/>
        <v/>
      </c>
    </row>
    <row r="682" spans="1:7" x14ac:dyDescent="0.25">
      <c r="A682" s="61"/>
      <c r="B682" s="67"/>
      <c r="C682" s="67"/>
      <c r="D682" s="61"/>
      <c r="E682" s="35" t="str">
        <f t="shared" si="38"/>
        <v/>
      </c>
      <c r="F682" s="35" t="str">
        <f t="shared" si="39"/>
        <v/>
      </c>
      <c r="G682" s="58" t="str">
        <f t="shared" si="40"/>
        <v/>
      </c>
    </row>
    <row r="683" spans="1:7" x14ac:dyDescent="0.25">
      <c r="A683" s="61"/>
      <c r="B683" s="67"/>
      <c r="C683" s="67"/>
      <c r="D683" s="61"/>
      <c r="E683" s="35" t="str">
        <f t="shared" si="38"/>
        <v/>
      </c>
      <c r="F683" s="35" t="str">
        <f t="shared" si="39"/>
        <v/>
      </c>
      <c r="G683" s="58" t="str">
        <f t="shared" si="40"/>
        <v/>
      </c>
    </row>
    <row r="684" spans="1:7" x14ac:dyDescent="0.25">
      <c r="A684" s="61"/>
      <c r="B684" s="67"/>
      <c r="C684" s="67"/>
      <c r="D684" s="61"/>
      <c r="E684" s="35" t="str">
        <f t="shared" si="38"/>
        <v/>
      </c>
      <c r="F684" s="35" t="str">
        <f t="shared" si="39"/>
        <v/>
      </c>
      <c r="G684" s="58" t="str">
        <f t="shared" si="40"/>
        <v/>
      </c>
    </row>
    <row r="685" spans="1:7" x14ac:dyDescent="0.25">
      <c r="A685" s="61"/>
      <c r="B685" s="67"/>
      <c r="C685" s="67"/>
      <c r="D685" s="61"/>
      <c r="E685" s="35" t="str">
        <f t="shared" si="38"/>
        <v/>
      </c>
      <c r="F685" s="35" t="str">
        <f t="shared" si="39"/>
        <v/>
      </c>
      <c r="G685" s="58" t="str">
        <f t="shared" si="40"/>
        <v/>
      </c>
    </row>
    <row r="686" spans="1:7" x14ac:dyDescent="0.25">
      <c r="A686" s="61"/>
      <c r="B686" s="67"/>
      <c r="C686" s="67"/>
      <c r="D686" s="61"/>
      <c r="E686" s="35" t="str">
        <f t="shared" si="38"/>
        <v/>
      </c>
      <c r="F686" s="35" t="str">
        <f t="shared" si="39"/>
        <v/>
      </c>
      <c r="G686" s="58" t="str">
        <f t="shared" si="40"/>
        <v/>
      </c>
    </row>
    <row r="687" spans="1:7" x14ac:dyDescent="0.25">
      <c r="A687" s="61"/>
      <c r="B687" s="67"/>
      <c r="C687" s="67"/>
      <c r="D687" s="61"/>
      <c r="E687" s="35" t="str">
        <f t="shared" si="38"/>
        <v/>
      </c>
      <c r="F687" s="35" t="str">
        <f t="shared" si="39"/>
        <v/>
      </c>
      <c r="G687" s="58" t="str">
        <f t="shared" si="40"/>
        <v/>
      </c>
    </row>
    <row r="688" spans="1:7" x14ac:dyDescent="0.25">
      <c r="A688" s="61"/>
      <c r="B688" s="67"/>
      <c r="C688" s="67"/>
      <c r="D688" s="61"/>
      <c r="E688" s="35" t="str">
        <f t="shared" si="38"/>
        <v/>
      </c>
      <c r="F688" s="35" t="str">
        <f t="shared" si="39"/>
        <v/>
      </c>
      <c r="G688" s="58" t="str">
        <f t="shared" si="40"/>
        <v/>
      </c>
    </row>
    <row r="689" spans="1:7" x14ac:dyDescent="0.25">
      <c r="A689" s="61"/>
      <c r="B689" s="67"/>
      <c r="C689" s="67"/>
      <c r="D689" s="61"/>
      <c r="E689" s="35" t="str">
        <f t="shared" si="38"/>
        <v/>
      </c>
      <c r="F689" s="35" t="str">
        <f t="shared" si="39"/>
        <v/>
      </c>
      <c r="G689" s="58" t="str">
        <f t="shared" si="40"/>
        <v/>
      </c>
    </row>
    <row r="690" spans="1:7" x14ac:dyDescent="0.25">
      <c r="A690" s="61"/>
      <c r="B690" s="67"/>
      <c r="C690" s="67"/>
      <c r="D690" s="61"/>
      <c r="E690" s="35" t="str">
        <f t="shared" si="38"/>
        <v/>
      </c>
      <c r="F690" s="35" t="str">
        <f t="shared" si="39"/>
        <v/>
      </c>
      <c r="G690" s="58" t="str">
        <f t="shared" si="40"/>
        <v/>
      </c>
    </row>
    <row r="691" spans="1:7" x14ac:dyDescent="0.25">
      <c r="A691" s="61"/>
      <c r="B691" s="67"/>
      <c r="C691" s="67"/>
      <c r="D691" s="61"/>
      <c r="E691" s="35" t="str">
        <f t="shared" si="38"/>
        <v/>
      </c>
      <c r="F691" s="35" t="str">
        <f t="shared" si="39"/>
        <v/>
      </c>
      <c r="G691" s="58" t="str">
        <f t="shared" si="40"/>
        <v/>
      </c>
    </row>
    <row r="692" spans="1:7" x14ac:dyDescent="0.25">
      <c r="A692" s="61"/>
      <c r="B692" s="67"/>
      <c r="C692" s="67"/>
      <c r="D692" s="61"/>
      <c r="E692" s="35" t="str">
        <f t="shared" si="38"/>
        <v/>
      </c>
      <c r="F692" s="35" t="str">
        <f t="shared" si="39"/>
        <v/>
      </c>
      <c r="G692" s="58" t="str">
        <f t="shared" si="40"/>
        <v/>
      </c>
    </row>
    <row r="693" spans="1:7" x14ac:dyDescent="0.25">
      <c r="A693" s="61"/>
      <c r="B693" s="67"/>
      <c r="C693" s="67"/>
      <c r="D693" s="61"/>
      <c r="E693" s="35" t="str">
        <f t="shared" si="38"/>
        <v/>
      </c>
      <c r="F693" s="35" t="str">
        <f t="shared" si="39"/>
        <v/>
      </c>
      <c r="G693" s="58" t="str">
        <f t="shared" si="40"/>
        <v/>
      </c>
    </row>
    <row r="694" spans="1:7" x14ac:dyDescent="0.25">
      <c r="A694" s="61"/>
      <c r="B694" s="67"/>
      <c r="C694" s="67"/>
      <c r="D694" s="61"/>
      <c r="E694" s="35" t="str">
        <f t="shared" si="38"/>
        <v/>
      </c>
      <c r="F694" s="35" t="str">
        <f t="shared" si="39"/>
        <v/>
      </c>
      <c r="G694" s="58" t="str">
        <f t="shared" si="40"/>
        <v/>
      </c>
    </row>
    <row r="695" spans="1:7" x14ac:dyDescent="0.25">
      <c r="A695" s="61"/>
      <c r="B695" s="67"/>
      <c r="C695" s="67"/>
      <c r="D695" s="61"/>
      <c r="E695" s="35" t="str">
        <f t="shared" si="38"/>
        <v/>
      </c>
      <c r="F695" s="35" t="str">
        <f t="shared" si="39"/>
        <v/>
      </c>
      <c r="G695" s="58" t="str">
        <f t="shared" si="40"/>
        <v/>
      </c>
    </row>
    <row r="696" spans="1:7" x14ac:dyDescent="0.25">
      <c r="A696" s="61"/>
      <c r="B696" s="67"/>
      <c r="C696" s="67"/>
      <c r="D696" s="61"/>
      <c r="E696" s="35" t="str">
        <f t="shared" si="38"/>
        <v/>
      </c>
      <c r="F696" s="35" t="str">
        <f t="shared" si="39"/>
        <v/>
      </c>
      <c r="G696" s="58" t="str">
        <f t="shared" si="40"/>
        <v/>
      </c>
    </row>
    <row r="697" spans="1:7" x14ac:dyDescent="0.25">
      <c r="A697" s="61"/>
      <c r="B697" s="67"/>
      <c r="C697" s="67"/>
      <c r="D697" s="61"/>
      <c r="E697" s="35" t="str">
        <f t="shared" si="38"/>
        <v/>
      </c>
      <c r="F697" s="35" t="str">
        <f t="shared" si="39"/>
        <v/>
      </c>
      <c r="G697" s="58" t="str">
        <f t="shared" si="40"/>
        <v/>
      </c>
    </row>
    <row r="698" spans="1:7" x14ac:dyDescent="0.25">
      <c r="A698" s="61"/>
      <c r="B698" s="67"/>
      <c r="C698" s="67"/>
      <c r="D698" s="61"/>
      <c r="E698" s="35" t="str">
        <f t="shared" si="38"/>
        <v/>
      </c>
      <c r="F698" s="35" t="str">
        <f t="shared" si="39"/>
        <v/>
      </c>
      <c r="G698" s="58" t="str">
        <f t="shared" si="40"/>
        <v/>
      </c>
    </row>
    <row r="699" spans="1:7" x14ac:dyDescent="0.25">
      <c r="A699" s="61"/>
      <c r="B699" s="67"/>
      <c r="C699" s="67"/>
      <c r="D699" s="61"/>
      <c r="E699" s="35" t="str">
        <f t="shared" si="38"/>
        <v/>
      </c>
      <c r="F699" s="35" t="str">
        <f t="shared" si="39"/>
        <v/>
      </c>
      <c r="G699" s="58" t="str">
        <f t="shared" si="40"/>
        <v/>
      </c>
    </row>
    <row r="700" spans="1:7" x14ac:dyDescent="0.25">
      <c r="A700" s="61"/>
      <c r="B700" s="67"/>
      <c r="C700" s="67"/>
      <c r="D700" s="61"/>
      <c r="E700" s="35" t="str">
        <f t="shared" si="38"/>
        <v/>
      </c>
      <c r="F700" s="35" t="str">
        <f t="shared" si="39"/>
        <v/>
      </c>
      <c r="G700" s="58" t="str">
        <f t="shared" si="40"/>
        <v/>
      </c>
    </row>
    <row r="701" spans="1:7" x14ac:dyDescent="0.25">
      <c r="A701" s="61"/>
      <c r="B701" s="67"/>
      <c r="C701" s="67"/>
      <c r="D701" s="61"/>
      <c r="E701" s="35" t="str">
        <f t="shared" si="38"/>
        <v/>
      </c>
      <c r="F701" s="35" t="str">
        <f t="shared" si="39"/>
        <v/>
      </c>
      <c r="G701" s="58" t="str">
        <f t="shared" si="40"/>
        <v/>
      </c>
    </row>
    <row r="702" spans="1:7" x14ac:dyDescent="0.25">
      <c r="A702" s="61"/>
      <c r="B702" s="67"/>
      <c r="C702" s="67"/>
      <c r="D702" s="61"/>
      <c r="E702" s="35" t="str">
        <f t="shared" si="38"/>
        <v/>
      </c>
      <c r="F702" s="35" t="str">
        <f t="shared" si="39"/>
        <v/>
      </c>
      <c r="G702" s="58" t="str">
        <f t="shared" si="40"/>
        <v/>
      </c>
    </row>
    <row r="703" spans="1:7" x14ac:dyDescent="0.25">
      <c r="A703" s="61"/>
      <c r="B703" s="67"/>
      <c r="C703" s="67"/>
      <c r="D703" s="61"/>
      <c r="E703" s="35" t="str">
        <f t="shared" si="38"/>
        <v/>
      </c>
      <c r="F703" s="35" t="str">
        <f t="shared" si="39"/>
        <v/>
      </c>
      <c r="G703" s="58" t="str">
        <f t="shared" si="40"/>
        <v/>
      </c>
    </row>
    <row r="704" spans="1:7" x14ac:dyDescent="0.25">
      <c r="A704" s="61"/>
      <c r="B704" s="67"/>
      <c r="C704" s="67"/>
      <c r="D704" s="61"/>
      <c r="E704" s="35" t="str">
        <f t="shared" si="38"/>
        <v/>
      </c>
      <c r="F704" s="35" t="str">
        <f t="shared" si="39"/>
        <v/>
      </c>
      <c r="G704" s="58" t="str">
        <f t="shared" si="40"/>
        <v/>
      </c>
    </row>
    <row r="705" spans="1:7" x14ac:dyDescent="0.25">
      <c r="A705" s="61"/>
      <c r="B705" s="67"/>
      <c r="C705" s="67"/>
      <c r="D705" s="61"/>
      <c r="E705" s="35" t="str">
        <f t="shared" si="38"/>
        <v/>
      </c>
      <c r="F705" s="35" t="str">
        <f t="shared" si="39"/>
        <v/>
      </c>
      <c r="G705" s="58" t="str">
        <f t="shared" si="40"/>
        <v/>
      </c>
    </row>
    <row r="706" spans="1:7" x14ac:dyDescent="0.25">
      <c r="A706" s="61"/>
      <c r="B706" s="67"/>
      <c r="C706" s="67"/>
      <c r="D706" s="61"/>
      <c r="E706" s="35" t="str">
        <f t="shared" si="38"/>
        <v/>
      </c>
      <c r="F706" s="35" t="str">
        <f t="shared" si="39"/>
        <v/>
      </c>
      <c r="G706" s="58" t="str">
        <f t="shared" si="40"/>
        <v/>
      </c>
    </row>
    <row r="707" spans="1:7" x14ac:dyDescent="0.25">
      <c r="A707" s="61"/>
      <c r="B707" s="67"/>
      <c r="C707" s="67"/>
      <c r="D707" s="61"/>
      <c r="E707" s="35" t="str">
        <f t="shared" ref="E707:E770" si="41">IF(B707&lt;&gt;"",(H707+D707)*COS(RADIANS(HMSTOHDD(B707)))*COS(RADIANS(HMSTOHDD(-C707))),"")</f>
        <v/>
      </c>
      <c r="F707" s="35" t="str">
        <f t="shared" ref="F707:F770" si="42">IF(B707&lt;&gt;"",(H707+D707)*COS(RADIANS(HMSTOHDD(B707)))*SIN(RADIANS(HMSTOHDD(-C707))),"")</f>
        <v/>
      </c>
      <c r="G707" s="58" t="str">
        <f t="shared" si="40"/>
        <v/>
      </c>
    </row>
    <row r="708" spans="1:7" x14ac:dyDescent="0.25">
      <c r="A708" s="61"/>
      <c r="B708" s="67"/>
      <c r="C708" s="67"/>
      <c r="D708" s="61"/>
      <c r="E708" s="35" t="str">
        <f t="shared" si="41"/>
        <v/>
      </c>
      <c r="F708" s="35" t="str">
        <f t="shared" si="42"/>
        <v/>
      </c>
      <c r="G708" s="58" t="str">
        <f t="shared" ref="G708:G771" si="43">IF(B708&lt;&gt;"",SIN(RADIANS(HMSTOHDD(B708)))*(H708*(1-$M$4)+D708),"")</f>
        <v/>
      </c>
    </row>
    <row r="709" spans="1:7" x14ac:dyDescent="0.25">
      <c r="A709" s="61"/>
      <c r="B709" s="67"/>
      <c r="C709" s="67"/>
      <c r="D709" s="61"/>
      <c r="E709" s="35" t="str">
        <f t="shared" si="41"/>
        <v/>
      </c>
      <c r="F709" s="35" t="str">
        <f t="shared" si="42"/>
        <v/>
      </c>
      <c r="G709" s="58" t="str">
        <f t="shared" si="43"/>
        <v/>
      </c>
    </row>
    <row r="710" spans="1:7" x14ac:dyDescent="0.25">
      <c r="A710" s="61"/>
      <c r="B710" s="67"/>
      <c r="C710" s="67"/>
      <c r="D710" s="61"/>
      <c r="E710" s="35" t="str">
        <f t="shared" si="41"/>
        <v/>
      </c>
      <c r="F710" s="35" t="str">
        <f t="shared" si="42"/>
        <v/>
      </c>
      <c r="G710" s="58" t="str">
        <f t="shared" si="43"/>
        <v/>
      </c>
    </row>
    <row r="711" spans="1:7" x14ac:dyDescent="0.25">
      <c r="A711" s="61"/>
      <c r="B711" s="67"/>
      <c r="C711" s="67"/>
      <c r="D711" s="61"/>
      <c r="E711" s="35" t="str">
        <f t="shared" si="41"/>
        <v/>
      </c>
      <c r="F711" s="35" t="str">
        <f t="shared" si="42"/>
        <v/>
      </c>
      <c r="G711" s="58" t="str">
        <f t="shared" si="43"/>
        <v/>
      </c>
    </row>
    <row r="712" spans="1:7" x14ac:dyDescent="0.25">
      <c r="A712" s="61"/>
      <c r="B712" s="67"/>
      <c r="C712" s="67"/>
      <c r="D712" s="61"/>
      <c r="E712" s="35" t="str">
        <f t="shared" si="41"/>
        <v/>
      </c>
      <c r="F712" s="35" t="str">
        <f t="shared" si="42"/>
        <v/>
      </c>
      <c r="G712" s="58" t="str">
        <f t="shared" si="43"/>
        <v/>
      </c>
    </row>
    <row r="713" spans="1:7" x14ac:dyDescent="0.25">
      <c r="A713" s="61"/>
      <c r="B713" s="67"/>
      <c r="C713" s="67"/>
      <c r="D713" s="61"/>
      <c r="E713" s="35" t="str">
        <f t="shared" si="41"/>
        <v/>
      </c>
      <c r="F713" s="35" t="str">
        <f t="shared" si="42"/>
        <v/>
      </c>
      <c r="G713" s="58" t="str">
        <f t="shared" si="43"/>
        <v/>
      </c>
    </row>
    <row r="714" spans="1:7" x14ac:dyDescent="0.25">
      <c r="A714" s="61"/>
      <c r="B714" s="67"/>
      <c r="C714" s="67"/>
      <c r="D714" s="61"/>
      <c r="E714" s="35" t="str">
        <f t="shared" si="41"/>
        <v/>
      </c>
      <c r="F714" s="35" t="str">
        <f t="shared" si="42"/>
        <v/>
      </c>
      <c r="G714" s="58" t="str">
        <f t="shared" si="43"/>
        <v/>
      </c>
    </row>
    <row r="715" spans="1:7" x14ac:dyDescent="0.25">
      <c r="A715" s="61"/>
      <c r="B715" s="67"/>
      <c r="C715" s="67"/>
      <c r="D715" s="61"/>
      <c r="E715" s="35" t="str">
        <f t="shared" si="41"/>
        <v/>
      </c>
      <c r="F715" s="35" t="str">
        <f t="shared" si="42"/>
        <v/>
      </c>
      <c r="G715" s="58" t="str">
        <f t="shared" si="43"/>
        <v/>
      </c>
    </row>
    <row r="716" spans="1:7" x14ac:dyDescent="0.25">
      <c r="A716" s="61"/>
      <c r="B716" s="67"/>
      <c r="C716" s="67"/>
      <c r="D716" s="61"/>
      <c r="E716" s="35" t="str">
        <f t="shared" si="41"/>
        <v/>
      </c>
      <c r="F716" s="35" t="str">
        <f t="shared" si="42"/>
        <v/>
      </c>
      <c r="G716" s="58" t="str">
        <f t="shared" si="43"/>
        <v/>
      </c>
    </row>
    <row r="717" spans="1:7" x14ac:dyDescent="0.25">
      <c r="A717" s="61"/>
      <c r="B717" s="67"/>
      <c r="C717" s="67"/>
      <c r="D717" s="61"/>
      <c r="E717" s="35" t="str">
        <f t="shared" si="41"/>
        <v/>
      </c>
      <c r="F717" s="35" t="str">
        <f t="shared" si="42"/>
        <v/>
      </c>
      <c r="G717" s="58" t="str">
        <f t="shared" si="43"/>
        <v/>
      </c>
    </row>
    <row r="718" spans="1:7" x14ac:dyDescent="0.25">
      <c r="A718" s="61"/>
      <c r="B718" s="67"/>
      <c r="C718" s="67"/>
      <c r="D718" s="61"/>
      <c r="E718" s="35" t="str">
        <f t="shared" si="41"/>
        <v/>
      </c>
      <c r="F718" s="35" t="str">
        <f t="shared" si="42"/>
        <v/>
      </c>
      <c r="G718" s="58" t="str">
        <f t="shared" si="43"/>
        <v/>
      </c>
    </row>
    <row r="719" spans="1:7" x14ac:dyDescent="0.25">
      <c r="A719" s="61"/>
      <c r="B719" s="67"/>
      <c r="C719" s="67"/>
      <c r="D719" s="61"/>
      <c r="E719" s="35" t="str">
        <f t="shared" si="41"/>
        <v/>
      </c>
      <c r="F719" s="35" t="str">
        <f t="shared" si="42"/>
        <v/>
      </c>
      <c r="G719" s="58" t="str">
        <f t="shared" si="43"/>
        <v/>
      </c>
    </row>
    <row r="720" spans="1:7" x14ac:dyDescent="0.25">
      <c r="A720" s="61"/>
      <c r="B720" s="67"/>
      <c r="C720" s="67"/>
      <c r="D720" s="61"/>
      <c r="E720" s="35" t="str">
        <f t="shared" si="41"/>
        <v/>
      </c>
      <c r="F720" s="35" t="str">
        <f t="shared" si="42"/>
        <v/>
      </c>
      <c r="G720" s="58" t="str">
        <f t="shared" si="43"/>
        <v/>
      </c>
    </row>
    <row r="721" spans="1:7" x14ac:dyDescent="0.25">
      <c r="A721" s="61"/>
      <c r="B721" s="67"/>
      <c r="C721" s="67"/>
      <c r="D721" s="61"/>
      <c r="E721" s="35" t="str">
        <f t="shared" si="41"/>
        <v/>
      </c>
      <c r="F721" s="35" t="str">
        <f t="shared" si="42"/>
        <v/>
      </c>
      <c r="G721" s="58" t="str">
        <f t="shared" si="43"/>
        <v/>
      </c>
    </row>
    <row r="722" spans="1:7" x14ac:dyDescent="0.25">
      <c r="A722" s="61"/>
      <c r="B722" s="67"/>
      <c r="C722" s="67"/>
      <c r="D722" s="61"/>
      <c r="E722" s="35" t="str">
        <f t="shared" si="41"/>
        <v/>
      </c>
      <c r="F722" s="35" t="str">
        <f t="shared" si="42"/>
        <v/>
      </c>
      <c r="G722" s="58" t="str">
        <f t="shared" si="43"/>
        <v/>
      </c>
    </row>
    <row r="723" spans="1:7" x14ac:dyDescent="0.25">
      <c r="A723" s="61"/>
      <c r="B723" s="67"/>
      <c r="C723" s="67"/>
      <c r="D723" s="61"/>
      <c r="E723" s="35" t="str">
        <f t="shared" si="41"/>
        <v/>
      </c>
      <c r="F723" s="35" t="str">
        <f t="shared" si="42"/>
        <v/>
      </c>
      <c r="G723" s="58" t="str">
        <f t="shared" si="43"/>
        <v/>
      </c>
    </row>
    <row r="724" spans="1:7" x14ac:dyDescent="0.25">
      <c r="A724" s="61"/>
      <c r="B724" s="67"/>
      <c r="C724" s="67"/>
      <c r="D724" s="61"/>
      <c r="E724" s="35" t="str">
        <f t="shared" si="41"/>
        <v/>
      </c>
      <c r="F724" s="35" t="str">
        <f t="shared" si="42"/>
        <v/>
      </c>
      <c r="G724" s="58" t="str">
        <f t="shared" si="43"/>
        <v/>
      </c>
    </row>
    <row r="725" spans="1:7" x14ac:dyDescent="0.25">
      <c r="A725" s="61"/>
      <c r="B725" s="67"/>
      <c r="C725" s="67"/>
      <c r="D725" s="61"/>
      <c r="E725" s="35" t="str">
        <f t="shared" si="41"/>
        <v/>
      </c>
      <c r="F725" s="35" t="str">
        <f t="shared" si="42"/>
        <v/>
      </c>
      <c r="G725" s="58" t="str">
        <f t="shared" si="43"/>
        <v/>
      </c>
    </row>
    <row r="726" spans="1:7" x14ac:dyDescent="0.25">
      <c r="A726" s="61"/>
      <c r="B726" s="67"/>
      <c r="C726" s="67"/>
      <c r="D726" s="61"/>
      <c r="E726" s="35" t="str">
        <f t="shared" si="41"/>
        <v/>
      </c>
      <c r="F726" s="35" t="str">
        <f t="shared" si="42"/>
        <v/>
      </c>
      <c r="G726" s="58" t="str">
        <f t="shared" si="43"/>
        <v/>
      </c>
    </row>
    <row r="727" spans="1:7" x14ac:dyDescent="0.25">
      <c r="A727" s="61"/>
      <c r="B727" s="67"/>
      <c r="C727" s="67"/>
      <c r="D727" s="61"/>
      <c r="E727" s="35" t="str">
        <f t="shared" si="41"/>
        <v/>
      </c>
      <c r="F727" s="35" t="str">
        <f t="shared" si="42"/>
        <v/>
      </c>
      <c r="G727" s="58" t="str">
        <f t="shared" si="43"/>
        <v/>
      </c>
    </row>
    <row r="728" spans="1:7" x14ac:dyDescent="0.25">
      <c r="A728" s="61"/>
      <c r="B728" s="67"/>
      <c r="C728" s="67"/>
      <c r="D728" s="61"/>
      <c r="E728" s="35" t="str">
        <f t="shared" si="41"/>
        <v/>
      </c>
      <c r="F728" s="35" t="str">
        <f t="shared" si="42"/>
        <v/>
      </c>
      <c r="G728" s="58" t="str">
        <f t="shared" si="43"/>
        <v/>
      </c>
    </row>
    <row r="729" spans="1:7" x14ac:dyDescent="0.25">
      <c r="A729" s="61"/>
      <c r="B729" s="67"/>
      <c r="C729" s="67"/>
      <c r="D729" s="61"/>
      <c r="E729" s="35" t="str">
        <f t="shared" si="41"/>
        <v/>
      </c>
      <c r="F729" s="35" t="str">
        <f t="shared" si="42"/>
        <v/>
      </c>
      <c r="G729" s="58" t="str">
        <f t="shared" si="43"/>
        <v/>
      </c>
    </row>
    <row r="730" spans="1:7" x14ac:dyDescent="0.25">
      <c r="A730" s="61"/>
      <c r="B730" s="67"/>
      <c r="C730" s="67"/>
      <c r="D730" s="61"/>
      <c r="E730" s="35" t="str">
        <f t="shared" si="41"/>
        <v/>
      </c>
      <c r="F730" s="35" t="str">
        <f t="shared" si="42"/>
        <v/>
      </c>
      <c r="G730" s="58" t="str">
        <f t="shared" si="43"/>
        <v/>
      </c>
    </row>
    <row r="731" spans="1:7" x14ac:dyDescent="0.25">
      <c r="A731" s="61"/>
      <c r="B731" s="67"/>
      <c r="C731" s="67"/>
      <c r="D731" s="61"/>
      <c r="E731" s="35" t="str">
        <f t="shared" si="41"/>
        <v/>
      </c>
      <c r="F731" s="35" t="str">
        <f t="shared" si="42"/>
        <v/>
      </c>
      <c r="G731" s="58" t="str">
        <f t="shared" si="43"/>
        <v/>
      </c>
    </row>
    <row r="732" spans="1:7" x14ac:dyDescent="0.25">
      <c r="A732" s="61"/>
      <c r="B732" s="67"/>
      <c r="C732" s="67"/>
      <c r="D732" s="61"/>
      <c r="E732" s="35" t="str">
        <f t="shared" si="41"/>
        <v/>
      </c>
      <c r="F732" s="35" t="str">
        <f t="shared" si="42"/>
        <v/>
      </c>
      <c r="G732" s="58" t="str">
        <f t="shared" si="43"/>
        <v/>
      </c>
    </row>
    <row r="733" spans="1:7" x14ac:dyDescent="0.25">
      <c r="A733" s="61"/>
      <c r="B733" s="67"/>
      <c r="C733" s="67"/>
      <c r="D733" s="61"/>
      <c r="E733" s="35" t="str">
        <f t="shared" si="41"/>
        <v/>
      </c>
      <c r="F733" s="35" t="str">
        <f t="shared" si="42"/>
        <v/>
      </c>
      <c r="G733" s="58" t="str">
        <f t="shared" si="43"/>
        <v/>
      </c>
    </row>
    <row r="734" spans="1:7" x14ac:dyDescent="0.25">
      <c r="A734" s="61"/>
      <c r="B734" s="67"/>
      <c r="C734" s="67"/>
      <c r="D734" s="61"/>
      <c r="E734" s="35" t="str">
        <f t="shared" si="41"/>
        <v/>
      </c>
      <c r="F734" s="35" t="str">
        <f t="shared" si="42"/>
        <v/>
      </c>
      <c r="G734" s="58" t="str">
        <f t="shared" si="43"/>
        <v/>
      </c>
    </row>
    <row r="735" spans="1:7" x14ac:dyDescent="0.25">
      <c r="A735" s="61"/>
      <c r="B735" s="67"/>
      <c r="C735" s="67"/>
      <c r="D735" s="61"/>
      <c r="E735" s="35" t="str">
        <f t="shared" si="41"/>
        <v/>
      </c>
      <c r="F735" s="35" t="str">
        <f t="shared" si="42"/>
        <v/>
      </c>
      <c r="G735" s="58" t="str">
        <f t="shared" si="43"/>
        <v/>
      </c>
    </row>
    <row r="736" spans="1:7" x14ac:dyDescent="0.25">
      <c r="A736" s="61"/>
      <c r="B736" s="67"/>
      <c r="C736" s="67"/>
      <c r="D736" s="61"/>
      <c r="E736" s="35" t="str">
        <f t="shared" si="41"/>
        <v/>
      </c>
      <c r="F736" s="35" t="str">
        <f t="shared" si="42"/>
        <v/>
      </c>
      <c r="G736" s="58" t="str">
        <f t="shared" si="43"/>
        <v/>
      </c>
    </row>
    <row r="737" spans="1:7" x14ac:dyDescent="0.25">
      <c r="A737" s="61"/>
      <c r="B737" s="67"/>
      <c r="C737" s="67"/>
      <c r="D737" s="61"/>
      <c r="E737" s="35" t="str">
        <f t="shared" si="41"/>
        <v/>
      </c>
      <c r="F737" s="35" t="str">
        <f t="shared" si="42"/>
        <v/>
      </c>
      <c r="G737" s="58" t="str">
        <f t="shared" si="43"/>
        <v/>
      </c>
    </row>
    <row r="738" spans="1:7" x14ac:dyDescent="0.25">
      <c r="A738" s="61"/>
      <c r="B738" s="67"/>
      <c r="C738" s="67"/>
      <c r="D738" s="61"/>
      <c r="E738" s="35" t="str">
        <f t="shared" si="41"/>
        <v/>
      </c>
      <c r="F738" s="35" t="str">
        <f t="shared" si="42"/>
        <v/>
      </c>
      <c r="G738" s="58" t="str">
        <f t="shared" si="43"/>
        <v/>
      </c>
    </row>
    <row r="739" spans="1:7" x14ac:dyDescent="0.25">
      <c r="A739" s="61"/>
      <c r="B739" s="67"/>
      <c r="C739" s="67"/>
      <c r="D739" s="61"/>
      <c r="E739" s="35" t="str">
        <f t="shared" si="41"/>
        <v/>
      </c>
      <c r="F739" s="35" t="str">
        <f t="shared" si="42"/>
        <v/>
      </c>
      <c r="G739" s="58" t="str">
        <f t="shared" si="43"/>
        <v/>
      </c>
    </row>
    <row r="740" spans="1:7" x14ac:dyDescent="0.25">
      <c r="A740" s="61"/>
      <c r="B740" s="67"/>
      <c r="C740" s="67"/>
      <c r="D740" s="61"/>
      <c r="E740" s="35" t="str">
        <f t="shared" si="41"/>
        <v/>
      </c>
      <c r="F740" s="35" t="str">
        <f t="shared" si="42"/>
        <v/>
      </c>
      <c r="G740" s="58" t="str">
        <f t="shared" si="43"/>
        <v/>
      </c>
    </row>
    <row r="741" spans="1:7" x14ac:dyDescent="0.25">
      <c r="A741" s="61"/>
      <c r="B741" s="67"/>
      <c r="C741" s="67"/>
      <c r="D741" s="61"/>
      <c r="E741" s="35" t="str">
        <f t="shared" si="41"/>
        <v/>
      </c>
      <c r="F741" s="35" t="str">
        <f t="shared" si="42"/>
        <v/>
      </c>
      <c r="G741" s="58" t="str">
        <f t="shared" si="43"/>
        <v/>
      </c>
    </row>
    <row r="742" spans="1:7" x14ac:dyDescent="0.25">
      <c r="A742" s="61"/>
      <c r="B742" s="67"/>
      <c r="C742" s="67"/>
      <c r="D742" s="61"/>
      <c r="E742" s="35" t="str">
        <f t="shared" si="41"/>
        <v/>
      </c>
      <c r="F742" s="35" t="str">
        <f t="shared" si="42"/>
        <v/>
      </c>
      <c r="G742" s="58" t="str">
        <f t="shared" si="43"/>
        <v/>
      </c>
    </row>
    <row r="743" spans="1:7" x14ac:dyDescent="0.25">
      <c r="A743" s="61"/>
      <c r="B743" s="67"/>
      <c r="C743" s="67"/>
      <c r="D743" s="61"/>
      <c r="E743" s="35" t="str">
        <f t="shared" si="41"/>
        <v/>
      </c>
      <c r="F743" s="35" t="str">
        <f t="shared" si="42"/>
        <v/>
      </c>
      <c r="G743" s="58" t="str">
        <f t="shared" si="43"/>
        <v/>
      </c>
    </row>
    <row r="744" spans="1:7" x14ac:dyDescent="0.25">
      <c r="A744" s="61"/>
      <c r="B744" s="67"/>
      <c r="C744" s="67"/>
      <c r="D744" s="61"/>
      <c r="E744" s="35" t="str">
        <f t="shared" si="41"/>
        <v/>
      </c>
      <c r="F744" s="35" t="str">
        <f t="shared" si="42"/>
        <v/>
      </c>
      <c r="G744" s="58" t="str">
        <f t="shared" si="43"/>
        <v/>
      </c>
    </row>
    <row r="745" spans="1:7" x14ac:dyDescent="0.25">
      <c r="A745" s="61"/>
      <c r="B745" s="67"/>
      <c r="C745" s="67"/>
      <c r="D745" s="61"/>
      <c r="E745" s="35" t="str">
        <f t="shared" si="41"/>
        <v/>
      </c>
      <c r="F745" s="35" t="str">
        <f t="shared" si="42"/>
        <v/>
      </c>
      <c r="G745" s="58" t="str">
        <f t="shared" si="43"/>
        <v/>
      </c>
    </row>
    <row r="746" spans="1:7" x14ac:dyDescent="0.25">
      <c r="A746" s="61"/>
      <c r="B746" s="67"/>
      <c r="C746" s="67"/>
      <c r="D746" s="61"/>
      <c r="E746" s="35" t="str">
        <f t="shared" si="41"/>
        <v/>
      </c>
      <c r="F746" s="35" t="str">
        <f t="shared" si="42"/>
        <v/>
      </c>
      <c r="G746" s="58" t="str">
        <f t="shared" si="43"/>
        <v/>
      </c>
    </row>
    <row r="747" spans="1:7" x14ac:dyDescent="0.25">
      <c r="A747" s="61"/>
      <c r="B747" s="67"/>
      <c r="C747" s="67"/>
      <c r="D747" s="61"/>
      <c r="E747" s="35" t="str">
        <f t="shared" si="41"/>
        <v/>
      </c>
      <c r="F747" s="35" t="str">
        <f t="shared" si="42"/>
        <v/>
      </c>
      <c r="G747" s="58" t="str">
        <f t="shared" si="43"/>
        <v/>
      </c>
    </row>
    <row r="748" spans="1:7" x14ac:dyDescent="0.25">
      <c r="A748" s="61"/>
      <c r="B748" s="67"/>
      <c r="C748" s="67"/>
      <c r="D748" s="61"/>
      <c r="E748" s="35" t="str">
        <f t="shared" si="41"/>
        <v/>
      </c>
      <c r="F748" s="35" t="str">
        <f t="shared" si="42"/>
        <v/>
      </c>
      <c r="G748" s="58" t="str">
        <f t="shared" si="43"/>
        <v/>
      </c>
    </row>
    <row r="749" spans="1:7" x14ac:dyDescent="0.25">
      <c r="A749" s="61"/>
      <c r="B749" s="67"/>
      <c r="C749" s="67"/>
      <c r="D749" s="61"/>
      <c r="E749" s="35" t="str">
        <f t="shared" si="41"/>
        <v/>
      </c>
      <c r="F749" s="35" t="str">
        <f t="shared" si="42"/>
        <v/>
      </c>
      <c r="G749" s="58" t="str">
        <f t="shared" si="43"/>
        <v/>
      </c>
    </row>
    <row r="750" spans="1:7" x14ac:dyDescent="0.25">
      <c r="A750" s="61"/>
      <c r="B750" s="67"/>
      <c r="C750" s="67"/>
      <c r="D750" s="61"/>
      <c r="E750" s="35" t="str">
        <f t="shared" si="41"/>
        <v/>
      </c>
      <c r="F750" s="35" t="str">
        <f t="shared" si="42"/>
        <v/>
      </c>
      <c r="G750" s="58" t="str">
        <f t="shared" si="43"/>
        <v/>
      </c>
    </row>
    <row r="751" spans="1:7" x14ac:dyDescent="0.25">
      <c r="A751" s="61"/>
      <c r="B751" s="67"/>
      <c r="C751" s="67"/>
      <c r="D751" s="61"/>
      <c r="E751" s="35" t="str">
        <f t="shared" si="41"/>
        <v/>
      </c>
      <c r="F751" s="35" t="str">
        <f t="shared" si="42"/>
        <v/>
      </c>
      <c r="G751" s="58" t="str">
        <f t="shared" si="43"/>
        <v/>
      </c>
    </row>
    <row r="752" spans="1:7" x14ac:dyDescent="0.25">
      <c r="A752" s="61"/>
      <c r="B752" s="67"/>
      <c r="C752" s="67"/>
      <c r="D752" s="61"/>
      <c r="E752" s="35" t="str">
        <f t="shared" si="41"/>
        <v/>
      </c>
      <c r="F752" s="35" t="str">
        <f t="shared" si="42"/>
        <v/>
      </c>
      <c r="G752" s="58" t="str">
        <f t="shared" si="43"/>
        <v/>
      </c>
    </row>
    <row r="753" spans="1:7" x14ac:dyDescent="0.25">
      <c r="A753" s="61"/>
      <c r="B753" s="67"/>
      <c r="C753" s="67"/>
      <c r="D753" s="61"/>
      <c r="E753" s="35" t="str">
        <f t="shared" si="41"/>
        <v/>
      </c>
      <c r="F753" s="35" t="str">
        <f t="shared" si="42"/>
        <v/>
      </c>
      <c r="G753" s="58" t="str">
        <f t="shared" si="43"/>
        <v/>
      </c>
    </row>
    <row r="754" spans="1:7" x14ac:dyDescent="0.25">
      <c r="A754" s="61"/>
      <c r="B754" s="67"/>
      <c r="C754" s="67"/>
      <c r="D754" s="61"/>
      <c r="E754" s="35" t="str">
        <f t="shared" si="41"/>
        <v/>
      </c>
      <c r="F754" s="35" t="str">
        <f t="shared" si="42"/>
        <v/>
      </c>
      <c r="G754" s="58" t="str">
        <f t="shared" si="43"/>
        <v/>
      </c>
    </row>
    <row r="755" spans="1:7" x14ac:dyDescent="0.25">
      <c r="A755" s="61"/>
      <c r="B755" s="67"/>
      <c r="C755" s="67"/>
      <c r="D755" s="61"/>
      <c r="E755" s="35" t="str">
        <f t="shared" si="41"/>
        <v/>
      </c>
      <c r="F755" s="35" t="str">
        <f t="shared" si="42"/>
        <v/>
      </c>
      <c r="G755" s="58" t="str">
        <f t="shared" si="43"/>
        <v/>
      </c>
    </row>
    <row r="756" spans="1:7" x14ac:dyDescent="0.25">
      <c r="A756" s="61"/>
      <c r="B756" s="67"/>
      <c r="C756" s="67"/>
      <c r="D756" s="61"/>
      <c r="E756" s="35" t="str">
        <f t="shared" si="41"/>
        <v/>
      </c>
      <c r="F756" s="35" t="str">
        <f t="shared" si="42"/>
        <v/>
      </c>
      <c r="G756" s="58" t="str">
        <f t="shared" si="43"/>
        <v/>
      </c>
    </row>
    <row r="757" spans="1:7" x14ac:dyDescent="0.25">
      <c r="A757" s="61"/>
      <c r="B757" s="67"/>
      <c r="C757" s="67"/>
      <c r="D757" s="61"/>
      <c r="E757" s="35" t="str">
        <f t="shared" si="41"/>
        <v/>
      </c>
      <c r="F757" s="35" t="str">
        <f t="shared" si="42"/>
        <v/>
      </c>
      <c r="G757" s="58" t="str">
        <f t="shared" si="43"/>
        <v/>
      </c>
    </row>
    <row r="758" spans="1:7" x14ac:dyDescent="0.25">
      <c r="A758" s="61"/>
      <c r="B758" s="67"/>
      <c r="C758" s="67"/>
      <c r="D758" s="61"/>
      <c r="E758" s="35" t="str">
        <f t="shared" si="41"/>
        <v/>
      </c>
      <c r="F758" s="35" t="str">
        <f t="shared" si="42"/>
        <v/>
      </c>
      <c r="G758" s="58" t="str">
        <f t="shared" si="43"/>
        <v/>
      </c>
    </row>
    <row r="759" spans="1:7" x14ac:dyDescent="0.25">
      <c r="A759" s="61"/>
      <c r="B759" s="67"/>
      <c r="C759" s="67"/>
      <c r="D759" s="61"/>
      <c r="E759" s="35" t="str">
        <f t="shared" si="41"/>
        <v/>
      </c>
      <c r="F759" s="35" t="str">
        <f t="shared" si="42"/>
        <v/>
      </c>
      <c r="G759" s="58" t="str">
        <f t="shared" si="43"/>
        <v/>
      </c>
    </row>
    <row r="760" spans="1:7" x14ac:dyDescent="0.25">
      <c r="A760" s="61"/>
      <c r="B760" s="67"/>
      <c r="C760" s="67"/>
      <c r="D760" s="61"/>
      <c r="E760" s="35" t="str">
        <f t="shared" si="41"/>
        <v/>
      </c>
      <c r="F760" s="35" t="str">
        <f t="shared" si="42"/>
        <v/>
      </c>
      <c r="G760" s="58" t="str">
        <f t="shared" si="43"/>
        <v/>
      </c>
    </row>
    <row r="761" spans="1:7" x14ac:dyDescent="0.25">
      <c r="A761" s="61"/>
      <c r="B761" s="67"/>
      <c r="C761" s="67"/>
      <c r="D761" s="61"/>
      <c r="E761" s="35" t="str">
        <f t="shared" si="41"/>
        <v/>
      </c>
      <c r="F761" s="35" t="str">
        <f t="shared" si="42"/>
        <v/>
      </c>
      <c r="G761" s="58" t="str">
        <f t="shared" si="43"/>
        <v/>
      </c>
    </row>
    <row r="762" spans="1:7" x14ac:dyDescent="0.25">
      <c r="A762" s="61"/>
      <c r="B762" s="67"/>
      <c r="C762" s="67"/>
      <c r="D762" s="61"/>
      <c r="E762" s="35" t="str">
        <f t="shared" si="41"/>
        <v/>
      </c>
      <c r="F762" s="35" t="str">
        <f t="shared" si="42"/>
        <v/>
      </c>
      <c r="G762" s="58" t="str">
        <f t="shared" si="43"/>
        <v/>
      </c>
    </row>
    <row r="763" spans="1:7" x14ac:dyDescent="0.25">
      <c r="A763" s="61"/>
      <c r="B763" s="67"/>
      <c r="C763" s="67"/>
      <c r="D763" s="61"/>
      <c r="E763" s="35" t="str">
        <f t="shared" si="41"/>
        <v/>
      </c>
      <c r="F763" s="35" t="str">
        <f t="shared" si="42"/>
        <v/>
      </c>
      <c r="G763" s="58" t="str">
        <f t="shared" si="43"/>
        <v/>
      </c>
    </row>
    <row r="764" spans="1:7" x14ac:dyDescent="0.25">
      <c r="A764" s="61"/>
      <c r="B764" s="67"/>
      <c r="C764" s="67"/>
      <c r="D764" s="61"/>
      <c r="E764" s="35" t="str">
        <f t="shared" si="41"/>
        <v/>
      </c>
      <c r="F764" s="35" t="str">
        <f t="shared" si="42"/>
        <v/>
      </c>
      <c r="G764" s="58" t="str">
        <f t="shared" si="43"/>
        <v/>
      </c>
    </row>
    <row r="765" spans="1:7" x14ac:dyDescent="0.25">
      <c r="A765" s="61"/>
      <c r="B765" s="67"/>
      <c r="C765" s="67"/>
      <c r="D765" s="61"/>
      <c r="E765" s="35" t="str">
        <f t="shared" si="41"/>
        <v/>
      </c>
      <c r="F765" s="35" t="str">
        <f t="shared" si="42"/>
        <v/>
      </c>
      <c r="G765" s="58" t="str">
        <f t="shared" si="43"/>
        <v/>
      </c>
    </row>
    <row r="766" spans="1:7" x14ac:dyDescent="0.25">
      <c r="A766" s="61"/>
      <c r="B766" s="67"/>
      <c r="C766" s="67"/>
      <c r="D766" s="61"/>
      <c r="E766" s="35" t="str">
        <f t="shared" si="41"/>
        <v/>
      </c>
      <c r="F766" s="35" t="str">
        <f t="shared" si="42"/>
        <v/>
      </c>
      <c r="G766" s="58" t="str">
        <f t="shared" si="43"/>
        <v/>
      </c>
    </row>
    <row r="767" spans="1:7" x14ac:dyDescent="0.25">
      <c r="A767" s="61"/>
      <c r="B767" s="67"/>
      <c r="C767" s="67"/>
      <c r="D767" s="61"/>
      <c r="E767" s="35" t="str">
        <f t="shared" si="41"/>
        <v/>
      </c>
      <c r="F767" s="35" t="str">
        <f t="shared" si="42"/>
        <v/>
      </c>
      <c r="G767" s="58" t="str">
        <f t="shared" si="43"/>
        <v/>
      </c>
    </row>
    <row r="768" spans="1:7" x14ac:dyDescent="0.25">
      <c r="A768" s="61"/>
      <c r="B768" s="67"/>
      <c r="C768" s="67"/>
      <c r="D768" s="61"/>
      <c r="E768" s="35" t="str">
        <f t="shared" si="41"/>
        <v/>
      </c>
      <c r="F768" s="35" t="str">
        <f t="shared" si="42"/>
        <v/>
      </c>
      <c r="G768" s="58" t="str">
        <f t="shared" si="43"/>
        <v/>
      </c>
    </row>
    <row r="769" spans="1:7" x14ac:dyDescent="0.25">
      <c r="A769" s="61"/>
      <c r="B769" s="67"/>
      <c r="C769" s="67"/>
      <c r="D769" s="61"/>
      <c r="E769" s="35" t="str">
        <f t="shared" si="41"/>
        <v/>
      </c>
      <c r="F769" s="35" t="str">
        <f t="shared" si="42"/>
        <v/>
      </c>
      <c r="G769" s="58" t="str">
        <f t="shared" si="43"/>
        <v/>
      </c>
    </row>
    <row r="770" spans="1:7" x14ac:dyDescent="0.25">
      <c r="A770" s="61"/>
      <c r="B770" s="67"/>
      <c r="C770" s="67"/>
      <c r="D770" s="61"/>
      <c r="E770" s="35" t="str">
        <f t="shared" si="41"/>
        <v/>
      </c>
      <c r="F770" s="35" t="str">
        <f t="shared" si="42"/>
        <v/>
      </c>
      <c r="G770" s="58" t="str">
        <f t="shared" si="43"/>
        <v/>
      </c>
    </row>
    <row r="771" spans="1:7" x14ac:dyDescent="0.25">
      <c r="A771" s="61"/>
      <c r="B771" s="67"/>
      <c r="C771" s="67"/>
      <c r="D771" s="61"/>
      <c r="E771" s="35" t="str">
        <f t="shared" ref="E771:E834" si="44">IF(B771&lt;&gt;"",(H771+D771)*COS(RADIANS(HMSTOHDD(B771)))*COS(RADIANS(HMSTOHDD(-C771))),"")</f>
        <v/>
      </c>
      <c r="F771" s="35" t="str">
        <f t="shared" ref="F771:F834" si="45">IF(B771&lt;&gt;"",(H771+D771)*COS(RADIANS(HMSTOHDD(B771)))*SIN(RADIANS(HMSTOHDD(-C771))),"")</f>
        <v/>
      </c>
      <c r="G771" s="58" t="str">
        <f t="shared" si="43"/>
        <v/>
      </c>
    </row>
    <row r="772" spans="1:7" x14ac:dyDescent="0.25">
      <c r="A772" s="61"/>
      <c r="B772" s="67"/>
      <c r="C772" s="67"/>
      <c r="D772" s="61"/>
      <c r="E772" s="35" t="str">
        <f t="shared" si="44"/>
        <v/>
      </c>
      <c r="F772" s="35" t="str">
        <f t="shared" si="45"/>
        <v/>
      </c>
      <c r="G772" s="58" t="str">
        <f t="shared" ref="G772:G835" si="46">IF(B772&lt;&gt;"",SIN(RADIANS(HMSTOHDD(B772)))*(H772*(1-$M$4)+D772),"")</f>
        <v/>
      </c>
    </row>
    <row r="773" spans="1:7" x14ac:dyDescent="0.25">
      <c r="A773" s="61"/>
      <c r="B773" s="67"/>
      <c r="C773" s="67"/>
      <c r="D773" s="61"/>
      <c r="E773" s="35" t="str">
        <f t="shared" si="44"/>
        <v/>
      </c>
      <c r="F773" s="35" t="str">
        <f t="shared" si="45"/>
        <v/>
      </c>
      <c r="G773" s="58" t="str">
        <f t="shared" si="46"/>
        <v/>
      </c>
    </row>
    <row r="774" spans="1:7" x14ac:dyDescent="0.25">
      <c r="A774" s="61"/>
      <c r="B774" s="67"/>
      <c r="C774" s="67"/>
      <c r="D774" s="61"/>
      <c r="E774" s="35" t="str">
        <f t="shared" si="44"/>
        <v/>
      </c>
      <c r="F774" s="35" t="str">
        <f t="shared" si="45"/>
        <v/>
      </c>
      <c r="G774" s="58" t="str">
        <f t="shared" si="46"/>
        <v/>
      </c>
    </row>
    <row r="775" spans="1:7" x14ac:dyDescent="0.25">
      <c r="A775" s="61"/>
      <c r="B775" s="67"/>
      <c r="C775" s="67"/>
      <c r="D775" s="61"/>
      <c r="E775" s="35" t="str">
        <f t="shared" si="44"/>
        <v/>
      </c>
      <c r="F775" s="35" t="str">
        <f t="shared" si="45"/>
        <v/>
      </c>
      <c r="G775" s="58" t="str">
        <f t="shared" si="46"/>
        <v/>
      </c>
    </row>
    <row r="776" spans="1:7" x14ac:dyDescent="0.25">
      <c r="A776" s="61"/>
      <c r="B776" s="67"/>
      <c r="C776" s="67"/>
      <c r="D776" s="61"/>
      <c r="E776" s="35" t="str">
        <f t="shared" si="44"/>
        <v/>
      </c>
      <c r="F776" s="35" t="str">
        <f t="shared" si="45"/>
        <v/>
      </c>
      <c r="G776" s="58" t="str">
        <f t="shared" si="46"/>
        <v/>
      </c>
    </row>
    <row r="777" spans="1:7" x14ac:dyDescent="0.25">
      <c r="A777" s="61"/>
      <c r="B777" s="67"/>
      <c r="C777" s="67"/>
      <c r="D777" s="61"/>
      <c r="E777" s="35" t="str">
        <f t="shared" si="44"/>
        <v/>
      </c>
      <c r="F777" s="35" t="str">
        <f t="shared" si="45"/>
        <v/>
      </c>
      <c r="G777" s="58" t="str">
        <f t="shared" si="46"/>
        <v/>
      </c>
    </row>
    <row r="778" spans="1:7" x14ac:dyDescent="0.25">
      <c r="A778" s="61"/>
      <c r="B778" s="67"/>
      <c r="C778" s="67"/>
      <c r="D778" s="61"/>
      <c r="E778" s="35" t="str">
        <f t="shared" si="44"/>
        <v/>
      </c>
      <c r="F778" s="35" t="str">
        <f t="shared" si="45"/>
        <v/>
      </c>
      <c r="G778" s="58" t="str">
        <f t="shared" si="46"/>
        <v/>
      </c>
    </row>
    <row r="779" spans="1:7" x14ac:dyDescent="0.25">
      <c r="A779" s="61"/>
      <c r="B779" s="67"/>
      <c r="C779" s="67"/>
      <c r="D779" s="61"/>
      <c r="E779" s="35" t="str">
        <f t="shared" si="44"/>
        <v/>
      </c>
      <c r="F779" s="35" t="str">
        <f t="shared" si="45"/>
        <v/>
      </c>
      <c r="G779" s="58" t="str">
        <f t="shared" si="46"/>
        <v/>
      </c>
    </row>
    <row r="780" spans="1:7" x14ac:dyDescent="0.25">
      <c r="A780" s="61"/>
      <c r="B780" s="67"/>
      <c r="C780" s="67"/>
      <c r="D780" s="61"/>
      <c r="E780" s="35" t="str">
        <f t="shared" si="44"/>
        <v/>
      </c>
      <c r="F780" s="35" t="str">
        <f t="shared" si="45"/>
        <v/>
      </c>
      <c r="G780" s="58" t="str">
        <f t="shared" si="46"/>
        <v/>
      </c>
    </row>
    <row r="781" spans="1:7" x14ac:dyDescent="0.25">
      <c r="A781" s="61"/>
      <c r="B781" s="67"/>
      <c r="C781" s="67"/>
      <c r="D781" s="61"/>
      <c r="E781" s="35" t="str">
        <f t="shared" si="44"/>
        <v/>
      </c>
      <c r="F781" s="35" t="str">
        <f t="shared" si="45"/>
        <v/>
      </c>
      <c r="G781" s="58" t="str">
        <f t="shared" si="46"/>
        <v/>
      </c>
    </row>
    <row r="782" spans="1:7" x14ac:dyDescent="0.25">
      <c r="A782" s="61"/>
      <c r="B782" s="67"/>
      <c r="C782" s="67"/>
      <c r="D782" s="61"/>
      <c r="E782" s="35" t="str">
        <f t="shared" si="44"/>
        <v/>
      </c>
      <c r="F782" s="35" t="str">
        <f t="shared" si="45"/>
        <v/>
      </c>
      <c r="G782" s="58" t="str">
        <f t="shared" si="46"/>
        <v/>
      </c>
    </row>
    <row r="783" spans="1:7" x14ac:dyDescent="0.25">
      <c r="A783" s="61"/>
      <c r="B783" s="67"/>
      <c r="C783" s="67"/>
      <c r="D783" s="61"/>
      <c r="E783" s="35" t="str">
        <f t="shared" si="44"/>
        <v/>
      </c>
      <c r="F783" s="35" t="str">
        <f t="shared" si="45"/>
        <v/>
      </c>
      <c r="G783" s="58" t="str">
        <f t="shared" si="46"/>
        <v/>
      </c>
    </row>
    <row r="784" spans="1:7" x14ac:dyDescent="0.25">
      <c r="A784" s="61"/>
      <c r="B784" s="67"/>
      <c r="C784" s="67"/>
      <c r="D784" s="61"/>
      <c r="E784" s="35" t="str">
        <f t="shared" si="44"/>
        <v/>
      </c>
      <c r="F784" s="35" t="str">
        <f t="shared" si="45"/>
        <v/>
      </c>
      <c r="G784" s="58" t="str">
        <f t="shared" si="46"/>
        <v/>
      </c>
    </row>
    <row r="785" spans="1:7" x14ac:dyDescent="0.25">
      <c r="A785" s="61"/>
      <c r="B785" s="67"/>
      <c r="C785" s="67"/>
      <c r="D785" s="61"/>
      <c r="E785" s="35" t="str">
        <f t="shared" si="44"/>
        <v/>
      </c>
      <c r="F785" s="35" t="str">
        <f t="shared" si="45"/>
        <v/>
      </c>
      <c r="G785" s="58" t="str">
        <f t="shared" si="46"/>
        <v/>
      </c>
    </row>
    <row r="786" spans="1:7" x14ac:dyDescent="0.25">
      <c r="A786" s="61"/>
      <c r="B786" s="67"/>
      <c r="C786" s="67"/>
      <c r="D786" s="61"/>
      <c r="E786" s="35" t="str">
        <f t="shared" si="44"/>
        <v/>
      </c>
      <c r="F786" s="35" t="str">
        <f t="shared" si="45"/>
        <v/>
      </c>
      <c r="G786" s="58" t="str">
        <f t="shared" si="46"/>
        <v/>
      </c>
    </row>
    <row r="787" spans="1:7" x14ac:dyDescent="0.25">
      <c r="A787" s="61"/>
      <c r="B787" s="67"/>
      <c r="C787" s="67"/>
      <c r="D787" s="61"/>
      <c r="E787" s="35" t="str">
        <f t="shared" si="44"/>
        <v/>
      </c>
      <c r="F787" s="35" t="str">
        <f t="shared" si="45"/>
        <v/>
      </c>
      <c r="G787" s="58" t="str">
        <f t="shared" si="46"/>
        <v/>
      </c>
    </row>
    <row r="788" spans="1:7" x14ac:dyDescent="0.25">
      <c r="A788" s="61"/>
      <c r="B788" s="67"/>
      <c r="C788" s="67"/>
      <c r="D788" s="61"/>
      <c r="E788" s="35" t="str">
        <f t="shared" si="44"/>
        <v/>
      </c>
      <c r="F788" s="35" t="str">
        <f t="shared" si="45"/>
        <v/>
      </c>
      <c r="G788" s="58" t="str">
        <f t="shared" si="46"/>
        <v/>
      </c>
    </row>
    <row r="789" spans="1:7" x14ac:dyDescent="0.25">
      <c r="A789" s="61"/>
      <c r="B789" s="67"/>
      <c r="C789" s="67"/>
      <c r="D789" s="61"/>
      <c r="E789" s="35" t="str">
        <f t="shared" si="44"/>
        <v/>
      </c>
      <c r="F789" s="35" t="str">
        <f t="shared" si="45"/>
        <v/>
      </c>
      <c r="G789" s="58" t="str">
        <f t="shared" si="46"/>
        <v/>
      </c>
    </row>
    <row r="790" spans="1:7" x14ac:dyDescent="0.25">
      <c r="A790" s="61"/>
      <c r="B790" s="67"/>
      <c r="C790" s="67"/>
      <c r="D790" s="61"/>
      <c r="E790" s="35" t="str">
        <f t="shared" si="44"/>
        <v/>
      </c>
      <c r="F790" s="35" t="str">
        <f t="shared" si="45"/>
        <v/>
      </c>
      <c r="G790" s="58" t="str">
        <f t="shared" si="46"/>
        <v/>
      </c>
    </row>
    <row r="791" spans="1:7" x14ac:dyDescent="0.25">
      <c r="A791" s="61"/>
      <c r="B791" s="67"/>
      <c r="C791" s="67"/>
      <c r="D791" s="61"/>
      <c r="E791" s="35" t="str">
        <f t="shared" si="44"/>
        <v/>
      </c>
      <c r="F791" s="35" t="str">
        <f t="shared" si="45"/>
        <v/>
      </c>
      <c r="G791" s="58" t="str">
        <f t="shared" si="46"/>
        <v/>
      </c>
    </row>
    <row r="792" spans="1:7" x14ac:dyDescent="0.25">
      <c r="A792" s="61"/>
      <c r="B792" s="67"/>
      <c r="C792" s="67"/>
      <c r="D792" s="61"/>
      <c r="E792" s="35" t="str">
        <f t="shared" si="44"/>
        <v/>
      </c>
      <c r="F792" s="35" t="str">
        <f t="shared" si="45"/>
        <v/>
      </c>
      <c r="G792" s="58" t="str">
        <f t="shared" si="46"/>
        <v/>
      </c>
    </row>
    <row r="793" spans="1:7" x14ac:dyDescent="0.25">
      <c r="A793" s="61"/>
      <c r="B793" s="67"/>
      <c r="C793" s="67"/>
      <c r="D793" s="61"/>
      <c r="E793" s="35" t="str">
        <f t="shared" si="44"/>
        <v/>
      </c>
      <c r="F793" s="35" t="str">
        <f t="shared" si="45"/>
        <v/>
      </c>
      <c r="G793" s="58" t="str">
        <f t="shared" si="46"/>
        <v/>
      </c>
    </row>
    <row r="794" spans="1:7" x14ac:dyDescent="0.25">
      <c r="A794" s="61"/>
      <c r="B794" s="67"/>
      <c r="C794" s="67"/>
      <c r="D794" s="61"/>
      <c r="E794" s="35" t="str">
        <f t="shared" si="44"/>
        <v/>
      </c>
      <c r="F794" s="35" t="str">
        <f t="shared" si="45"/>
        <v/>
      </c>
      <c r="G794" s="58" t="str">
        <f t="shared" si="46"/>
        <v/>
      </c>
    </row>
    <row r="795" spans="1:7" x14ac:dyDescent="0.25">
      <c r="A795" s="61"/>
      <c r="B795" s="67"/>
      <c r="C795" s="67"/>
      <c r="D795" s="61"/>
      <c r="E795" s="35" t="str">
        <f t="shared" si="44"/>
        <v/>
      </c>
      <c r="F795" s="35" t="str">
        <f t="shared" si="45"/>
        <v/>
      </c>
      <c r="G795" s="58" t="str">
        <f t="shared" si="46"/>
        <v/>
      </c>
    </row>
    <row r="796" spans="1:7" x14ac:dyDescent="0.25">
      <c r="A796" s="61"/>
      <c r="B796" s="67"/>
      <c r="C796" s="67"/>
      <c r="D796" s="61"/>
      <c r="E796" s="35" t="str">
        <f t="shared" si="44"/>
        <v/>
      </c>
      <c r="F796" s="35" t="str">
        <f t="shared" si="45"/>
        <v/>
      </c>
      <c r="G796" s="58" t="str">
        <f t="shared" si="46"/>
        <v/>
      </c>
    </row>
    <row r="797" spans="1:7" x14ac:dyDescent="0.25">
      <c r="A797" s="61"/>
      <c r="B797" s="67"/>
      <c r="C797" s="67"/>
      <c r="D797" s="61"/>
      <c r="E797" s="35" t="str">
        <f t="shared" si="44"/>
        <v/>
      </c>
      <c r="F797" s="35" t="str">
        <f t="shared" si="45"/>
        <v/>
      </c>
      <c r="G797" s="58" t="str">
        <f t="shared" si="46"/>
        <v/>
      </c>
    </row>
    <row r="798" spans="1:7" x14ac:dyDescent="0.25">
      <c r="A798" s="61"/>
      <c r="B798" s="67"/>
      <c r="C798" s="67"/>
      <c r="D798" s="61"/>
      <c r="E798" s="35" t="str">
        <f t="shared" si="44"/>
        <v/>
      </c>
      <c r="F798" s="35" t="str">
        <f t="shared" si="45"/>
        <v/>
      </c>
      <c r="G798" s="58" t="str">
        <f t="shared" si="46"/>
        <v/>
      </c>
    </row>
    <row r="799" spans="1:7" x14ac:dyDescent="0.25">
      <c r="A799" s="61"/>
      <c r="B799" s="67"/>
      <c r="C799" s="67"/>
      <c r="D799" s="61"/>
      <c r="E799" s="35" t="str">
        <f t="shared" si="44"/>
        <v/>
      </c>
      <c r="F799" s="35" t="str">
        <f t="shared" si="45"/>
        <v/>
      </c>
      <c r="G799" s="58" t="str">
        <f t="shared" si="46"/>
        <v/>
      </c>
    </row>
    <row r="800" spans="1:7" x14ac:dyDescent="0.25">
      <c r="A800" s="61"/>
      <c r="B800" s="67"/>
      <c r="C800" s="67"/>
      <c r="D800" s="61"/>
      <c r="E800" s="35" t="str">
        <f t="shared" si="44"/>
        <v/>
      </c>
      <c r="F800" s="35" t="str">
        <f t="shared" si="45"/>
        <v/>
      </c>
      <c r="G800" s="58" t="str">
        <f t="shared" si="46"/>
        <v/>
      </c>
    </row>
    <row r="801" spans="1:7" x14ac:dyDescent="0.25">
      <c r="A801" s="61"/>
      <c r="B801" s="67"/>
      <c r="C801" s="67"/>
      <c r="D801" s="61"/>
      <c r="E801" s="35" t="str">
        <f t="shared" si="44"/>
        <v/>
      </c>
      <c r="F801" s="35" t="str">
        <f t="shared" si="45"/>
        <v/>
      </c>
      <c r="G801" s="58" t="str">
        <f t="shared" si="46"/>
        <v/>
      </c>
    </row>
    <row r="802" spans="1:7" x14ac:dyDescent="0.25">
      <c r="A802" s="61"/>
      <c r="B802" s="67"/>
      <c r="C802" s="67"/>
      <c r="D802" s="61"/>
      <c r="E802" s="35" t="str">
        <f t="shared" si="44"/>
        <v/>
      </c>
      <c r="F802" s="35" t="str">
        <f t="shared" si="45"/>
        <v/>
      </c>
      <c r="G802" s="58" t="str">
        <f t="shared" si="46"/>
        <v/>
      </c>
    </row>
    <row r="803" spans="1:7" x14ac:dyDescent="0.25">
      <c r="A803" s="61"/>
      <c r="B803" s="67"/>
      <c r="C803" s="67"/>
      <c r="D803" s="61"/>
      <c r="E803" s="35" t="str">
        <f t="shared" si="44"/>
        <v/>
      </c>
      <c r="F803" s="35" t="str">
        <f t="shared" si="45"/>
        <v/>
      </c>
      <c r="G803" s="58" t="str">
        <f t="shared" si="46"/>
        <v/>
      </c>
    </row>
    <row r="804" spans="1:7" x14ac:dyDescent="0.25">
      <c r="A804" s="61"/>
      <c r="B804" s="67"/>
      <c r="C804" s="67"/>
      <c r="D804" s="61"/>
      <c r="E804" s="35" t="str">
        <f t="shared" si="44"/>
        <v/>
      </c>
      <c r="F804" s="35" t="str">
        <f t="shared" si="45"/>
        <v/>
      </c>
      <c r="G804" s="58" t="str">
        <f t="shared" si="46"/>
        <v/>
      </c>
    </row>
    <row r="805" spans="1:7" x14ac:dyDescent="0.25">
      <c r="A805" s="61"/>
      <c r="B805" s="67"/>
      <c r="C805" s="67"/>
      <c r="D805" s="61"/>
      <c r="E805" s="35" t="str">
        <f t="shared" si="44"/>
        <v/>
      </c>
      <c r="F805" s="35" t="str">
        <f t="shared" si="45"/>
        <v/>
      </c>
      <c r="G805" s="58" t="str">
        <f t="shared" si="46"/>
        <v/>
      </c>
    </row>
    <row r="806" spans="1:7" x14ac:dyDescent="0.25">
      <c r="A806" s="61"/>
      <c r="B806" s="67"/>
      <c r="C806" s="67"/>
      <c r="D806" s="61"/>
      <c r="E806" s="35" t="str">
        <f t="shared" si="44"/>
        <v/>
      </c>
      <c r="F806" s="35" t="str">
        <f t="shared" si="45"/>
        <v/>
      </c>
      <c r="G806" s="58" t="str">
        <f t="shared" si="46"/>
        <v/>
      </c>
    </row>
    <row r="807" spans="1:7" x14ac:dyDescent="0.25">
      <c r="A807" s="61"/>
      <c r="B807" s="67"/>
      <c r="C807" s="67"/>
      <c r="D807" s="61"/>
      <c r="E807" s="35" t="str">
        <f t="shared" si="44"/>
        <v/>
      </c>
      <c r="F807" s="35" t="str">
        <f t="shared" si="45"/>
        <v/>
      </c>
      <c r="G807" s="58" t="str">
        <f t="shared" si="46"/>
        <v/>
      </c>
    </row>
    <row r="808" spans="1:7" x14ac:dyDescent="0.25">
      <c r="A808" s="61"/>
      <c r="B808" s="67"/>
      <c r="C808" s="67"/>
      <c r="D808" s="61"/>
      <c r="E808" s="35" t="str">
        <f t="shared" si="44"/>
        <v/>
      </c>
      <c r="F808" s="35" t="str">
        <f t="shared" si="45"/>
        <v/>
      </c>
      <c r="G808" s="58" t="str">
        <f t="shared" si="46"/>
        <v/>
      </c>
    </row>
    <row r="809" spans="1:7" x14ac:dyDescent="0.25">
      <c r="A809" s="61"/>
      <c r="B809" s="67"/>
      <c r="C809" s="67"/>
      <c r="D809" s="61"/>
      <c r="E809" s="35" t="str">
        <f t="shared" si="44"/>
        <v/>
      </c>
      <c r="F809" s="35" t="str">
        <f t="shared" si="45"/>
        <v/>
      </c>
      <c r="G809" s="58" t="str">
        <f t="shared" si="46"/>
        <v/>
      </c>
    </row>
    <row r="810" spans="1:7" x14ac:dyDescent="0.25">
      <c r="A810" s="61"/>
      <c r="B810" s="67"/>
      <c r="C810" s="67"/>
      <c r="D810" s="61"/>
      <c r="E810" s="35" t="str">
        <f t="shared" si="44"/>
        <v/>
      </c>
      <c r="F810" s="35" t="str">
        <f t="shared" si="45"/>
        <v/>
      </c>
      <c r="G810" s="58" t="str">
        <f t="shared" si="46"/>
        <v/>
      </c>
    </row>
    <row r="811" spans="1:7" x14ac:dyDescent="0.25">
      <c r="A811" s="61"/>
      <c r="B811" s="67"/>
      <c r="C811" s="67"/>
      <c r="D811" s="61"/>
      <c r="E811" s="35" t="str">
        <f t="shared" si="44"/>
        <v/>
      </c>
      <c r="F811" s="35" t="str">
        <f t="shared" si="45"/>
        <v/>
      </c>
      <c r="G811" s="58" t="str">
        <f t="shared" si="46"/>
        <v/>
      </c>
    </row>
    <row r="812" spans="1:7" x14ac:dyDescent="0.25">
      <c r="A812" s="61"/>
      <c r="B812" s="67"/>
      <c r="C812" s="67"/>
      <c r="D812" s="61"/>
      <c r="E812" s="35" t="str">
        <f t="shared" si="44"/>
        <v/>
      </c>
      <c r="F812" s="35" t="str">
        <f t="shared" si="45"/>
        <v/>
      </c>
      <c r="G812" s="58" t="str">
        <f t="shared" si="46"/>
        <v/>
      </c>
    </row>
    <row r="813" spans="1:7" x14ac:dyDescent="0.25">
      <c r="A813" s="61"/>
      <c r="B813" s="67"/>
      <c r="C813" s="67"/>
      <c r="D813" s="61"/>
      <c r="E813" s="35" t="str">
        <f t="shared" si="44"/>
        <v/>
      </c>
      <c r="F813" s="35" t="str">
        <f t="shared" si="45"/>
        <v/>
      </c>
      <c r="G813" s="58" t="str">
        <f t="shared" si="46"/>
        <v/>
      </c>
    </row>
    <row r="814" spans="1:7" x14ac:dyDescent="0.25">
      <c r="A814" s="61"/>
      <c r="B814" s="67"/>
      <c r="C814" s="67"/>
      <c r="D814" s="61"/>
      <c r="E814" s="35" t="str">
        <f t="shared" si="44"/>
        <v/>
      </c>
      <c r="F814" s="35" t="str">
        <f t="shared" si="45"/>
        <v/>
      </c>
      <c r="G814" s="58" t="str">
        <f t="shared" si="46"/>
        <v/>
      </c>
    </row>
    <row r="815" spans="1:7" x14ac:dyDescent="0.25">
      <c r="A815" s="61"/>
      <c r="B815" s="67"/>
      <c r="C815" s="67"/>
      <c r="D815" s="61"/>
      <c r="E815" s="35" t="str">
        <f t="shared" si="44"/>
        <v/>
      </c>
      <c r="F815" s="35" t="str">
        <f t="shared" si="45"/>
        <v/>
      </c>
      <c r="G815" s="58" t="str">
        <f t="shared" si="46"/>
        <v/>
      </c>
    </row>
    <row r="816" spans="1:7" x14ac:dyDescent="0.25">
      <c r="A816" s="61"/>
      <c r="B816" s="67"/>
      <c r="C816" s="67"/>
      <c r="D816" s="61"/>
      <c r="E816" s="35" t="str">
        <f t="shared" si="44"/>
        <v/>
      </c>
      <c r="F816" s="35" t="str">
        <f t="shared" si="45"/>
        <v/>
      </c>
      <c r="G816" s="58" t="str">
        <f t="shared" si="46"/>
        <v/>
      </c>
    </row>
    <row r="817" spans="1:7" x14ac:dyDescent="0.25">
      <c r="A817" s="61"/>
      <c r="B817" s="67"/>
      <c r="C817" s="67"/>
      <c r="D817" s="61"/>
      <c r="E817" s="35" t="str">
        <f t="shared" si="44"/>
        <v/>
      </c>
      <c r="F817" s="35" t="str">
        <f t="shared" si="45"/>
        <v/>
      </c>
      <c r="G817" s="58" t="str">
        <f t="shared" si="46"/>
        <v/>
      </c>
    </row>
    <row r="818" spans="1:7" x14ac:dyDescent="0.25">
      <c r="A818" s="61"/>
      <c r="B818" s="67"/>
      <c r="C818" s="67"/>
      <c r="D818" s="61"/>
      <c r="E818" s="35" t="str">
        <f t="shared" si="44"/>
        <v/>
      </c>
      <c r="F818" s="35" t="str">
        <f t="shared" si="45"/>
        <v/>
      </c>
      <c r="G818" s="58" t="str">
        <f t="shared" si="46"/>
        <v/>
      </c>
    </row>
    <row r="819" spans="1:7" x14ac:dyDescent="0.25">
      <c r="A819" s="61"/>
      <c r="B819" s="67"/>
      <c r="C819" s="67"/>
      <c r="D819" s="61"/>
      <c r="E819" s="35" t="str">
        <f t="shared" si="44"/>
        <v/>
      </c>
      <c r="F819" s="35" t="str">
        <f t="shared" si="45"/>
        <v/>
      </c>
      <c r="G819" s="58" t="str">
        <f t="shared" si="46"/>
        <v/>
      </c>
    </row>
    <row r="820" spans="1:7" x14ac:dyDescent="0.25">
      <c r="A820" s="61"/>
      <c r="B820" s="67"/>
      <c r="C820" s="67"/>
      <c r="D820" s="61"/>
      <c r="E820" s="35" t="str">
        <f t="shared" si="44"/>
        <v/>
      </c>
      <c r="F820" s="35" t="str">
        <f t="shared" si="45"/>
        <v/>
      </c>
      <c r="G820" s="58" t="str">
        <f t="shared" si="46"/>
        <v/>
      </c>
    </row>
    <row r="821" spans="1:7" x14ac:dyDescent="0.25">
      <c r="A821" s="61"/>
      <c r="B821" s="67"/>
      <c r="C821" s="67"/>
      <c r="D821" s="61"/>
      <c r="E821" s="35" t="str">
        <f t="shared" si="44"/>
        <v/>
      </c>
      <c r="F821" s="35" t="str">
        <f t="shared" si="45"/>
        <v/>
      </c>
      <c r="G821" s="58" t="str">
        <f t="shared" si="46"/>
        <v/>
      </c>
    </row>
    <row r="822" spans="1:7" x14ac:dyDescent="0.25">
      <c r="A822" s="61"/>
      <c r="B822" s="67"/>
      <c r="C822" s="67"/>
      <c r="D822" s="61"/>
      <c r="E822" s="35" t="str">
        <f t="shared" si="44"/>
        <v/>
      </c>
      <c r="F822" s="35" t="str">
        <f t="shared" si="45"/>
        <v/>
      </c>
      <c r="G822" s="58" t="str">
        <f t="shared" si="46"/>
        <v/>
      </c>
    </row>
    <row r="823" spans="1:7" x14ac:dyDescent="0.25">
      <c r="A823" s="61"/>
      <c r="B823" s="67"/>
      <c r="C823" s="67"/>
      <c r="D823" s="61"/>
      <c r="E823" s="35" t="str">
        <f t="shared" si="44"/>
        <v/>
      </c>
      <c r="F823" s="35" t="str">
        <f t="shared" si="45"/>
        <v/>
      </c>
      <c r="G823" s="58" t="str">
        <f t="shared" si="46"/>
        <v/>
      </c>
    </row>
    <row r="824" spans="1:7" x14ac:dyDescent="0.25">
      <c r="A824" s="61"/>
      <c r="B824" s="67"/>
      <c r="C824" s="67"/>
      <c r="D824" s="61"/>
      <c r="E824" s="35" t="str">
        <f t="shared" si="44"/>
        <v/>
      </c>
      <c r="F824" s="35" t="str">
        <f t="shared" si="45"/>
        <v/>
      </c>
      <c r="G824" s="58" t="str">
        <f t="shared" si="46"/>
        <v/>
      </c>
    </row>
    <row r="825" spans="1:7" x14ac:dyDescent="0.25">
      <c r="A825" s="61"/>
      <c r="B825" s="67"/>
      <c r="C825" s="67"/>
      <c r="D825" s="61"/>
      <c r="E825" s="35" t="str">
        <f t="shared" si="44"/>
        <v/>
      </c>
      <c r="F825" s="35" t="str">
        <f t="shared" si="45"/>
        <v/>
      </c>
      <c r="G825" s="58" t="str">
        <f t="shared" si="46"/>
        <v/>
      </c>
    </row>
    <row r="826" spans="1:7" x14ac:dyDescent="0.25">
      <c r="A826" s="61"/>
      <c r="B826" s="67"/>
      <c r="C826" s="67"/>
      <c r="D826" s="61"/>
      <c r="E826" s="35" t="str">
        <f t="shared" si="44"/>
        <v/>
      </c>
      <c r="F826" s="35" t="str">
        <f t="shared" si="45"/>
        <v/>
      </c>
      <c r="G826" s="58" t="str">
        <f t="shared" si="46"/>
        <v/>
      </c>
    </row>
    <row r="827" spans="1:7" x14ac:dyDescent="0.25">
      <c r="A827" s="61"/>
      <c r="B827" s="67"/>
      <c r="C827" s="67"/>
      <c r="D827" s="61"/>
      <c r="E827" s="35" t="str">
        <f t="shared" si="44"/>
        <v/>
      </c>
      <c r="F827" s="35" t="str">
        <f t="shared" si="45"/>
        <v/>
      </c>
      <c r="G827" s="58" t="str">
        <f t="shared" si="46"/>
        <v/>
      </c>
    </row>
    <row r="828" spans="1:7" x14ac:dyDescent="0.25">
      <c r="A828" s="61"/>
      <c r="B828" s="67"/>
      <c r="C828" s="67"/>
      <c r="D828" s="61"/>
      <c r="E828" s="35" t="str">
        <f t="shared" si="44"/>
        <v/>
      </c>
      <c r="F828" s="35" t="str">
        <f t="shared" si="45"/>
        <v/>
      </c>
      <c r="G828" s="58" t="str">
        <f t="shared" si="46"/>
        <v/>
      </c>
    </row>
    <row r="829" spans="1:7" x14ac:dyDescent="0.25">
      <c r="A829" s="61"/>
      <c r="B829" s="67"/>
      <c r="C829" s="67"/>
      <c r="D829" s="61"/>
      <c r="E829" s="35" t="str">
        <f t="shared" si="44"/>
        <v/>
      </c>
      <c r="F829" s="35" t="str">
        <f t="shared" si="45"/>
        <v/>
      </c>
      <c r="G829" s="58" t="str">
        <f t="shared" si="46"/>
        <v/>
      </c>
    </row>
    <row r="830" spans="1:7" x14ac:dyDescent="0.25">
      <c r="A830" s="61"/>
      <c r="B830" s="67"/>
      <c r="C830" s="67"/>
      <c r="D830" s="61"/>
      <c r="E830" s="35" t="str">
        <f t="shared" si="44"/>
        <v/>
      </c>
      <c r="F830" s="35" t="str">
        <f t="shared" si="45"/>
        <v/>
      </c>
      <c r="G830" s="58" t="str">
        <f t="shared" si="46"/>
        <v/>
      </c>
    </row>
    <row r="831" spans="1:7" x14ac:dyDescent="0.25">
      <c r="A831" s="61"/>
      <c r="B831" s="67"/>
      <c r="C831" s="67"/>
      <c r="D831" s="61"/>
      <c r="E831" s="35" t="str">
        <f t="shared" si="44"/>
        <v/>
      </c>
      <c r="F831" s="35" t="str">
        <f t="shared" si="45"/>
        <v/>
      </c>
      <c r="G831" s="58" t="str">
        <f t="shared" si="46"/>
        <v/>
      </c>
    </row>
    <row r="832" spans="1:7" x14ac:dyDescent="0.25">
      <c r="A832" s="61"/>
      <c r="B832" s="67"/>
      <c r="C832" s="67"/>
      <c r="D832" s="61"/>
      <c r="E832" s="35" t="str">
        <f t="shared" si="44"/>
        <v/>
      </c>
      <c r="F832" s="35" t="str">
        <f t="shared" si="45"/>
        <v/>
      </c>
      <c r="G832" s="58" t="str">
        <f t="shared" si="46"/>
        <v/>
      </c>
    </row>
    <row r="833" spans="1:7" x14ac:dyDescent="0.25">
      <c r="A833" s="61"/>
      <c r="B833" s="67"/>
      <c r="C833" s="67"/>
      <c r="D833" s="61"/>
      <c r="E833" s="35" t="str">
        <f t="shared" si="44"/>
        <v/>
      </c>
      <c r="F833" s="35" t="str">
        <f t="shared" si="45"/>
        <v/>
      </c>
      <c r="G833" s="58" t="str">
        <f t="shared" si="46"/>
        <v/>
      </c>
    </row>
    <row r="834" spans="1:7" x14ac:dyDescent="0.25">
      <c r="A834" s="61"/>
      <c r="B834" s="67"/>
      <c r="C834" s="67"/>
      <c r="D834" s="61"/>
      <c r="E834" s="35" t="str">
        <f t="shared" si="44"/>
        <v/>
      </c>
      <c r="F834" s="35" t="str">
        <f t="shared" si="45"/>
        <v/>
      </c>
      <c r="G834" s="58" t="str">
        <f t="shared" si="46"/>
        <v/>
      </c>
    </row>
    <row r="835" spans="1:7" x14ac:dyDescent="0.25">
      <c r="A835" s="61"/>
      <c r="B835" s="67"/>
      <c r="C835" s="67"/>
      <c r="D835" s="61"/>
      <c r="E835" s="35" t="str">
        <f t="shared" ref="E835:E898" si="47">IF(B835&lt;&gt;"",(H835+D835)*COS(RADIANS(HMSTOHDD(B835)))*COS(RADIANS(HMSTOHDD(-C835))),"")</f>
        <v/>
      </c>
      <c r="F835" s="35" t="str">
        <f t="shared" ref="F835:F898" si="48">IF(B835&lt;&gt;"",(H835+D835)*COS(RADIANS(HMSTOHDD(B835)))*SIN(RADIANS(HMSTOHDD(-C835))),"")</f>
        <v/>
      </c>
      <c r="G835" s="58" t="str">
        <f t="shared" si="46"/>
        <v/>
      </c>
    </row>
    <row r="836" spans="1:7" x14ac:dyDescent="0.25">
      <c r="A836" s="61"/>
      <c r="B836" s="67"/>
      <c r="C836" s="67"/>
      <c r="D836" s="61"/>
      <c r="E836" s="35" t="str">
        <f t="shared" si="47"/>
        <v/>
      </c>
      <c r="F836" s="35" t="str">
        <f t="shared" si="48"/>
        <v/>
      </c>
      <c r="G836" s="58" t="str">
        <f t="shared" ref="G836:G899" si="49">IF(B836&lt;&gt;"",SIN(RADIANS(HMSTOHDD(B836)))*(H836*(1-$M$4)+D836),"")</f>
        <v/>
      </c>
    </row>
    <row r="837" spans="1:7" x14ac:dyDescent="0.25">
      <c r="A837" s="61"/>
      <c r="B837" s="67"/>
      <c r="C837" s="67"/>
      <c r="D837" s="61"/>
      <c r="E837" s="35" t="str">
        <f t="shared" si="47"/>
        <v/>
      </c>
      <c r="F837" s="35" t="str">
        <f t="shared" si="48"/>
        <v/>
      </c>
      <c r="G837" s="58" t="str">
        <f t="shared" si="49"/>
        <v/>
      </c>
    </row>
    <row r="838" spans="1:7" x14ac:dyDescent="0.25">
      <c r="A838" s="61"/>
      <c r="B838" s="67"/>
      <c r="C838" s="67"/>
      <c r="D838" s="61"/>
      <c r="E838" s="35" t="str">
        <f t="shared" si="47"/>
        <v/>
      </c>
      <c r="F838" s="35" t="str">
        <f t="shared" si="48"/>
        <v/>
      </c>
      <c r="G838" s="58" t="str">
        <f t="shared" si="49"/>
        <v/>
      </c>
    </row>
    <row r="839" spans="1:7" x14ac:dyDescent="0.25">
      <c r="A839" s="61"/>
      <c r="B839" s="67"/>
      <c r="C839" s="67"/>
      <c r="D839" s="61"/>
      <c r="E839" s="35" t="str">
        <f t="shared" si="47"/>
        <v/>
      </c>
      <c r="F839" s="35" t="str">
        <f t="shared" si="48"/>
        <v/>
      </c>
      <c r="G839" s="58" t="str">
        <f t="shared" si="49"/>
        <v/>
      </c>
    </row>
    <row r="840" spans="1:7" x14ac:dyDescent="0.25">
      <c r="A840" s="61"/>
      <c r="B840" s="67"/>
      <c r="C840" s="67"/>
      <c r="D840" s="61"/>
      <c r="E840" s="35" t="str">
        <f t="shared" si="47"/>
        <v/>
      </c>
      <c r="F840" s="35" t="str">
        <f t="shared" si="48"/>
        <v/>
      </c>
      <c r="G840" s="58" t="str">
        <f t="shared" si="49"/>
        <v/>
      </c>
    </row>
    <row r="841" spans="1:7" x14ac:dyDescent="0.25">
      <c r="A841" s="61"/>
      <c r="B841" s="67"/>
      <c r="C841" s="67"/>
      <c r="D841" s="61"/>
      <c r="E841" s="35" t="str">
        <f t="shared" si="47"/>
        <v/>
      </c>
      <c r="F841" s="35" t="str">
        <f t="shared" si="48"/>
        <v/>
      </c>
      <c r="G841" s="58" t="str">
        <f t="shared" si="49"/>
        <v/>
      </c>
    </row>
    <row r="842" spans="1:7" x14ac:dyDescent="0.25">
      <c r="A842" s="61"/>
      <c r="B842" s="67"/>
      <c r="C842" s="67"/>
      <c r="D842" s="61"/>
      <c r="E842" s="35" t="str">
        <f t="shared" si="47"/>
        <v/>
      </c>
      <c r="F842" s="35" t="str">
        <f t="shared" si="48"/>
        <v/>
      </c>
      <c r="G842" s="58" t="str">
        <f t="shared" si="49"/>
        <v/>
      </c>
    </row>
    <row r="843" spans="1:7" x14ac:dyDescent="0.25">
      <c r="A843" s="61"/>
      <c r="B843" s="67"/>
      <c r="C843" s="67"/>
      <c r="D843" s="61"/>
      <c r="E843" s="35" t="str">
        <f t="shared" si="47"/>
        <v/>
      </c>
      <c r="F843" s="35" t="str">
        <f t="shared" si="48"/>
        <v/>
      </c>
      <c r="G843" s="58" t="str">
        <f t="shared" si="49"/>
        <v/>
      </c>
    </row>
    <row r="844" spans="1:7" x14ac:dyDescent="0.25">
      <c r="A844" s="61"/>
      <c r="B844" s="67"/>
      <c r="C844" s="67"/>
      <c r="D844" s="61"/>
      <c r="E844" s="35" t="str">
        <f t="shared" si="47"/>
        <v/>
      </c>
      <c r="F844" s="35" t="str">
        <f t="shared" si="48"/>
        <v/>
      </c>
      <c r="G844" s="58" t="str">
        <f t="shared" si="49"/>
        <v/>
      </c>
    </row>
    <row r="845" spans="1:7" x14ac:dyDescent="0.25">
      <c r="A845" s="61"/>
      <c r="B845" s="67"/>
      <c r="C845" s="67"/>
      <c r="D845" s="61"/>
      <c r="E845" s="35" t="str">
        <f t="shared" si="47"/>
        <v/>
      </c>
      <c r="F845" s="35" t="str">
        <f t="shared" si="48"/>
        <v/>
      </c>
      <c r="G845" s="58" t="str">
        <f t="shared" si="49"/>
        <v/>
      </c>
    </row>
    <row r="846" spans="1:7" x14ac:dyDescent="0.25">
      <c r="A846" s="61"/>
      <c r="B846" s="67"/>
      <c r="C846" s="67"/>
      <c r="D846" s="61"/>
      <c r="E846" s="35" t="str">
        <f t="shared" si="47"/>
        <v/>
      </c>
      <c r="F846" s="35" t="str">
        <f t="shared" si="48"/>
        <v/>
      </c>
      <c r="G846" s="58" t="str">
        <f t="shared" si="49"/>
        <v/>
      </c>
    </row>
    <row r="847" spans="1:7" x14ac:dyDescent="0.25">
      <c r="A847" s="61"/>
      <c r="B847" s="67"/>
      <c r="C847" s="67"/>
      <c r="D847" s="61"/>
      <c r="E847" s="35" t="str">
        <f t="shared" si="47"/>
        <v/>
      </c>
      <c r="F847" s="35" t="str">
        <f t="shared" si="48"/>
        <v/>
      </c>
      <c r="G847" s="58" t="str">
        <f t="shared" si="49"/>
        <v/>
      </c>
    </row>
    <row r="848" spans="1:7" x14ac:dyDescent="0.25">
      <c r="A848" s="61"/>
      <c r="B848" s="67"/>
      <c r="C848" s="67"/>
      <c r="D848" s="61"/>
      <c r="E848" s="35" t="str">
        <f t="shared" si="47"/>
        <v/>
      </c>
      <c r="F848" s="35" t="str">
        <f t="shared" si="48"/>
        <v/>
      </c>
      <c r="G848" s="58" t="str">
        <f t="shared" si="49"/>
        <v/>
      </c>
    </row>
    <row r="849" spans="1:7" x14ac:dyDescent="0.25">
      <c r="A849" s="61"/>
      <c r="B849" s="67"/>
      <c r="C849" s="67"/>
      <c r="D849" s="61"/>
      <c r="E849" s="35" t="str">
        <f t="shared" si="47"/>
        <v/>
      </c>
      <c r="F849" s="35" t="str">
        <f t="shared" si="48"/>
        <v/>
      </c>
      <c r="G849" s="58" t="str">
        <f t="shared" si="49"/>
        <v/>
      </c>
    </row>
    <row r="850" spans="1:7" x14ac:dyDescent="0.25">
      <c r="A850" s="61"/>
      <c r="B850" s="67"/>
      <c r="C850" s="67"/>
      <c r="D850" s="61"/>
      <c r="E850" s="35" t="str">
        <f t="shared" si="47"/>
        <v/>
      </c>
      <c r="F850" s="35" t="str">
        <f t="shared" si="48"/>
        <v/>
      </c>
      <c r="G850" s="58" t="str">
        <f t="shared" si="49"/>
        <v/>
      </c>
    </row>
    <row r="851" spans="1:7" x14ac:dyDescent="0.25">
      <c r="A851" s="61"/>
      <c r="B851" s="67"/>
      <c r="C851" s="67"/>
      <c r="D851" s="61"/>
      <c r="E851" s="35" t="str">
        <f t="shared" si="47"/>
        <v/>
      </c>
      <c r="F851" s="35" t="str">
        <f t="shared" si="48"/>
        <v/>
      </c>
      <c r="G851" s="58" t="str">
        <f t="shared" si="49"/>
        <v/>
      </c>
    </row>
    <row r="852" spans="1:7" x14ac:dyDescent="0.25">
      <c r="A852" s="61"/>
      <c r="B852" s="67"/>
      <c r="C852" s="67"/>
      <c r="D852" s="61"/>
      <c r="E852" s="35" t="str">
        <f t="shared" si="47"/>
        <v/>
      </c>
      <c r="F852" s="35" t="str">
        <f t="shared" si="48"/>
        <v/>
      </c>
      <c r="G852" s="58" t="str">
        <f t="shared" si="49"/>
        <v/>
      </c>
    </row>
    <row r="853" spans="1:7" x14ac:dyDescent="0.25">
      <c r="A853" s="61"/>
      <c r="B853" s="67"/>
      <c r="C853" s="67"/>
      <c r="D853" s="61"/>
      <c r="E853" s="35" t="str">
        <f t="shared" si="47"/>
        <v/>
      </c>
      <c r="F853" s="35" t="str">
        <f t="shared" si="48"/>
        <v/>
      </c>
      <c r="G853" s="58" t="str">
        <f t="shared" si="49"/>
        <v/>
      </c>
    </row>
    <row r="854" spans="1:7" x14ac:dyDescent="0.25">
      <c r="A854" s="61"/>
      <c r="B854" s="67"/>
      <c r="C854" s="67"/>
      <c r="D854" s="61"/>
      <c r="E854" s="35" t="str">
        <f t="shared" si="47"/>
        <v/>
      </c>
      <c r="F854" s="35" t="str">
        <f t="shared" si="48"/>
        <v/>
      </c>
      <c r="G854" s="58" t="str">
        <f t="shared" si="49"/>
        <v/>
      </c>
    </row>
    <row r="855" spans="1:7" x14ac:dyDescent="0.25">
      <c r="A855" s="61"/>
      <c r="B855" s="67"/>
      <c r="C855" s="67"/>
      <c r="D855" s="61"/>
      <c r="E855" s="35" t="str">
        <f t="shared" si="47"/>
        <v/>
      </c>
      <c r="F855" s="35" t="str">
        <f t="shared" si="48"/>
        <v/>
      </c>
      <c r="G855" s="58" t="str">
        <f t="shared" si="49"/>
        <v/>
      </c>
    </row>
    <row r="856" spans="1:7" x14ac:dyDescent="0.25">
      <c r="A856" s="61"/>
      <c r="B856" s="67"/>
      <c r="C856" s="67"/>
      <c r="D856" s="61"/>
      <c r="E856" s="35" t="str">
        <f t="shared" si="47"/>
        <v/>
      </c>
      <c r="F856" s="35" t="str">
        <f t="shared" si="48"/>
        <v/>
      </c>
      <c r="G856" s="58" t="str">
        <f t="shared" si="49"/>
        <v/>
      </c>
    </row>
    <row r="857" spans="1:7" x14ac:dyDescent="0.25">
      <c r="A857" s="61"/>
      <c r="B857" s="67"/>
      <c r="C857" s="67"/>
      <c r="D857" s="61"/>
      <c r="E857" s="35" t="str">
        <f t="shared" si="47"/>
        <v/>
      </c>
      <c r="F857" s="35" t="str">
        <f t="shared" si="48"/>
        <v/>
      </c>
      <c r="G857" s="58" t="str">
        <f t="shared" si="49"/>
        <v/>
      </c>
    </row>
    <row r="858" spans="1:7" x14ac:dyDescent="0.25">
      <c r="A858" s="61"/>
      <c r="B858" s="67"/>
      <c r="C858" s="67"/>
      <c r="D858" s="61"/>
      <c r="E858" s="35" t="str">
        <f t="shared" si="47"/>
        <v/>
      </c>
      <c r="F858" s="35" t="str">
        <f t="shared" si="48"/>
        <v/>
      </c>
      <c r="G858" s="58" t="str">
        <f t="shared" si="49"/>
        <v/>
      </c>
    </row>
    <row r="859" spans="1:7" x14ac:dyDescent="0.25">
      <c r="A859" s="61"/>
      <c r="B859" s="67"/>
      <c r="C859" s="67"/>
      <c r="D859" s="61"/>
      <c r="E859" s="35" t="str">
        <f t="shared" si="47"/>
        <v/>
      </c>
      <c r="F859" s="35" t="str">
        <f t="shared" si="48"/>
        <v/>
      </c>
      <c r="G859" s="58" t="str">
        <f t="shared" si="49"/>
        <v/>
      </c>
    </row>
    <row r="860" spans="1:7" x14ac:dyDescent="0.25">
      <c r="A860" s="61"/>
      <c r="B860" s="67"/>
      <c r="C860" s="67"/>
      <c r="D860" s="61"/>
      <c r="E860" s="35" t="str">
        <f t="shared" si="47"/>
        <v/>
      </c>
      <c r="F860" s="35" t="str">
        <f t="shared" si="48"/>
        <v/>
      </c>
      <c r="G860" s="58" t="str">
        <f t="shared" si="49"/>
        <v/>
      </c>
    </row>
    <row r="861" spans="1:7" x14ac:dyDescent="0.25">
      <c r="A861" s="61"/>
      <c r="B861" s="67"/>
      <c r="C861" s="67"/>
      <c r="D861" s="61"/>
      <c r="E861" s="35" t="str">
        <f t="shared" si="47"/>
        <v/>
      </c>
      <c r="F861" s="35" t="str">
        <f t="shared" si="48"/>
        <v/>
      </c>
      <c r="G861" s="58" t="str">
        <f t="shared" si="49"/>
        <v/>
      </c>
    </row>
    <row r="862" spans="1:7" x14ac:dyDescent="0.25">
      <c r="A862" s="61"/>
      <c r="B862" s="67"/>
      <c r="C862" s="67"/>
      <c r="D862" s="61"/>
      <c r="E862" s="35" t="str">
        <f t="shared" si="47"/>
        <v/>
      </c>
      <c r="F862" s="35" t="str">
        <f t="shared" si="48"/>
        <v/>
      </c>
      <c r="G862" s="58" t="str">
        <f t="shared" si="49"/>
        <v/>
      </c>
    </row>
    <row r="863" spans="1:7" x14ac:dyDescent="0.25">
      <c r="A863" s="61"/>
      <c r="B863" s="67"/>
      <c r="C863" s="67"/>
      <c r="D863" s="61"/>
      <c r="E863" s="35" t="str">
        <f t="shared" si="47"/>
        <v/>
      </c>
      <c r="F863" s="35" t="str">
        <f t="shared" si="48"/>
        <v/>
      </c>
      <c r="G863" s="58" t="str">
        <f t="shared" si="49"/>
        <v/>
      </c>
    </row>
    <row r="864" spans="1:7" x14ac:dyDescent="0.25">
      <c r="A864" s="61"/>
      <c r="B864" s="67"/>
      <c r="C864" s="67"/>
      <c r="D864" s="61"/>
      <c r="E864" s="35" t="str">
        <f t="shared" si="47"/>
        <v/>
      </c>
      <c r="F864" s="35" t="str">
        <f t="shared" si="48"/>
        <v/>
      </c>
      <c r="G864" s="58" t="str">
        <f t="shared" si="49"/>
        <v/>
      </c>
    </row>
    <row r="865" spans="1:7" x14ac:dyDescent="0.25">
      <c r="A865" s="61"/>
      <c r="B865" s="67"/>
      <c r="C865" s="67"/>
      <c r="D865" s="61"/>
      <c r="E865" s="35" t="str">
        <f t="shared" si="47"/>
        <v/>
      </c>
      <c r="F865" s="35" t="str">
        <f t="shared" si="48"/>
        <v/>
      </c>
      <c r="G865" s="58" t="str">
        <f t="shared" si="49"/>
        <v/>
      </c>
    </row>
    <row r="866" spans="1:7" x14ac:dyDescent="0.25">
      <c r="A866" s="61"/>
      <c r="B866" s="67"/>
      <c r="C866" s="67"/>
      <c r="D866" s="61"/>
      <c r="E866" s="35" t="str">
        <f t="shared" si="47"/>
        <v/>
      </c>
      <c r="F866" s="35" t="str">
        <f t="shared" si="48"/>
        <v/>
      </c>
      <c r="G866" s="58" t="str">
        <f t="shared" si="49"/>
        <v/>
      </c>
    </row>
    <row r="867" spans="1:7" x14ac:dyDescent="0.25">
      <c r="A867" s="61"/>
      <c r="B867" s="67"/>
      <c r="C867" s="67"/>
      <c r="D867" s="61"/>
      <c r="E867" s="35" t="str">
        <f t="shared" si="47"/>
        <v/>
      </c>
      <c r="F867" s="35" t="str">
        <f t="shared" si="48"/>
        <v/>
      </c>
      <c r="G867" s="58" t="str">
        <f t="shared" si="49"/>
        <v/>
      </c>
    </row>
    <row r="868" spans="1:7" x14ac:dyDescent="0.25">
      <c r="A868" s="61"/>
      <c r="B868" s="67"/>
      <c r="C868" s="67"/>
      <c r="D868" s="61"/>
      <c r="E868" s="35" t="str">
        <f t="shared" si="47"/>
        <v/>
      </c>
      <c r="F868" s="35" t="str">
        <f t="shared" si="48"/>
        <v/>
      </c>
      <c r="G868" s="58" t="str">
        <f t="shared" si="49"/>
        <v/>
      </c>
    </row>
    <row r="869" spans="1:7" x14ac:dyDescent="0.25">
      <c r="A869" s="61"/>
      <c r="B869" s="67"/>
      <c r="C869" s="67"/>
      <c r="D869" s="61"/>
      <c r="E869" s="35" t="str">
        <f t="shared" si="47"/>
        <v/>
      </c>
      <c r="F869" s="35" t="str">
        <f t="shared" si="48"/>
        <v/>
      </c>
      <c r="G869" s="58" t="str">
        <f t="shared" si="49"/>
        <v/>
      </c>
    </row>
    <row r="870" spans="1:7" x14ac:dyDescent="0.25">
      <c r="A870" s="61"/>
      <c r="B870" s="67"/>
      <c r="C870" s="67"/>
      <c r="D870" s="61"/>
      <c r="E870" s="35" t="str">
        <f t="shared" si="47"/>
        <v/>
      </c>
      <c r="F870" s="35" t="str">
        <f t="shared" si="48"/>
        <v/>
      </c>
      <c r="G870" s="58" t="str">
        <f t="shared" si="49"/>
        <v/>
      </c>
    </row>
    <row r="871" spans="1:7" x14ac:dyDescent="0.25">
      <c r="A871" s="61"/>
      <c r="B871" s="67"/>
      <c r="C871" s="67"/>
      <c r="D871" s="61"/>
      <c r="E871" s="35" t="str">
        <f t="shared" si="47"/>
        <v/>
      </c>
      <c r="F871" s="35" t="str">
        <f t="shared" si="48"/>
        <v/>
      </c>
      <c r="G871" s="58" t="str">
        <f t="shared" si="49"/>
        <v/>
      </c>
    </row>
    <row r="872" spans="1:7" x14ac:dyDescent="0.25">
      <c r="A872" s="61"/>
      <c r="B872" s="67"/>
      <c r="C872" s="67"/>
      <c r="D872" s="61"/>
      <c r="E872" s="35" t="str">
        <f t="shared" si="47"/>
        <v/>
      </c>
      <c r="F872" s="35" t="str">
        <f t="shared" si="48"/>
        <v/>
      </c>
      <c r="G872" s="58" t="str">
        <f t="shared" si="49"/>
        <v/>
      </c>
    </row>
    <row r="873" spans="1:7" x14ac:dyDescent="0.25">
      <c r="A873" s="61"/>
      <c r="B873" s="67"/>
      <c r="C873" s="67"/>
      <c r="D873" s="61"/>
      <c r="E873" s="35" t="str">
        <f t="shared" si="47"/>
        <v/>
      </c>
      <c r="F873" s="35" t="str">
        <f t="shared" si="48"/>
        <v/>
      </c>
      <c r="G873" s="58" t="str">
        <f t="shared" si="49"/>
        <v/>
      </c>
    </row>
    <row r="874" spans="1:7" x14ac:dyDescent="0.25">
      <c r="A874" s="61"/>
      <c r="B874" s="67"/>
      <c r="C874" s="67"/>
      <c r="D874" s="61"/>
      <c r="E874" s="35" t="str">
        <f t="shared" si="47"/>
        <v/>
      </c>
      <c r="F874" s="35" t="str">
        <f t="shared" si="48"/>
        <v/>
      </c>
      <c r="G874" s="58" t="str">
        <f t="shared" si="49"/>
        <v/>
      </c>
    </row>
    <row r="875" spans="1:7" x14ac:dyDescent="0.25">
      <c r="A875" s="61"/>
      <c r="B875" s="67"/>
      <c r="C875" s="67"/>
      <c r="D875" s="61"/>
      <c r="E875" s="35" t="str">
        <f t="shared" si="47"/>
        <v/>
      </c>
      <c r="F875" s="35" t="str">
        <f t="shared" si="48"/>
        <v/>
      </c>
      <c r="G875" s="58" t="str">
        <f t="shared" si="49"/>
        <v/>
      </c>
    </row>
    <row r="876" spans="1:7" x14ac:dyDescent="0.25">
      <c r="A876" s="61"/>
      <c r="B876" s="67"/>
      <c r="C876" s="67"/>
      <c r="D876" s="61"/>
      <c r="E876" s="35" t="str">
        <f t="shared" si="47"/>
        <v/>
      </c>
      <c r="F876" s="35" t="str">
        <f t="shared" si="48"/>
        <v/>
      </c>
      <c r="G876" s="58" t="str">
        <f t="shared" si="49"/>
        <v/>
      </c>
    </row>
    <row r="877" spans="1:7" x14ac:dyDescent="0.25">
      <c r="A877" s="61"/>
      <c r="B877" s="67"/>
      <c r="C877" s="67"/>
      <c r="D877" s="61"/>
      <c r="E877" s="35" t="str">
        <f t="shared" si="47"/>
        <v/>
      </c>
      <c r="F877" s="35" t="str">
        <f t="shared" si="48"/>
        <v/>
      </c>
      <c r="G877" s="58" t="str">
        <f t="shared" si="49"/>
        <v/>
      </c>
    </row>
    <row r="878" spans="1:7" x14ac:dyDescent="0.25">
      <c r="A878" s="61"/>
      <c r="B878" s="67"/>
      <c r="C878" s="67"/>
      <c r="D878" s="61"/>
      <c r="E878" s="35" t="str">
        <f t="shared" si="47"/>
        <v/>
      </c>
      <c r="F878" s="35" t="str">
        <f t="shared" si="48"/>
        <v/>
      </c>
      <c r="G878" s="58" t="str">
        <f t="shared" si="49"/>
        <v/>
      </c>
    </row>
    <row r="879" spans="1:7" x14ac:dyDescent="0.25">
      <c r="A879" s="61"/>
      <c r="B879" s="67"/>
      <c r="C879" s="67"/>
      <c r="D879" s="61"/>
      <c r="E879" s="35" t="str">
        <f t="shared" si="47"/>
        <v/>
      </c>
      <c r="F879" s="35" t="str">
        <f t="shared" si="48"/>
        <v/>
      </c>
      <c r="G879" s="58" t="str">
        <f t="shared" si="49"/>
        <v/>
      </c>
    </row>
    <row r="880" spans="1:7" x14ac:dyDescent="0.25">
      <c r="A880" s="61"/>
      <c r="B880" s="67"/>
      <c r="C880" s="67"/>
      <c r="D880" s="61"/>
      <c r="E880" s="35" t="str">
        <f t="shared" si="47"/>
        <v/>
      </c>
      <c r="F880" s="35" t="str">
        <f t="shared" si="48"/>
        <v/>
      </c>
      <c r="G880" s="58" t="str">
        <f t="shared" si="49"/>
        <v/>
      </c>
    </row>
    <row r="881" spans="1:7" x14ac:dyDescent="0.25">
      <c r="A881" s="61"/>
      <c r="B881" s="67"/>
      <c r="C881" s="67"/>
      <c r="D881" s="61"/>
      <c r="E881" s="35" t="str">
        <f t="shared" si="47"/>
        <v/>
      </c>
      <c r="F881" s="35" t="str">
        <f t="shared" si="48"/>
        <v/>
      </c>
      <c r="G881" s="58" t="str">
        <f t="shared" si="49"/>
        <v/>
      </c>
    </row>
    <row r="882" spans="1:7" x14ac:dyDescent="0.25">
      <c r="A882" s="61"/>
      <c r="B882" s="67"/>
      <c r="C882" s="67"/>
      <c r="D882" s="61"/>
      <c r="E882" s="35" t="str">
        <f t="shared" si="47"/>
        <v/>
      </c>
      <c r="F882" s="35" t="str">
        <f t="shared" si="48"/>
        <v/>
      </c>
      <c r="G882" s="58" t="str">
        <f t="shared" si="49"/>
        <v/>
      </c>
    </row>
    <row r="883" spans="1:7" x14ac:dyDescent="0.25">
      <c r="A883" s="61"/>
      <c r="B883" s="67"/>
      <c r="C883" s="67"/>
      <c r="D883" s="61"/>
      <c r="E883" s="35" t="str">
        <f t="shared" si="47"/>
        <v/>
      </c>
      <c r="F883" s="35" t="str">
        <f t="shared" si="48"/>
        <v/>
      </c>
      <c r="G883" s="58" t="str">
        <f t="shared" si="49"/>
        <v/>
      </c>
    </row>
    <row r="884" spans="1:7" x14ac:dyDescent="0.25">
      <c r="A884" s="61"/>
      <c r="B884" s="67"/>
      <c r="C884" s="67"/>
      <c r="D884" s="61"/>
      <c r="E884" s="35" t="str">
        <f t="shared" si="47"/>
        <v/>
      </c>
      <c r="F884" s="35" t="str">
        <f t="shared" si="48"/>
        <v/>
      </c>
      <c r="G884" s="58" t="str">
        <f t="shared" si="49"/>
        <v/>
      </c>
    </row>
    <row r="885" spans="1:7" x14ac:dyDescent="0.25">
      <c r="A885" s="61"/>
      <c r="B885" s="67"/>
      <c r="C885" s="67"/>
      <c r="D885" s="61"/>
      <c r="E885" s="35" t="str">
        <f t="shared" si="47"/>
        <v/>
      </c>
      <c r="F885" s="35" t="str">
        <f t="shared" si="48"/>
        <v/>
      </c>
      <c r="G885" s="58" t="str">
        <f t="shared" si="49"/>
        <v/>
      </c>
    </row>
    <row r="886" spans="1:7" x14ac:dyDescent="0.25">
      <c r="A886" s="61"/>
      <c r="B886" s="67"/>
      <c r="C886" s="67"/>
      <c r="D886" s="61"/>
      <c r="E886" s="35" t="str">
        <f t="shared" si="47"/>
        <v/>
      </c>
      <c r="F886" s="35" t="str">
        <f t="shared" si="48"/>
        <v/>
      </c>
      <c r="G886" s="58" t="str">
        <f t="shared" si="49"/>
        <v/>
      </c>
    </row>
    <row r="887" spans="1:7" x14ac:dyDescent="0.25">
      <c r="A887" s="61"/>
      <c r="B887" s="67"/>
      <c r="C887" s="67"/>
      <c r="D887" s="61"/>
      <c r="E887" s="35" t="str">
        <f t="shared" si="47"/>
        <v/>
      </c>
      <c r="F887" s="35" t="str">
        <f t="shared" si="48"/>
        <v/>
      </c>
      <c r="G887" s="58" t="str">
        <f t="shared" si="49"/>
        <v/>
      </c>
    </row>
    <row r="888" spans="1:7" x14ac:dyDescent="0.25">
      <c r="A888" s="61"/>
      <c r="B888" s="67"/>
      <c r="C888" s="67"/>
      <c r="D888" s="61"/>
      <c r="E888" s="35" t="str">
        <f t="shared" si="47"/>
        <v/>
      </c>
      <c r="F888" s="35" t="str">
        <f t="shared" si="48"/>
        <v/>
      </c>
      <c r="G888" s="58" t="str">
        <f t="shared" si="49"/>
        <v/>
      </c>
    </row>
    <row r="889" spans="1:7" x14ac:dyDescent="0.25">
      <c r="A889" s="61"/>
      <c r="B889" s="67"/>
      <c r="C889" s="67"/>
      <c r="D889" s="61"/>
      <c r="E889" s="35" t="str">
        <f t="shared" si="47"/>
        <v/>
      </c>
      <c r="F889" s="35" t="str">
        <f t="shared" si="48"/>
        <v/>
      </c>
      <c r="G889" s="58" t="str">
        <f t="shared" si="49"/>
        <v/>
      </c>
    </row>
    <row r="890" spans="1:7" x14ac:dyDescent="0.25">
      <c r="A890" s="61"/>
      <c r="B890" s="67"/>
      <c r="C890" s="67"/>
      <c r="D890" s="61"/>
      <c r="E890" s="35" t="str">
        <f t="shared" si="47"/>
        <v/>
      </c>
      <c r="F890" s="35" t="str">
        <f t="shared" si="48"/>
        <v/>
      </c>
      <c r="G890" s="58" t="str">
        <f t="shared" si="49"/>
        <v/>
      </c>
    </row>
    <row r="891" spans="1:7" x14ac:dyDescent="0.25">
      <c r="A891" s="61"/>
      <c r="B891" s="67"/>
      <c r="C891" s="67"/>
      <c r="D891" s="61"/>
      <c r="E891" s="35" t="str">
        <f t="shared" si="47"/>
        <v/>
      </c>
      <c r="F891" s="35" t="str">
        <f t="shared" si="48"/>
        <v/>
      </c>
      <c r="G891" s="58" t="str">
        <f t="shared" si="49"/>
        <v/>
      </c>
    </row>
    <row r="892" spans="1:7" x14ac:dyDescent="0.25">
      <c r="A892" s="61"/>
      <c r="B892" s="67"/>
      <c r="C892" s="67"/>
      <c r="D892" s="61"/>
      <c r="E892" s="35" t="str">
        <f t="shared" si="47"/>
        <v/>
      </c>
      <c r="F892" s="35" t="str">
        <f t="shared" si="48"/>
        <v/>
      </c>
      <c r="G892" s="58" t="str">
        <f t="shared" si="49"/>
        <v/>
      </c>
    </row>
    <row r="893" spans="1:7" x14ac:dyDescent="0.25">
      <c r="A893" s="61"/>
      <c r="B893" s="67"/>
      <c r="C893" s="67"/>
      <c r="D893" s="61"/>
      <c r="E893" s="35" t="str">
        <f t="shared" si="47"/>
        <v/>
      </c>
      <c r="F893" s="35" t="str">
        <f t="shared" si="48"/>
        <v/>
      </c>
      <c r="G893" s="58" t="str">
        <f t="shared" si="49"/>
        <v/>
      </c>
    </row>
    <row r="894" spans="1:7" x14ac:dyDescent="0.25">
      <c r="A894" s="61"/>
      <c r="B894" s="67"/>
      <c r="C894" s="67"/>
      <c r="D894" s="61"/>
      <c r="E894" s="35" t="str">
        <f t="shared" si="47"/>
        <v/>
      </c>
      <c r="F894" s="35" t="str">
        <f t="shared" si="48"/>
        <v/>
      </c>
      <c r="G894" s="58" t="str">
        <f t="shared" si="49"/>
        <v/>
      </c>
    </row>
    <row r="895" spans="1:7" x14ac:dyDescent="0.25">
      <c r="A895" s="61"/>
      <c r="B895" s="67"/>
      <c r="C895" s="67"/>
      <c r="D895" s="61"/>
      <c r="E895" s="35" t="str">
        <f t="shared" si="47"/>
        <v/>
      </c>
      <c r="F895" s="35" t="str">
        <f t="shared" si="48"/>
        <v/>
      </c>
      <c r="G895" s="58" t="str">
        <f t="shared" si="49"/>
        <v/>
      </c>
    </row>
    <row r="896" spans="1:7" x14ac:dyDescent="0.25">
      <c r="A896" s="61"/>
      <c r="B896" s="67"/>
      <c r="C896" s="67"/>
      <c r="D896" s="61"/>
      <c r="E896" s="35" t="str">
        <f t="shared" si="47"/>
        <v/>
      </c>
      <c r="F896" s="35" t="str">
        <f t="shared" si="48"/>
        <v/>
      </c>
      <c r="G896" s="58" t="str">
        <f t="shared" si="49"/>
        <v/>
      </c>
    </row>
    <row r="897" spans="1:7" x14ac:dyDescent="0.25">
      <c r="A897" s="61"/>
      <c r="B897" s="67"/>
      <c r="C897" s="67"/>
      <c r="D897" s="61"/>
      <c r="E897" s="35" t="str">
        <f t="shared" si="47"/>
        <v/>
      </c>
      <c r="F897" s="35" t="str">
        <f t="shared" si="48"/>
        <v/>
      </c>
      <c r="G897" s="58" t="str">
        <f t="shared" si="49"/>
        <v/>
      </c>
    </row>
    <row r="898" spans="1:7" x14ac:dyDescent="0.25">
      <c r="A898" s="61"/>
      <c r="B898" s="67"/>
      <c r="C898" s="67"/>
      <c r="D898" s="61"/>
      <c r="E898" s="35" t="str">
        <f t="shared" si="47"/>
        <v/>
      </c>
      <c r="F898" s="35" t="str">
        <f t="shared" si="48"/>
        <v/>
      </c>
      <c r="G898" s="58" t="str">
        <f t="shared" si="49"/>
        <v/>
      </c>
    </row>
    <row r="899" spans="1:7" x14ac:dyDescent="0.25">
      <c r="A899" s="61"/>
      <c r="B899" s="67"/>
      <c r="C899" s="67"/>
      <c r="D899" s="61"/>
      <c r="E899" s="35" t="str">
        <f t="shared" ref="E899:E962" si="50">IF(B899&lt;&gt;"",(H899+D899)*COS(RADIANS(HMSTOHDD(B899)))*COS(RADIANS(HMSTOHDD(-C899))),"")</f>
        <v/>
      </c>
      <c r="F899" s="35" t="str">
        <f t="shared" ref="F899:F962" si="51">IF(B899&lt;&gt;"",(H899+D899)*COS(RADIANS(HMSTOHDD(B899)))*SIN(RADIANS(HMSTOHDD(-C899))),"")</f>
        <v/>
      </c>
      <c r="G899" s="58" t="str">
        <f t="shared" si="49"/>
        <v/>
      </c>
    </row>
    <row r="900" spans="1:7" x14ac:dyDescent="0.25">
      <c r="A900" s="61"/>
      <c r="B900" s="67"/>
      <c r="C900" s="67"/>
      <c r="D900" s="61"/>
      <c r="E900" s="35" t="str">
        <f t="shared" si="50"/>
        <v/>
      </c>
      <c r="F900" s="35" t="str">
        <f t="shared" si="51"/>
        <v/>
      </c>
      <c r="G900" s="58" t="str">
        <f t="shared" ref="G900:G963" si="52">IF(B900&lt;&gt;"",SIN(RADIANS(HMSTOHDD(B900)))*(H900*(1-$M$4)+D900),"")</f>
        <v/>
      </c>
    </row>
    <row r="901" spans="1:7" x14ac:dyDescent="0.25">
      <c r="A901" s="61"/>
      <c r="B901" s="67"/>
      <c r="C901" s="67"/>
      <c r="D901" s="61"/>
      <c r="E901" s="35" t="str">
        <f t="shared" si="50"/>
        <v/>
      </c>
      <c r="F901" s="35" t="str">
        <f t="shared" si="51"/>
        <v/>
      </c>
      <c r="G901" s="58" t="str">
        <f t="shared" si="52"/>
        <v/>
      </c>
    </row>
    <row r="902" spans="1:7" x14ac:dyDescent="0.25">
      <c r="A902" s="61"/>
      <c r="B902" s="67"/>
      <c r="C902" s="67"/>
      <c r="D902" s="61"/>
      <c r="E902" s="35" t="str">
        <f t="shared" si="50"/>
        <v/>
      </c>
      <c r="F902" s="35" t="str">
        <f t="shared" si="51"/>
        <v/>
      </c>
      <c r="G902" s="58" t="str">
        <f t="shared" si="52"/>
        <v/>
      </c>
    </row>
    <row r="903" spans="1:7" x14ac:dyDescent="0.25">
      <c r="A903" s="61"/>
      <c r="B903" s="67"/>
      <c r="C903" s="67"/>
      <c r="D903" s="61"/>
      <c r="E903" s="35" t="str">
        <f t="shared" si="50"/>
        <v/>
      </c>
      <c r="F903" s="35" t="str">
        <f t="shared" si="51"/>
        <v/>
      </c>
      <c r="G903" s="58" t="str">
        <f t="shared" si="52"/>
        <v/>
      </c>
    </row>
    <row r="904" spans="1:7" x14ac:dyDescent="0.25">
      <c r="A904" s="61"/>
      <c r="B904" s="67"/>
      <c r="C904" s="67"/>
      <c r="D904" s="61"/>
      <c r="E904" s="35" t="str">
        <f t="shared" si="50"/>
        <v/>
      </c>
      <c r="F904" s="35" t="str">
        <f t="shared" si="51"/>
        <v/>
      </c>
      <c r="G904" s="58" t="str">
        <f t="shared" si="52"/>
        <v/>
      </c>
    </row>
    <row r="905" spans="1:7" x14ac:dyDescent="0.25">
      <c r="A905" s="61"/>
      <c r="B905" s="67"/>
      <c r="C905" s="67"/>
      <c r="D905" s="61"/>
      <c r="E905" s="35" t="str">
        <f t="shared" si="50"/>
        <v/>
      </c>
      <c r="F905" s="35" t="str">
        <f t="shared" si="51"/>
        <v/>
      </c>
      <c r="G905" s="58" t="str">
        <f t="shared" si="52"/>
        <v/>
      </c>
    </row>
    <row r="906" spans="1:7" x14ac:dyDescent="0.25">
      <c r="A906" s="61"/>
      <c r="B906" s="67"/>
      <c r="C906" s="67"/>
      <c r="D906" s="61"/>
      <c r="E906" s="35" t="str">
        <f t="shared" si="50"/>
        <v/>
      </c>
      <c r="F906" s="35" t="str">
        <f t="shared" si="51"/>
        <v/>
      </c>
      <c r="G906" s="58" t="str">
        <f t="shared" si="52"/>
        <v/>
      </c>
    </row>
    <row r="907" spans="1:7" x14ac:dyDescent="0.25">
      <c r="A907" s="61"/>
      <c r="B907" s="67"/>
      <c r="C907" s="67"/>
      <c r="D907" s="61"/>
      <c r="E907" s="35" t="str">
        <f t="shared" si="50"/>
        <v/>
      </c>
      <c r="F907" s="35" t="str">
        <f t="shared" si="51"/>
        <v/>
      </c>
      <c r="G907" s="58" t="str">
        <f t="shared" si="52"/>
        <v/>
      </c>
    </row>
    <row r="908" spans="1:7" x14ac:dyDescent="0.25">
      <c r="A908" s="61"/>
      <c r="B908" s="67"/>
      <c r="C908" s="67"/>
      <c r="D908" s="61"/>
      <c r="E908" s="35" t="str">
        <f t="shared" si="50"/>
        <v/>
      </c>
      <c r="F908" s="35" t="str">
        <f t="shared" si="51"/>
        <v/>
      </c>
      <c r="G908" s="58" t="str">
        <f t="shared" si="52"/>
        <v/>
      </c>
    </row>
    <row r="909" spans="1:7" x14ac:dyDescent="0.25">
      <c r="A909" s="61"/>
      <c r="B909" s="67"/>
      <c r="C909" s="67"/>
      <c r="D909" s="61"/>
      <c r="E909" s="35" t="str">
        <f t="shared" si="50"/>
        <v/>
      </c>
      <c r="F909" s="35" t="str">
        <f t="shared" si="51"/>
        <v/>
      </c>
      <c r="G909" s="58" t="str">
        <f t="shared" si="52"/>
        <v/>
      </c>
    </row>
    <row r="910" spans="1:7" x14ac:dyDescent="0.25">
      <c r="A910" s="61"/>
      <c r="B910" s="67"/>
      <c r="C910" s="67"/>
      <c r="D910" s="61"/>
      <c r="E910" s="35" t="str">
        <f t="shared" si="50"/>
        <v/>
      </c>
      <c r="F910" s="35" t="str">
        <f t="shared" si="51"/>
        <v/>
      </c>
      <c r="G910" s="58" t="str">
        <f t="shared" si="52"/>
        <v/>
      </c>
    </row>
    <row r="911" spans="1:7" x14ac:dyDescent="0.25">
      <c r="A911" s="61"/>
      <c r="B911" s="67"/>
      <c r="C911" s="67"/>
      <c r="D911" s="61"/>
      <c r="E911" s="35" t="str">
        <f t="shared" si="50"/>
        <v/>
      </c>
      <c r="F911" s="35" t="str">
        <f t="shared" si="51"/>
        <v/>
      </c>
      <c r="G911" s="58" t="str">
        <f t="shared" si="52"/>
        <v/>
      </c>
    </row>
    <row r="912" spans="1:7" x14ac:dyDescent="0.25">
      <c r="A912" s="61"/>
      <c r="B912" s="67"/>
      <c r="C912" s="67"/>
      <c r="D912" s="61"/>
      <c r="E912" s="35" t="str">
        <f t="shared" si="50"/>
        <v/>
      </c>
      <c r="F912" s="35" t="str">
        <f t="shared" si="51"/>
        <v/>
      </c>
      <c r="G912" s="58" t="str">
        <f t="shared" si="52"/>
        <v/>
      </c>
    </row>
    <row r="913" spans="1:7" x14ac:dyDescent="0.25">
      <c r="A913" s="61"/>
      <c r="B913" s="67"/>
      <c r="C913" s="67"/>
      <c r="D913" s="61"/>
      <c r="E913" s="35" t="str">
        <f t="shared" si="50"/>
        <v/>
      </c>
      <c r="F913" s="35" t="str">
        <f t="shared" si="51"/>
        <v/>
      </c>
      <c r="G913" s="58" t="str">
        <f t="shared" si="52"/>
        <v/>
      </c>
    </row>
    <row r="914" spans="1:7" x14ac:dyDescent="0.25">
      <c r="A914" s="61"/>
      <c r="B914" s="67"/>
      <c r="C914" s="67"/>
      <c r="D914" s="61"/>
      <c r="E914" s="35" t="str">
        <f t="shared" si="50"/>
        <v/>
      </c>
      <c r="F914" s="35" t="str">
        <f t="shared" si="51"/>
        <v/>
      </c>
      <c r="G914" s="58" t="str">
        <f t="shared" si="52"/>
        <v/>
      </c>
    </row>
    <row r="915" spans="1:7" x14ac:dyDescent="0.25">
      <c r="A915" s="61"/>
      <c r="B915" s="67"/>
      <c r="C915" s="67"/>
      <c r="D915" s="61"/>
      <c r="E915" s="35" t="str">
        <f t="shared" si="50"/>
        <v/>
      </c>
      <c r="F915" s="35" t="str">
        <f t="shared" si="51"/>
        <v/>
      </c>
      <c r="G915" s="58" t="str">
        <f t="shared" si="52"/>
        <v/>
      </c>
    </row>
    <row r="916" spans="1:7" x14ac:dyDescent="0.25">
      <c r="A916" s="61"/>
      <c r="B916" s="67"/>
      <c r="C916" s="67"/>
      <c r="D916" s="61"/>
      <c r="E916" s="35" t="str">
        <f t="shared" si="50"/>
        <v/>
      </c>
      <c r="F916" s="35" t="str">
        <f t="shared" si="51"/>
        <v/>
      </c>
      <c r="G916" s="58" t="str">
        <f t="shared" si="52"/>
        <v/>
      </c>
    </row>
    <row r="917" spans="1:7" x14ac:dyDescent="0.25">
      <c r="A917" s="61"/>
      <c r="B917" s="67"/>
      <c r="C917" s="67"/>
      <c r="D917" s="61"/>
      <c r="E917" s="35" t="str">
        <f t="shared" si="50"/>
        <v/>
      </c>
      <c r="F917" s="35" t="str">
        <f t="shared" si="51"/>
        <v/>
      </c>
      <c r="G917" s="58" t="str">
        <f t="shared" si="52"/>
        <v/>
      </c>
    </row>
    <row r="918" spans="1:7" x14ac:dyDescent="0.25">
      <c r="A918" s="61"/>
      <c r="B918" s="67"/>
      <c r="C918" s="67"/>
      <c r="D918" s="61"/>
      <c r="E918" s="35" t="str">
        <f t="shared" si="50"/>
        <v/>
      </c>
      <c r="F918" s="35" t="str">
        <f t="shared" si="51"/>
        <v/>
      </c>
      <c r="G918" s="58" t="str">
        <f t="shared" si="52"/>
        <v/>
      </c>
    </row>
    <row r="919" spans="1:7" x14ac:dyDescent="0.25">
      <c r="A919" s="61"/>
      <c r="B919" s="67"/>
      <c r="C919" s="67"/>
      <c r="D919" s="61"/>
      <c r="E919" s="35" t="str">
        <f t="shared" si="50"/>
        <v/>
      </c>
      <c r="F919" s="35" t="str">
        <f t="shared" si="51"/>
        <v/>
      </c>
      <c r="G919" s="58" t="str">
        <f t="shared" si="52"/>
        <v/>
      </c>
    </row>
    <row r="920" spans="1:7" x14ac:dyDescent="0.25">
      <c r="A920" s="61"/>
      <c r="B920" s="67"/>
      <c r="C920" s="67"/>
      <c r="D920" s="61"/>
      <c r="E920" s="35" t="str">
        <f t="shared" si="50"/>
        <v/>
      </c>
      <c r="F920" s="35" t="str">
        <f t="shared" si="51"/>
        <v/>
      </c>
      <c r="G920" s="58" t="str">
        <f t="shared" si="52"/>
        <v/>
      </c>
    </row>
    <row r="921" spans="1:7" x14ac:dyDescent="0.25">
      <c r="A921" s="61"/>
      <c r="B921" s="67"/>
      <c r="C921" s="67"/>
      <c r="D921" s="61"/>
      <c r="E921" s="35" t="str">
        <f t="shared" si="50"/>
        <v/>
      </c>
      <c r="F921" s="35" t="str">
        <f t="shared" si="51"/>
        <v/>
      </c>
      <c r="G921" s="58" t="str">
        <f t="shared" si="52"/>
        <v/>
      </c>
    </row>
    <row r="922" spans="1:7" x14ac:dyDescent="0.25">
      <c r="A922" s="61"/>
      <c r="B922" s="67"/>
      <c r="C922" s="67"/>
      <c r="D922" s="61"/>
      <c r="E922" s="35" t="str">
        <f t="shared" si="50"/>
        <v/>
      </c>
      <c r="F922" s="35" t="str">
        <f t="shared" si="51"/>
        <v/>
      </c>
      <c r="G922" s="58" t="str">
        <f t="shared" si="52"/>
        <v/>
      </c>
    </row>
    <row r="923" spans="1:7" x14ac:dyDescent="0.25">
      <c r="A923" s="61"/>
      <c r="B923" s="67"/>
      <c r="C923" s="67"/>
      <c r="D923" s="61"/>
      <c r="E923" s="35" t="str">
        <f t="shared" si="50"/>
        <v/>
      </c>
      <c r="F923" s="35" t="str">
        <f t="shared" si="51"/>
        <v/>
      </c>
      <c r="G923" s="58" t="str">
        <f t="shared" si="52"/>
        <v/>
      </c>
    </row>
    <row r="924" spans="1:7" x14ac:dyDescent="0.25">
      <c r="A924" s="61"/>
      <c r="B924" s="67"/>
      <c r="C924" s="67"/>
      <c r="D924" s="61"/>
      <c r="E924" s="35" t="str">
        <f t="shared" si="50"/>
        <v/>
      </c>
      <c r="F924" s="35" t="str">
        <f t="shared" si="51"/>
        <v/>
      </c>
      <c r="G924" s="58" t="str">
        <f t="shared" si="52"/>
        <v/>
      </c>
    </row>
    <row r="925" spans="1:7" x14ac:dyDescent="0.25">
      <c r="A925" s="61"/>
      <c r="B925" s="67"/>
      <c r="C925" s="67"/>
      <c r="D925" s="61"/>
      <c r="E925" s="35" t="str">
        <f t="shared" si="50"/>
        <v/>
      </c>
      <c r="F925" s="35" t="str">
        <f t="shared" si="51"/>
        <v/>
      </c>
      <c r="G925" s="58" t="str">
        <f t="shared" si="52"/>
        <v/>
      </c>
    </row>
    <row r="926" spans="1:7" x14ac:dyDescent="0.25">
      <c r="A926" s="61"/>
      <c r="B926" s="67"/>
      <c r="C926" s="67"/>
      <c r="D926" s="61"/>
      <c r="E926" s="35" t="str">
        <f t="shared" si="50"/>
        <v/>
      </c>
      <c r="F926" s="35" t="str">
        <f t="shared" si="51"/>
        <v/>
      </c>
      <c r="G926" s="58" t="str">
        <f t="shared" si="52"/>
        <v/>
      </c>
    </row>
    <row r="927" spans="1:7" x14ac:dyDescent="0.25">
      <c r="A927" s="61"/>
      <c r="B927" s="67"/>
      <c r="C927" s="67"/>
      <c r="D927" s="61"/>
      <c r="E927" s="35" t="str">
        <f t="shared" si="50"/>
        <v/>
      </c>
      <c r="F927" s="35" t="str">
        <f t="shared" si="51"/>
        <v/>
      </c>
      <c r="G927" s="58" t="str">
        <f t="shared" si="52"/>
        <v/>
      </c>
    </row>
    <row r="928" spans="1:7" x14ac:dyDescent="0.25">
      <c r="A928" s="61"/>
      <c r="B928" s="67"/>
      <c r="C928" s="67"/>
      <c r="D928" s="61"/>
      <c r="E928" s="35" t="str">
        <f t="shared" si="50"/>
        <v/>
      </c>
      <c r="F928" s="35" t="str">
        <f t="shared" si="51"/>
        <v/>
      </c>
      <c r="G928" s="58" t="str">
        <f t="shared" si="52"/>
        <v/>
      </c>
    </row>
    <row r="929" spans="1:7" x14ac:dyDescent="0.25">
      <c r="A929" s="61"/>
      <c r="B929" s="67"/>
      <c r="C929" s="67"/>
      <c r="D929" s="61"/>
      <c r="E929" s="35" t="str">
        <f t="shared" si="50"/>
        <v/>
      </c>
      <c r="F929" s="35" t="str">
        <f t="shared" si="51"/>
        <v/>
      </c>
      <c r="G929" s="58" t="str">
        <f t="shared" si="52"/>
        <v/>
      </c>
    </row>
    <row r="930" spans="1:7" x14ac:dyDescent="0.25">
      <c r="A930" s="61"/>
      <c r="B930" s="67"/>
      <c r="C930" s="67"/>
      <c r="D930" s="61"/>
      <c r="E930" s="35" t="str">
        <f t="shared" si="50"/>
        <v/>
      </c>
      <c r="F930" s="35" t="str">
        <f t="shared" si="51"/>
        <v/>
      </c>
      <c r="G930" s="58" t="str">
        <f t="shared" si="52"/>
        <v/>
      </c>
    </row>
    <row r="931" spans="1:7" x14ac:dyDescent="0.25">
      <c r="A931" s="61"/>
      <c r="B931" s="67"/>
      <c r="C931" s="67"/>
      <c r="D931" s="61"/>
      <c r="E931" s="35" t="str">
        <f t="shared" si="50"/>
        <v/>
      </c>
      <c r="F931" s="35" t="str">
        <f t="shared" si="51"/>
        <v/>
      </c>
      <c r="G931" s="58" t="str">
        <f t="shared" si="52"/>
        <v/>
      </c>
    </row>
    <row r="932" spans="1:7" x14ac:dyDescent="0.25">
      <c r="A932" s="61"/>
      <c r="B932" s="67"/>
      <c r="C932" s="67"/>
      <c r="D932" s="61"/>
      <c r="E932" s="35" t="str">
        <f t="shared" si="50"/>
        <v/>
      </c>
      <c r="F932" s="35" t="str">
        <f t="shared" si="51"/>
        <v/>
      </c>
      <c r="G932" s="58" t="str">
        <f t="shared" si="52"/>
        <v/>
      </c>
    </row>
    <row r="933" spans="1:7" x14ac:dyDescent="0.25">
      <c r="A933" s="61"/>
      <c r="B933" s="67"/>
      <c r="C933" s="67"/>
      <c r="D933" s="61"/>
      <c r="E933" s="35" t="str">
        <f t="shared" si="50"/>
        <v/>
      </c>
      <c r="F933" s="35" t="str">
        <f t="shared" si="51"/>
        <v/>
      </c>
      <c r="G933" s="58" t="str">
        <f t="shared" si="52"/>
        <v/>
      </c>
    </row>
    <row r="934" spans="1:7" x14ac:dyDescent="0.25">
      <c r="A934" s="61"/>
      <c r="B934" s="67"/>
      <c r="C934" s="67"/>
      <c r="D934" s="61"/>
      <c r="E934" s="35" t="str">
        <f t="shared" si="50"/>
        <v/>
      </c>
      <c r="F934" s="35" t="str">
        <f t="shared" si="51"/>
        <v/>
      </c>
      <c r="G934" s="58" t="str">
        <f t="shared" si="52"/>
        <v/>
      </c>
    </row>
    <row r="935" spans="1:7" x14ac:dyDescent="0.25">
      <c r="A935" s="61"/>
      <c r="B935" s="67"/>
      <c r="C935" s="67"/>
      <c r="D935" s="61"/>
      <c r="E935" s="35" t="str">
        <f t="shared" si="50"/>
        <v/>
      </c>
      <c r="F935" s="35" t="str">
        <f t="shared" si="51"/>
        <v/>
      </c>
      <c r="G935" s="58" t="str">
        <f t="shared" si="52"/>
        <v/>
      </c>
    </row>
    <row r="936" spans="1:7" x14ac:dyDescent="0.25">
      <c r="A936" s="61"/>
      <c r="B936" s="67"/>
      <c r="C936" s="67"/>
      <c r="D936" s="61"/>
      <c r="E936" s="35" t="str">
        <f t="shared" si="50"/>
        <v/>
      </c>
      <c r="F936" s="35" t="str">
        <f t="shared" si="51"/>
        <v/>
      </c>
      <c r="G936" s="58" t="str">
        <f t="shared" si="52"/>
        <v/>
      </c>
    </row>
    <row r="937" spans="1:7" x14ac:dyDescent="0.25">
      <c r="A937" s="61"/>
      <c r="B937" s="67"/>
      <c r="C937" s="67"/>
      <c r="D937" s="61"/>
      <c r="E937" s="35" t="str">
        <f t="shared" si="50"/>
        <v/>
      </c>
      <c r="F937" s="35" t="str">
        <f t="shared" si="51"/>
        <v/>
      </c>
      <c r="G937" s="58" t="str">
        <f t="shared" si="52"/>
        <v/>
      </c>
    </row>
    <row r="938" spans="1:7" x14ac:dyDescent="0.25">
      <c r="A938" s="61"/>
      <c r="B938" s="67"/>
      <c r="C938" s="67"/>
      <c r="D938" s="61"/>
      <c r="E938" s="35" t="str">
        <f t="shared" si="50"/>
        <v/>
      </c>
      <c r="F938" s="35" t="str">
        <f t="shared" si="51"/>
        <v/>
      </c>
      <c r="G938" s="58" t="str">
        <f t="shared" si="52"/>
        <v/>
      </c>
    </row>
    <row r="939" spans="1:7" x14ac:dyDescent="0.25">
      <c r="A939" s="61"/>
      <c r="B939" s="67"/>
      <c r="C939" s="67"/>
      <c r="D939" s="61"/>
      <c r="E939" s="35" t="str">
        <f t="shared" si="50"/>
        <v/>
      </c>
      <c r="F939" s="35" t="str">
        <f t="shared" si="51"/>
        <v/>
      </c>
      <c r="G939" s="58" t="str">
        <f t="shared" si="52"/>
        <v/>
      </c>
    </row>
    <row r="940" spans="1:7" x14ac:dyDescent="0.25">
      <c r="A940" s="61"/>
      <c r="B940" s="67"/>
      <c r="C940" s="67"/>
      <c r="D940" s="61"/>
      <c r="E940" s="35" t="str">
        <f t="shared" si="50"/>
        <v/>
      </c>
      <c r="F940" s="35" t="str">
        <f t="shared" si="51"/>
        <v/>
      </c>
      <c r="G940" s="58" t="str">
        <f t="shared" si="52"/>
        <v/>
      </c>
    </row>
    <row r="941" spans="1:7" x14ac:dyDescent="0.25">
      <c r="A941" s="61"/>
      <c r="B941" s="67"/>
      <c r="C941" s="67"/>
      <c r="D941" s="61"/>
      <c r="E941" s="35" t="str">
        <f t="shared" si="50"/>
        <v/>
      </c>
      <c r="F941" s="35" t="str">
        <f t="shared" si="51"/>
        <v/>
      </c>
      <c r="G941" s="58" t="str">
        <f t="shared" si="52"/>
        <v/>
      </c>
    </row>
    <row r="942" spans="1:7" x14ac:dyDescent="0.25">
      <c r="A942" s="61"/>
      <c r="B942" s="67"/>
      <c r="C942" s="67"/>
      <c r="D942" s="61"/>
      <c r="E942" s="35" t="str">
        <f t="shared" si="50"/>
        <v/>
      </c>
      <c r="F942" s="35" t="str">
        <f t="shared" si="51"/>
        <v/>
      </c>
      <c r="G942" s="58" t="str">
        <f t="shared" si="52"/>
        <v/>
      </c>
    </row>
    <row r="943" spans="1:7" x14ac:dyDescent="0.25">
      <c r="A943" s="61"/>
      <c r="B943" s="67"/>
      <c r="C943" s="67"/>
      <c r="D943" s="61"/>
      <c r="E943" s="35" t="str">
        <f t="shared" si="50"/>
        <v/>
      </c>
      <c r="F943" s="35" t="str">
        <f t="shared" si="51"/>
        <v/>
      </c>
      <c r="G943" s="58" t="str">
        <f t="shared" si="52"/>
        <v/>
      </c>
    </row>
    <row r="944" spans="1:7" x14ac:dyDescent="0.25">
      <c r="A944" s="61"/>
      <c r="B944" s="67"/>
      <c r="C944" s="67"/>
      <c r="D944" s="61"/>
      <c r="E944" s="35" t="str">
        <f t="shared" si="50"/>
        <v/>
      </c>
      <c r="F944" s="35" t="str">
        <f t="shared" si="51"/>
        <v/>
      </c>
      <c r="G944" s="58" t="str">
        <f t="shared" si="52"/>
        <v/>
      </c>
    </row>
    <row r="945" spans="1:7" x14ac:dyDescent="0.25">
      <c r="A945" s="61"/>
      <c r="B945" s="67"/>
      <c r="C945" s="67"/>
      <c r="D945" s="61"/>
      <c r="E945" s="35" t="str">
        <f t="shared" si="50"/>
        <v/>
      </c>
      <c r="F945" s="35" t="str">
        <f t="shared" si="51"/>
        <v/>
      </c>
      <c r="G945" s="58" t="str">
        <f t="shared" si="52"/>
        <v/>
      </c>
    </row>
    <row r="946" spans="1:7" x14ac:dyDescent="0.25">
      <c r="A946" s="61"/>
      <c r="B946" s="67"/>
      <c r="C946" s="67"/>
      <c r="D946" s="61"/>
      <c r="E946" s="35" t="str">
        <f t="shared" si="50"/>
        <v/>
      </c>
      <c r="F946" s="35" t="str">
        <f t="shared" si="51"/>
        <v/>
      </c>
      <c r="G946" s="58" t="str">
        <f t="shared" si="52"/>
        <v/>
      </c>
    </row>
    <row r="947" spans="1:7" x14ac:dyDescent="0.25">
      <c r="A947" s="61"/>
      <c r="B947" s="67"/>
      <c r="C947" s="67"/>
      <c r="D947" s="61"/>
      <c r="E947" s="35" t="str">
        <f t="shared" si="50"/>
        <v/>
      </c>
      <c r="F947" s="35" t="str">
        <f t="shared" si="51"/>
        <v/>
      </c>
      <c r="G947" s="58" t="str">
        <f t="shared" si="52"/>
        <v/>
      </c>
    </row>
    <row r="948" spans="1:7" x14ac:dyDescent="0.25">
      <c r="A948" s="61"/>
      <c r="B948" s="67"/>
      <c r="C948" s="67"/>
      <c r="D948" s="61"/>
      <c r="E948" s="35" t="str">
        <f t="shared" si="50"/>
        <v/>
      </c>
      <c r="F948" s="35" t="str">
        <f t="shared" si="51"/>
        <v/>
      </c>
      <c r="G948" s="58" t="str">
        <f t="shared" si="52"/>
        <v/>
      </c>
    </row>
    <row r="949" spans="1:7" x14ac:dyDescent="0.25">
      <c r="A949" s="61"/>
      <c r="B949" s="67"/>
      <c r="C949" s="67"/>
      <c r="D949" s="61"/>
      <c r="E949" s="35" t="str">
        <f t="shared" si="50"/>
        <v/>
      </c>
      <c r="F949" s="35" t="str">
        <f t="shared" si="51"/>
        <v/>
      </c>
      <c r="G949" s="58" t="str">
        <f t="shared" si="52"/>
        <v/>
      </c>
    </row>
    <row r="950" spans="1:7" x14ac:dyDescent="0.25">
      <c r="A950" s="61"/>
      <c r="B950" s="67"/>
      <c r="C950" s="67"/>
      <c r="D950" s="61"/>
      <c r="E950" s="35" t="str">
        <f t="shared" si="50"/>
        <v/>
      </c>
      <c r="F950" s="35" t="str">
        <f t="shared" si="51"/>
        <v/>
      </c>
      <c r="G950" s="58" t="str">
        <f t="shared" si="52"/>
        <v/>
      </c>
    </row>
    <row r="951" spans="1:7" x14ac:dyDescent="0.25">
      <c r="A951" s="61"/>
      <c r="B951" s="67"/>
      <c r="C951" s="67"/>
      <c r="D951" s="61"/>
      <c r="E951" s="35" t="str">
        <f t="shared" si="50"/>
        <v/>
      </c>
      <c r="F951" s="35" t="str">
        <f t="shared" si="51"/>
        <v/>
      </c>
      <c r="G951" s="58" t="str">
        <f t="shared" si="52"/>
        <v/>
      </c>
    </row>
    <row r="952" spans="1:7" x14ac:dyDescent="0.25">
      <c r="A952" s="61"/>
      <c r="B952" s="67"/>
      <c r="C952" s="67"/>
      <c r="D952" s="61"/>
      <c r="E952" s="35" t="str">
        <f t="shared" si="50"/>
        <v/>
      </c>
      <c r="F952" s="35" t="str">
        <f t="shared" si="51"/>
        <v/>
      </c>
      <c r="G952" s="58" t="str">
        <f t="shared" si="52"/>
        <v/>
      </c>
    </row>
    <row r="953" spans="1:7" x14ac:dyDescent="0.25">
      <c r="A953" s="61"/>
      <c r="B953" s="67"/>
      <c r="C953" s="67"/>
      <c r="D953" s="61"/>
      <c r="E953" s="35" t="str">
        <f t="shared" si="50"/>
        <v/>
      </c>
      <c r="F953" s="35" t="str">
        <f t="shared" si="51"/>
        <v/>
      </c>
      <c r="G953" s="58" t="str">
        <f t="shared" si="52"/>
        <v/>
      </c>
    </row>
    <row r="954" spans="1:7" x14ac:dyDescent="0.25">
      <c r="A954" s="61"/>
      <c r="B954" s="67"/>
      <c r="C954" s="67"/>
      <c r="D954" s="61"/>
      <c r="E954" s="35" t="str">
        <f t="shared" si="50"/>
        <v/>
      </c>
      <c r="F954" s="35" t="str">
        <f t="shared" si="51"/>
        <v/>
      </c>
      <c r="G954" s="58" t="str">
        <f t="shared" si="52"/>
        <v/>
      </c>
    </row>
    <row r="955" spans="1:7" x14ac:dyDescent="0.25">
      <c r="A955" s="61"/>
      <c r="B955" s="67"/>
      <c r="C955" s="67"/>
      <c r="D955" s="61"/>
      <c r="E955" s="35" t="str">
        <f t="shared" si="50"/>
        <v/>
      </c>
      <c r="F955" s="35" t="str">
        <f t="shared" si="51"/>
        <v/>
      </c>
      <c r="G955" s="58" t="str">
        <f t="shared" si="52"/>
        <v/>
      </c>
    </row>
    <row r="956" spans="1:7" x14ac:dyDescent="0.25">
      <c r="A956" s="61"/>
      <c r="B956" s="67"/>
      <c r="C956" s="67"/>
      <c r="D956" s="61"/>
      <c r="E956" s="35" t="str">
        <f t="shared" si="50"/>
        <v/>
      </c>
      <c r="F956" s="35" t="str">
        <f t="shared" si="51"/>
        <v/>
      </c>
      <c r="G956" s="58" t="str">
        <f t="shared" si="52"/>
        <v/>
      </c>
    </row>
    <row r="957" spans="1:7" x14ac:dyDescent="0.25">
      <c r="A957" s="61"/>
      <c r="B957" s="67"/>
      <c r="C957" s="67"/>
      <c r="D957" s="61"/>
      <c r="E957" s="35" t="str">
        <f t="shared" si="50"/>
        <v/>
      </c>
      <c r="F957" s="35" t="str">
        <f t="shared" si="51"/>
        <v/>
      </c>
      <c r="G957" s="58" t="str">
        <f t="shared" si="52"/>
        <v/>
      </c>
    </row>
    <row r="958" spans="1:7" x14ac:dyDescent="0.25">
      <c r="A958" s="61"/>
      <c r="B958" s="67"/>
      <c r="C958" s="67"/>
      <c r="D958" s="61"/>
      <c r="E958" s="35" t="str">
        <f t="shared" si="50"/>
        <v/>
      </c>
      <c r="F958" s="35" t="str">
        <f t="shared" si="51"/>
        <v/>
      </c>
      <c r="G958" s="58" t="str">
        <f t="shared" si="52"/>
        <v/>
      </c>
    </row>
    <row r="959" spans="1:7" x14ac:dyDescent="0.25">
      <c r="A959" s="61"/>
      <c r="B959" s="67"/>
      <c r="C959" s="67"/>
      <c r="D959" s="61"/>
      <c r="E959" s="35" t="str">
        <f t="shared" si="50"/>
        <v/>
      </c>
      <c r="F959" s="35" t="str">
        <f t="shared" si="51"/>
        <v/>
      </c>
      <c r="G959" s="58" t="str">
        <f t="shared" si="52"/>
        <v/>
      </c>
    </row>
    <row r="960" spans="1:7" x14ac:dyDescent="0.25">
      <c r="A960" s="61"/>
      <c r="B960" s="67"/>
      <c r="C960" s="67"/>
      <c r="D960" s="61"/>
      <c r="E960" s="35" t="str">
        <f t="shared" si="50"/>
        <v/>
      </c>
      <c r="F960" s="35" t="str">
        <f t="shared" si="51"/>
        <v/>
      </c>
      <c r="G960" s="58" t="str">
        <f t="shared" si="52"/>
        <v/>
      </c>
    </row>
    <row r="961" spans="1:7" x14ac:dyDescent="0.25">
      <c r="A961" s="61"/>
      <c r="B961" s="67"/>
      <c r="C961" s="67"/>
      <c r="D961" s="61"/>
      <c r="E961" s="35" t="str">
        <f t="shared" si="50"/>
        <v/>
      </c>
      <c r="F961" s="35" t="str">
        <f t="shared" si="51"/>
        <v/>
      </c>
      <c r="G961" s="58" t="str">
        <f t="shared" si="52"/>
        <v/>
      </c>
    </row>
    <row r="962" spans="1:7" x14ac:dyDescent="0.25">
      <c r="A962" s="61"/>
      <c r="B962" s="67"/>
      <c r="C962" s="67"/>
      <c r="D962" s="61"/>
      <c r="E962" s="35" t="str">
        <f t="shared" si="50"/>
        <v/>
      </c>
      <c r="F962" s="35" t="str">
        <f t="shared" si="51"/>
        <v/>
      </c>
      <c r="G962" s="58" t="str">
        <f t="shared" si="52"/>
        <v/>
      </c>
    </row>
    <row r="963" spans="1:7" x14ac:dyDescent="0.25">
      <c r="A963" s="61"/>
      <c r="B963" s="67"/>
      <c r="C963" s="67"/>
      <c r="D963" s="61"/>
      <c r="E963" s="35" t="str">
        <f t="shared" ref="E963:E1026" si="53">IF(B963&lt;&gt;"",(H963+D963)*COS(RADIANS(HMSTOHDD(B963)))*COS(RADIANS(HMSTOHDD(-C963))),"")</f>
        <v/>
      </c>
      <c r="F963" s="35" t="str">
        <f t="shared" ref="F963:F1026" si="54">IF(B963&lt;&gt;"",(H963+D963)*COS(RADIANS(HMSTOHDD(B963)))*SIN(RADIANS(HMSTOHDD(-C963))),"")</f>
        <v/>
      </c>
      <c r="G963" s="58" t="str">
        <f t="shared" si="52"/>
        <v/>
      </c>
    </row>
    <row r="964" spans="1:7" x14ac:dyDescent="0.25">
      <c r="A964" s="61"/>
      <c r="B964" s="67"/>
      <c r="C964" s="67"/>
      <c r="D964" s="61"/>
      <c r="E964" s="35" t="str">
        <f t="shared" si="53"/>
        <v/>
      </c>
      <c r="F964" s="35" t="str">
        <f t="shared" si="54"/>
        <v/>
      </c>
      <c r="G964" s="58" t="str">
        <f t="shared" ref="G964:G1027" si="55">IF(B964&lt;&gt;"",SIN(RADIANS(HMSTOHDD(B964)))*(H964*(1-$M$4)+D964),"")</f>
        <v/>
      </c>
    </row>
    <row r="965" spans="1:7" x14ac:dyDescent="0.25">
      <c r="A965" s="61"/>
      <c r="B965" s="67"/>
      <c r="C965" s="67"/>
      <c r="D965" s="61"/>
      <c r="E965" s="35" t="str">
        <f t="shared" si="53"/>
        <v/>
      </c>
      <c r="F965" s="35" t="str">
        <f t="shared" si="54"/>
        <v/>
      </c>
      <c r="G965" s="58" t="str">
        <f t="shared" si="55"/>
        <v/>
      </c>
    </row>
    <row r="966" spans="1:7" x14ac:dyDescent="0.25">
      <c r="A966" s="61"/>
      <c r="B966" s="67"/>
      <c r="C966" s="67"/>
      <c r="D966" s="61"/>
      <c r="E966" s="35" t="str">
        <f t="shared" si="53"/>
        <v/>
      </c>
      <c r="F966" s="35" t="str">
        <f t="shared" si="54"/>
        <v/>
      </c>
      <c r="G966" s="58" t="str">
        <f t="shared" si="55"/>
        <v/>
      </c>
    </row>
    <row r="967" spans="1:7" x14ac:dyDescent="0.25">
      <c r="A967" s="61"/>
      <c r="B967" s="67"/>
      <c r="C967" s="67"/>
      <c r="D967" s="61"/>
      <c r="E967" s="35" t="str">
        <f t="shared" si="53"/>
        <v/>
      </c>
      <c r="F967" s="35" t="str">
        <f t="shared" si="54"/>
        <v/>
      </c>
      <c r="G967" s="58" t="str">
        <f t="shared" si="55"/>
        <v/>
      </c>
    </row>
    <row r="968" spans="1:7" x14ac:dyDescent="0.25">
      <c r="A968" s="61"/>
      <c r="B968" s="67"/>
      <c r="C968" s="67"/>
      <c r="D968" s="61"/>
      <c r="E968" s="35" t="str">
        <f t="shared" si="53"/>
        <v/>
      </c>
      <c r="F968" s="35" t="str">
        <f t="shared" si="54"/>
        <v/>
      </c>
      <c r="G968" s="58" t="str">
        <f t="shared" si="55"/>
        <v/>
      </c>
    </row>
    <row r="969" spans="1:7" x14ac:dyDescent="0.25">
      <c r="A969" s="61"/>
      <c r="B969" s="67"/>
      <c r="C969" s="67"/>
      <c r="D969" s="61"/>
      <c r="E969" s="35" t="str">
        <f t="shared" si="53"/>
        <v/>
      </c>
      <c r="F969" s="35" t="str">
        <f t="shared" si="54"/>
        <v/>
      </c>
      <c r="G969" s="58" t="str">
        <f t="shared" si="55"/>
        <v/>
      </c>
    </row>
    <row r="970" spans="1:7" x14ac:dyDescent="0.25">
      <c r="A970" s="61"/>
      <c r="B970" s="67"/>
      <c r="C970" s="67"/>
      <c r="D970" s="61"/>
      <c r="E970" s="35" t="str">
        <f t="shared" si="53"/>
        <v/>
      </c>
      <c r="F970" s="35" t="str">
        <f t="shared" si="54"/>
        <v/>
      </c>
      <c r="G970" s="58" t="str">
        <f t="shared" si="55"/>
        <v/>
      </c>
    </row>
    <row r="971" spans="1:7" x14ac:dyDescent="0.25">
      <c r="A971" s="61"/>
      <c r="B971" s="67"/>
      <c r="C971" s="67"/>
      <c r="D971" s="61"/>
      <c r="E971" s="35" t="str">
        <f t="shared" si="53"/>
        <v/>
      </c>
      <c r="F971" s="35" t="str">
        <f t="shared" si="54"/>
        <v/>
      </c>
      <c r="G971" s="58" t="str">
        <f t="shared" si="55"/>
        <v/>
      </c>
    </row>
    <row r="972" spans="1:7" x14ac:dyDescent="0.25">
      <c r="A972" s="61"/>
      <c r="B972" s="67"/>
      <c r="C972" s="67"/>
      <c r="D972" s="61"/>
      <c r="E972" s="35" t="str">
        <f t="shared" si="53"/>
        <v/>
      </c>
      <c r="F972" s="35" t="str">
        <f t="shared" si="54"/>
        <v/>
      </c>
      <c r="G972" s="58" t="str">
        <f t="shared" si="55"/>
        <v/>
      </c>
    </row>
    <row r="973" spans="1:7" x14ac:dyDescent="0.25">
      <c r="A973" s="61"/>
      <c r="B973" s="67"/>
      <c r="C973" s="67"/>
      <c r="D973" s="61"/>
      <c r="E973" s="35" t="str">
        <f t="shared" si="53"/>
        <v/>
      </c>
      <c r="F973" s="35" t="str">
        <f t="shared" si="54"/>
        <v/>
      </c>
      <c r="G973" s="58" t="str">
        <f t="shared" si="55"/>
        <v/>
      </c>
    </row>
    <row r="974" spans="1:7" x14ac:dyDescent="0.25">
      <c r="A974" s="61"/>
      <c r="B974" s="67"/>
      <c r="C974" s="67"/>
      <c r="D974" s="61"/>
      <c r="E974" s="35" t="str">
        <f t="shared" si="53"/>
        <v/>
      </c>
      <c r="F974" s="35" t="str">
        <f t="shared" si="54"/>
        <v/>
      </c>
      <c r="G974" s="58" t="str">
        <f t="shared" si="55"/>
        <v/>
      </c>
    </row>
    <row r="975" spans="1:7" x14ac:dyDescent="0.25">
      <c r="A975" s="61"/>
      <c r="B975" s="67"/>
      <c r="C975" s="67"/>
      <c r="D975" s="61"/>
      <c r="E975" s="35" t="str">
        <f t="shared" si="53"/>
        <v/>
      </c>
      <c r="F975" s="35" t="str">
        <f t="shared" si="54"/>
        <v/>
      </c>
      <c r="G975" s="58" t="str">
        <f t="shared" si="55"/>
        <v/>
      </c>
    </row>
    <row r="976" spans="1:7" x14ac:dyDescent="0.25">
      <c r="A976" s="61"/>
      <c r="B976" s="67"/>
      <c r="C976" s="67"/>
      <c r="D976" s="61"/>
      <c r="E976" s="35" t="str">
        <f t="shared" si="53"/>
        <v/>
      </c>
      <c r="F976" s="35" t="str">
        <f t="shared" si="54"/>
        <v/>
      </c>
      <c r="G976" s="58" t="str">
        <f t="shared" si="55"/>
        <v/>
      </c>
    </row>
    <row r="977" spans="1:7" x14ac:dyDescent="0.25">
      <c r="A977" s="61"/>
      <c r="B977" s="67"/>
      <c r="C977" s="67"/>
      <c r="D977" s="61"/>
      <c r="E977" s="35" t="str">
        <f t="shared" si="53"/>
        <v/>
      </c>
      <c r="F977" s="35" t="str">
        <f t="shared" si="54"/>
        <v/>
      </c>
      <c r="G977" s="58" t="str">
        <f t="shared" si="55"/>
        <v/>
      </c>
    </row>
    <row r="978" spans="1:7" x14ac:dyDescent="0.25">
      <c r="A978" s="61"/>
      <c r="B978" s="67"/>
      <c r="C978" s="67"/>
      <c r="D978" s="61"/>
      <c r="E978" s="35" t="str">
        <f t="shared" si="53"/>
        <v/>
      </c>
      <c r="F978" s="35" t="str">
        <f t="shared" si="54"/>
        <v/>
      </c>
      <c r="G978" s="58" t="str">
        <f t="shared" si="55"/>
        <v/>
      </c>
    </row>
    <row r="979" spans="1:7" x14ac:dyDescent="0.25">
      <c r="A979" s="61"/>
      <c r="B979" s="67"/>
      <c r="C979" s="67"/>
      <c r="D979" s="61"/>
      <c r="E979" s="35" t="str">
        <f t="shared" si="53"/>
        <v/>
      </c>
      <c r="F979" s="35" t="str">
        <f t="shared" si="54"/>
        <v/>
      </c>
      <c r="G979" s="58" t="str">
        <f t="shared" si="55"/>
        <v/>
      </c>
    </row>
    <row r="980" spans="1:7" x14ac:dyDescent="0.25">
      <c r="A980" s="61"/>
      <c r="B980" s="67"/>
      <c r="C980" s="67"/>
      <c r="D980" s="61"/>
      <c r="E980" s="35" t="str">
        <f t="shared" si="53"/>
        <v/>
      </c>
      <c r="F980" s="35" t="str">
        <f t="shared" si="54"/>
        <v/>
      </c>
      <c r="G980" s="58" t="str">
        <f t="shared" si="55"/>
        <v/>
      </c>
    </row>
    <row r="981" spans="1:7" x14ac:dyDescent="0.25">
      <c r="A981" s="61"/>
      <c r="B981" s="67"/>
      <c r="C981" s="67"/>
      <c r="D981" s="61"/>
      <c r="E981" s="35" t="str">
        <f t="shared" si="53"/>
        <v/>
      </c>
      <c r="F981" s="35" t="str">
        <f t="shared" si="54"/>
        <v/>
      </c>
      <c r="G981" s="58" t="str">
        <f t="shared" si="55"/>
        <v/>
      </c>
    </row>
    <row r="982" spans="1:7" x14ac:dyDescent="0.25">
      <c r="A982" s="61"/>
      <c r="B982" s="67"/>
      <c r="C982" s="67"/>
      <c r="D982" s="61"/>
      <c r="E982" s="35" t="str">
        <f t="shared" si="53"/>
        <v/>
      </c>
      <c r="F982" s="35" t="str">
        <f t="shared" si="54"/>
        <v/>
      </c>
      <c r="G982" s="58" t="str">
        <f t="shared" si="55"/>
        <v/>
      </c>
    </row>
    <row r="983" spans="1:7" x14ac:dyDescent="0.25">
      <c r="A983" s="61"/>
      <c r="B983" s="67"/>
      <c r="C983" s="67"/>
      <c r="D983" s="61"/>
      <c r="E983" s="35" t="str">
        <f t="shared" si="53"/>
        <v/>
      </c>
      <c r="F983" s="35" t="str">
        <f t="shared" si="54"/>
        <v/>
      </c>
      <c r="G983" s="58" t="str">
        <f t="shared" si="55"/>
        <v/>
      </c>
    </row>
    <row r="984" spans="1:7" x14ac:dyDescent="0.25">
      <c r="A984" s="61"/>
      <c r="B984" s="67"/>
      <c r="C984" s="67"/>
      <c r="D984" s="61"/>
      <c r="E984" s="35" t="str">
        <f t="shared" si="53"/>
        <v/>
      </c>
      <c r="F984" s="35" t="str">
        <f t="shared" si="54"/>
        <v/>
      </c>
      <c r="G984" s="58" t="str">
        <f t="shared" si="55"/>
        <v/>
      </c>
    </row>
    <row r="985" spans="1:7" x14ac:dyDescent="0.25">
      <c r="A985" s="61"/>
      <c r="B985" s="67"/>
      <c r="C985" s="67"/>
      <c r="D985" s="61"/>
      <c r="E985" s="35" t="str">
        <f t="shared" si="53"/>
        <v/>
      </c>
      <c r="F985" s="35" t="str">
        <f t="shared" si="54"/>
        <v/>
      </c>
      <c r="G985" s="58" t="str">
        <f t="shared" si="55"/>
        <v/>
      </c>
    </row>
    <row r="986" spans="1:7" x14ac:dyDescent="0.25">
      <c r="A986" s="61"/>
      <c r="B986" s="67"/>
      <c r="C986" s="67"/>
      <c r="D986" s="61"/>
      <c r="E986" s="35" t="str">
        <f t="shared" si="53"/>
        <v/>
      </c>
      <c r="F986" s="35" t="str">
        <f t="shared" si="54"/>
        <v/>
      </c>
      <c r="G986" s="58" t="str">
        <f t="shared" si="55"/>
        <v/>
      </c>
    </row>
    <row r="987" spans="1:7" x14ac:dyDescent="0.25">
      <c r="A987" s="61"/>
      <c r="B987" s="67"/>
      <c r="C987" s="67"/>
      <c r="D987" s="61"/>
      <c r="E987" s="35" t="str">
        <f t="shared" si="53"/>
        <v/>
      </c>
      <c r="F987" s="35" t="str">
        <f t="shared" si="54"/>
        <v/>
      </c>
      <c r="G987" s="58" t="str">
        <f t="shared" si="55"/>
        <v/>
      </c>
    </row>
    <row r="988" spans="1:7" x14ac:dyDescent="0.25">
      <c r="A988" s="61"/>
      <c r="B988" s="67"/>
      <c r="C988" s="67"/>
      <c r="D988" s="61"/>
      <c r="E988" s="35" t="str">
        <f t="shared" si="53"/>
        <v/>
      </c>
      <c r="F988" s="35" t="str">
        <f t="shared" si="54"/>
        <v/>
      </c>
      <c r="G988" s="58" t="str">
        <f t="shared" si="55"/>
        <v/>
      </c>
    </row>
    <row r="989" spans="1:7" x14ac:dyDescent="0.25">
      <c r="A989" s="61"/>
      <c r="B989" s="67"/>
      <c r="C989" s="67"/>
      <c r="D989" s="61"/>
      <c r="E989" s="35" t="str">
        <f t="shared" si="53"/>
        <v/>
      </c>
      <c r="F989" s="35" t="str">
        <f t="shared" si="54"/>
        <v/>
      </c>
      <c r="G989" s="58" t="str">
        <f t="shared" si="55"/>
        <v/>
      </c>
    </row>
    <row r="990" spans="1:7" x14ac:dyDescent="0.25">
      <c r="A990" s="61"/>
      <c r="B990" s="67"/>
      <c r="C990" s="67"/>
      <c r="D990" s="61"/>
      <c r="E990" s="35" t="str">
        <f t="shared" si="53"/>
        <v/>
      </c>
      <c r="F990" s="35" t="str">
        <f t="shared" si="54"/>
        <v/>
      </c>
      <c r="G990" s="58" t="str">
        <f t="shared" si="55"/>
        <v/>
      </c>
    </row>
    <row r="991" spans="1:7" x14ac:dyDescent="0.25">
      <c r="A991" s="61"/>
      <c r="B991" s="67"/>
      <c r="C991" s="67"/>
      <c r="D991" s="61"/>
      <c r="E991" s="35" t="str">
        <f t="shared" si="53"/>
        <v/>
      </c>
      <c r="F991" s="35" t="str">
        <f t="shared" si="54"/>
        <v/>
      </c>
      <c r="G991" s="58" t="str">
        <f t="shared" si="55"/>
        <v/>
      </c>
    </row>
    <row r="992" spans="1:7" x14ac:dyDescent="0.25">
      <c r="A992" s="61"/>
      <c r="B992" s="67"/>
      <c r="C992" s="67"/>
      <c r="D992" s="61"/>
      <c r="E992" s="35" t="str">
        <f t="shared" si="53"/>
        <v/>
      </c>
      <c r="F992" s="35" t="str">
        <f t="shared" si="54"/>
        <v/>
      </c>
      <c r="G992" s="58" t="str">
        <f t="shared" si="55"/>
        <v/>
      </c>
    </row>
    <row r="993" spans="1:7" x14ac:dyDescent="0.25">
      <c r="A993" s="61"/>
      <c r="B993" s="67"/>
      <c r="C993" s="67"/>
      <c r="D993" s="61"/>
      <c r="E993" s="35" t="str">
        <f t="shared" si="53"/>
        <v/>
      </c>
      <c r="F993" s="35" t="str">
        <f t="shared" si="54"/>
        <v/>
      </c>
      <c r="G993" s="58" t="str">
        <f t="shared" si="55"/>
        <v/>
      </c>
    </row>
    <row r="994" spans="1:7" x14ac:dyDescent="0.25">
      <c r="A994" s="61"/>
      <c r="B994" s="67"/>
      <c r="C994" s="67"/>
      <c r="D994" s="61"/>
      <c r="E994" s="35" t="str">
        <f t="shared" si="53"/>
        <v/>
      </c>
      <c r="F994" s="35" t="str">
        <f t="shared" si="54"/>
        <v/>
      </c>
      <c r="G994" s="58" t="str">
        <f t="shared" si="55"/>
        <v/>
      </c>
    </row>
    <row r="995" spans="1:7" x14ac:dyDescent="0.25">
      <c r="A995" s="61"/>
      <c r="B995" s="67"/>
      <c r="C995" s="67"/>
      <c r="D995" s="61"/>
      <c r="E995" s="35" t="str">
        <f t="shared" si="53"/>
        <v/>
      </c>
      <c r="F995" s="35" t="str">
        <f t="shared" si="54"/>
        <v/>
      </c>
      <c r="G995" s="58" t="str">
        <f t="shared" si="55"/>
        <v/>
      </c>
    </row>
    <row r="996" spans="1:7" x14ac:dyDescent="0.25">
      <c r="A996" s="61"/>
      <c r="B996" s="67"/>
      <c r="C996" s="67"/>
      <c r="D996" s="61"/>
      <c r="E996" s="35" t="str">
        <f t="shared" si="53"/>
        <v/>
      </c>
      <c r="F996" s="35" t="str">
        <f t="shared" si="54"/>
        <v/>
      </c>
      <c r="G996" s="58" t="str">
        <f t="shared" si="55"/>
        <v/>
      </c>
    </row>
    <row r="997" spans="1:7" x14ac:dyDescent="0.25">
      <c r="A997" s="61"/>
      <c r="B997" s="67"/>
      <c r="C997" s="67"/>
      <c r="D997" s="61"/>
      <c r="E997" s="35" t="str">
        <f t="shared" si="53"/>
        <v/>
      </c>
      <c r="F997" s="35" t="str">
        <f t="shared" si="54"/>
        <v/>
      </c>
      <c r="G997" s="58" t="str">
        <f t="shared" si="55"/>
        <v/>
      </c>
    </row>
    <row r="998" spans="1:7" x14ac:dyDescent="0.25">
      <c r="A998" s="61"/>
      <c r="B998" s="67"/>
      <c r="C998" s="67"/>
      <c r="D998" s="61"/>
      <c r="E998" s="35" t="str">
        <f t="shared" si="53"/>
        <v/>
      </c>
      <c r="F998" s="35" t="str">
        <f t="shared" si="54"/>
        <v/>
      </c>
      <c r="G998" s="58" t="str">
        <f t="shared" si="55"/>
        <v/>
      </c>
    </row>
    <row r="999" spans="1:7" x14ac:dyDescent="0.25">
      <c r="A999" s="61"/>
      <c r="B999" s="67"/>
      <c r="C999" s="67"/>
      <c r="D999" s="61"/>
      <c r="E999" s="35" t="str">
        <f t="shared" si="53"/>
        <v/>
      </c>
      <c r="F999" s="35" t="str">
        <f t="shared" si="54"/>
        <v/>
      </c>
      <c r="G999" s="58" t="str">
        <f t="shared" si="55"/>
        <v/>
      </c>
    </row>
    <row r="1000" spans="1:7" x14ac:dyDescent="0.25">
      <c r="A1000" s="61"/>
      <c r="B1000" s="67"/>
      <c r="C1000" s="67"/>
      <c r="D1000" s="61"/>
      <c r="E1000" s="35" t="str">
        <f t="shared" si="53"/>
        <v/>
      </c>
      <c r="F1000" s="35" t="str">
        <f t="shared" si="54"/>
        <v/>
      </c>
      <c r="G1000" s="58" t="str">
        <f t="shared" si="55"/>
        <v/>
      </c>
    </row>
    <row r="1001" spans="1:7" x14ac:dyDescent="0.25">
      <c r="A1001" s="61"/>
      <c r="B1001" s="67"/>
      <c r="C1001" s="67"/>
      <c r="D1001" s="61"/>
      <c r="E1001" s="35" t="str">
        <f t="shared" si="53"/>
        <v/>
      </c>
      <c r="F1001" s="35" t="str">
        <f t="shared" si="54"/>
        <v/>
      </c>
      <c r="G1001" s="58" t="str">
        <f t="shared" si="55"/>
        <v/>
      </c>
    </row>
    <row r="1002" spans="1:7" x14ac:dyDescent="0.25">
      <c r="A1002" s="61"/>
      <c r="B1002" s="67"/>
      <c r="C1002" s="67"/>
      <c r="D1002" s="61"/>
      <c r="E1002" s="35" t="str">
        <f t="shared" si="53"/>
        <v/>
      </c>
      <c r="F1002" s="35" t="str">
        <f t="shared" si="54"/>
        <v/>
      </c>
      <c r="G1002" s="58" t="str">
        <f t="shared" si="55"/>
        <v/>
      </c>
    </row>
    <row r="1003" spans="1:7" x14ac:dyDescent="0.25">
      <c r="A1003" s="61"/>
      <c r="B1003" s="67"/>
      <c r="C1003" s="67"/>
      <c r="D1003" s="61"/>
      <c r="E1003" s="35" t="str">
        <f t="shared" si="53"/>
        <v/>
      </c>
      <c r="F1003" s="35" t="str">
        <f t="shared" si="54"/>
        <v/>
      </c>
      <c r="G1003" s="58" t="str">
        <f t="shared" si="55"/>
        <v/>
      </c>
    </row>
    <row r="1004" spans="1:7" x14ac:dyDescent="0.25">
      <c r="A1004" s="61"/>
      <c r="B1004" s="67"/>
      <c r="C1004" s="67"/>
      <c r="D1004" s="61"/>
      <c r="E1004" s="35" t="str">
        <f t="shared" si="53"/>
        <v/>
      </c>
      <c r="F1004" s="35" t="str">
        <f t="shared" si="54"/>
        <v/>
      </c>
      <c r="G1004" s="58" t="str">
        <f t="shared" si="55"/>
        <v/>
      </c>
    </row>
    <row r="1005" spans="1:7" x14ac:dyDescent="0.25">
      <c r="A1005" s="61"/>
      <c r="B1005" s="67"/>
      <c r="C1005" s="67"/>
      <c r="D1005" s="61"/>
      <c r="E1005" s="35" t="str">
        <f t="shared" si="53"/>
        <v/>
      </c>
      <c r="F1005" s="35" t="str">
        <f t="shared" si="54"/>
        <v/>
      </c>
      <c r="G1005" s="58" t="str">
        <f t="shared" si="55"/>
        <v/>
      </c>
    </row>
    <row r="1006" spans="1:7" x14ac:dyDescent="0.25">
      <c r="A1006" s="61"/>
      <c r="B1006" s="67"/>
      <c r="C1006" s="67"/>
      <c r="D1006" s="61"/>
      <c r="E1006" s="35" t="str">
        <f t="shared" si="53"/>
        <v/>
      </c>
      <c r="F1006" s="35" t="str">
        <f t="shared" si="54"/>
        <v/>
      </c>
      <c r="G1006" s="58" t="str">
        <f t="shared" si="55"/>
        <v/>
      </c>
    </row>
    <row r="1007" spans="1:7" x14ac:dyDescent="0.25">
      <c r="A1007" s="61"/>
      <c r="B1007" s="67"/>
      <c r="C1007" s="67"/>
      <c r="D1007" s="61"/>
      <c r="E1007" s="35" t="str">
        <f t="shared" si="53"/>
        <v/>
      </c>
      <c r="F1007" s="35" t="str">
        <f t="shared" si="54"/>
        <v/>
      </c>
      <c r="G1007" s="58" t="str">
        <f t="shared" si="55"/>
        <v/>
      </c>
    </row>
    <row r="1008" spans="1:7" x14ac:dyDescent="0.25">
      <c r="A1008" s="61"/>
      <c r="B1008" s="67"/>
      <c r="C1008" s="67"/>
      <c r="D1008" s="61"/>
      <c r="E1008" s="35" t="str">
        <f t="shared" si="53"/>
        <v/>
      </c>
      <c r="F1008" s="35" t="str">
        <f t="shared" si="54"/>
        <v/>
      </c>
      <c r="G1008" s="58" t="str">
        <f t="shared" si="55"/>
        <v/>
      </c>
    </row>
    <row r="1009" spans="1:7" x14ac:dyDescent="0.25">
      <c r="A1009" s="61"/>
      <c r="B1009" s="67"/>
      <c r="C1009" s="67"/>
      <c r="D1009" s="61"/>
      <c r="E1009" s="35" t="str">
        <f t="shared" si="53"/>
        <v/>
      </c>
      <c r="F1009" s="35" t="str">
        <f t="shared" si="54"/>
        <v/>
      </c>
      <c r="G1009" s="58" t="str">
        <f t="shared" si="55"/>
        <v/>
      </c>
    </row>
    <row r="1010" spans="1:7" x14ac:dyDescent="0.25">
      <c r="A1010" s="61"/>
      <c r="B1010" s="67"/>
      <c r="C1010" s="67"/>
      <c r="D1010" s="61"/>
      <c r="E1010" s="35" t="str">
        <f t="shared" si="53"/>
        <v/>
      </c>
      <c r="F1010" s="35" t="str">
        <f t="shared" si="54"/>
        <v/>
      </c>
      <c r="G1010" s="58" t="str">
        <f t="shared" si="55"/>
        <v/>
      </c>
    </row>
    <row r="1011" spans="1:7" x14ac:dyDescent="0.25">
      <c r="A1011" s="61"/>
      <c r="B1011" s="67"/>
      <c r="C1011" s="67"/>
      <c r="D1011" s="61"/>
      <c r="E1011" s="35" t="str">
        <f t="shared" si="53"/>
        <v/>
      </c>
      <c r="F1011" s="35" t="str">
        <f t="shared" si="54"/>
        <v/>
      </c>
      <c r="G1011" s="58" t="str">
        <f t="shared" si="55"/>
        <v/>
      </c>
    </row>
    <row r="1012" spans="1:7" x14ac:dyDescent="0.25">
      <c r="A1012" s="61"/>
      <c r="B1012" s="67"/>
      <c r="C1012" s="67"/>
      <c r="D1012" s="61"/>
      <c r="E1012" s="35" t="str">
        <f t="shared" si="53"/>
        <v/>
      </c>
      <c r="F1012" s="35" t="str">
        <f t="shared" si="54"/>
        <v/>
      </c>
      <c r="G1012" s="58" t="str">
        <f t="shared" si="55"/>
        <v/>
      </c>
    </row>
    <row r="1013" spans="1:7" x14ac:dyDescent="0.25">
      <c r="A1013" s="61"/>
      <c r="B1013" s="67"/>
      <c r="C1013" s="67"/>
      <c r="D1013" s="61"/>
      <c r="E1013" s="35" t="str">
        <f t="shared" si="53"/>
        <v/>
      </c>
      <c r="F1013" s="35" t="str">
        <f t="shared" si="54"/>
        <v/>
      </c>
      <c r="G1013" s="58" t="str">
        <f t="shared" si="55"/>
        <v/>
      </c>
    </row>
    <row r="1014" spans="1:7" x14ac:dyDescent="0.25">
      <c r="A1014" s="61"/>
      <c r="B1014" s="67"/>
      <c r="C1014" s="67"/>
      <c r="D1014" s="61"/>
      <c r="E1014" s="35" t="str">
        <f t="shared" si="53"/>
        <v/>
      </c>
      <c r="F1014" s="35" t="str">
        <f t="shared" si="54"/>
        <v/>
      </c>
      <c r="G1014" s="58" t="str">
        <f t="shared" si="55"/>
        <v/>
      </c>
    </row>
    <row r="1015" spans="1:7" x14ac:dyDescent="0.25">
      <c r="A1015" s="61"/>
      <c r="B1015" s="67"/>
      <c r="C1015" s="67"/>
      <c r="D1015" s="61"/>
      <c r="E1015" s="35" t="str">
        <f t="shared" si="53"/>
        <v/>
      </c>
      <c r="F1015" s="35" t="str">
        <f t="shared" si="54"/>
        <v/>
      </c>
      <c r="G1015" s="58" t="str">
        <f t="shared" si="55"/>
        <v/>
      </c>
    </row>
    <row r="1016" spans="1:7" x14ac:dyDescent="0.25">
      <c r="A1016" s="61"/>
      <c r="B1016" s="67"/>
      <c r="C1016" s="67"/>
      <c r="D1016" s="61"/>
      <c r="E1016" s="35" t="str">
        <f t="shared" si="53"/>
        <v/>
      </c>
      <c r="F1016" s="35" t="str">
        <f t="shared" si="54"/>
        <v/>
      </c>
      <c r="G1016" s="58" t="str">
        <f t="shared" si="55"/>
        <v/>
      </c>
    </row>
    <row r="1017" spans="1:7" x14ac:dyDescent="0.25">
      <c r="A1017" s="61"/>
      <c r="B1017" s="67"/>
      <c r="C1017" s="67"/>
      <c r="D1017" s="61"/>
      <c r="E1017" s="35" t="str">
        <f t="shared" si="53"/>
        <v/>
      </c>
      <c r="F1017" s="35" t="str">
        <f t="shared" si="54"/>
        <v/>
      </c>
      <c r="G1017" s="58" t="str">
        <f t="shared" si="55"/>
        <v/>
      </c>
    </row>
    <row r="1018" spans="1:7" x14ac:dyDescent="0.25">
      <c r="A1018" s="61"/>
      <c r="B1018" s="67"/>
      <c r="C1018" s="67"/>
      <c r="D1018" s="61"/>
      <c r="E1018" s="35" t="str">
        <f t="shared" si="53"/>
        <v/>
      </c>
      <c r="F1018" s="35" t="str">
        <f t="shared" si="54"/>
        <v/>
      </c>
      <c r="G1018" s="58" t="str">
        <f t="shared" si="55"/>
        <v/>
      </c>
    </row>
    <row r="1019" spans="1:7" x14ac:dyDescent="0.25">
      <c r="A1019" s="61"/>
      <c r="B1019" s="67"/>
      <c r="C1019" s="67"/>
      <c r="D1019" s="61"/>
      <c r="E1019" s="35" t="str">
        <f t="shared" si="53"/>
        <v/>
      </c>
      <c r="F1019" s="35" t="str">
        <f t="shared" si="54"/>
        <v/>
      </c>
      <c r="G1019" s="58" t="str">
        <f t="shared" si="55"/>
        <v/>
      </c>
    </row>
    <row r="1020" spans="1:7" x14ac:dyDescent="0.25">
      <c r="A1020" s="61"/>
      <c r="B1020" s="67"/>
      <c r="C1020" s="67"/>
      <c r="D1020" s="61"/>
      <c r="E1020" s="35" t="str">
        <f t="shared" si="53"/>
        <v/>
      </c>
      <c r="F1020" s="35" t="str">
        <f t="shared" si="54"/>
        <v/>
      </c>
      <c r="G1020" s="58" t="str">
        <f t="shared" si="55"/>
        <v/>
      </c>
    </row>
    <row r="1021" spans="1:7" x14ac:dyDescent="0.25">
      <c r="A1021" s="61"/>
      <c r="B1021" s="67"/>
      <c r="C1021" s="67"/>
      <c r="D1021" s="61"/>
      <c r="E1021" s="35" t="str">
        <f t="shared" si="53"/>
        <v/>
      </c>
      <c r="F1021" s="35" t="str">
        <f t="shared" si="54"/>
        <v/>
      </c>
      <c r="G1021" s="58" t="str">
        <f t="shared" si="55"/>
        <v/>
      </c>
    </row>
    <row r="1022" spans="1:7" x14ac:dyDescent="0.25">
      <c r="A1022" s="61"/>
      <c r="B1022" s="67"/>
      <c r="C1022" s="67"/>
      <c r="D1022" s="61"/>
      <c r="E1022" s="35" t="str">
        <f t="shared" si="53"/>
        <v/>
      </c>
      <c r="F1022" s="35" t="str">
        <f t="shared" si="54"/>
        <v/>
      </c>
      <c r="G1022" s="58" t="str">
        <f t="shared" si="55"/>
        <v/>
      </c>
    </row>
    <row r="1023" spans="1:7" x14ac:dyDescent="0.25">
      <c r="A1023" s="61"/>
      <c r="B1023" s="67"/>
      <c r="C1023" s="67"/>
      <c r="D1023" s="61"/>
      <c r="E1023" s="35" t="str">
        <f t="shared" si="53"/>
        <v/>
      </c>
      <c r="F1023" s="35" t="str">
        <f t="shared" si="54"/>
        <v/>
      </c>
      <c r="G1023" s="58" t="str">
        <f t="shared" si="55"/>
        <v/>
      </c>
    </row>
    <row r="1024" spans="1:7" x14ac:dyDescent="0.25">
      <c r="A1024" s="61"/>
      <c r="B1024" s="67"/>
      <c r="C1024" s="67"/>
      <c r="D1024" s="61"/>
      <c r="E1024" s="35" t="str">
        <f t="shared" si="53"/>
        <v/>
      </c>
      <c r="F1024" s="35" t="str">
        <f t="shared" si="54"/>
        <v/>
      </c>
      <c r="G1024" s="58" t="str">
        <f t="shared" si="55"/>
        <v/>
      </c>
    </row>
    <row r="1025" spans="1:7" x14ac:dyDescent="0.25">
      <c r="A1025" s="61"/>
      <c r="B1025" s="67"/>
      <c r="C1025" s="67"/>
      <c r="D1025" s="61"/>
      <c r="E1025" s="35" t="str">
        <f t="shared" si="53"/>
        <v/>
      </c>
      <c r="F1025" s="35" t="str">
        <f t="shared" si="54"/>
        <v/>
      </c>
      <c r="G1025" s="58" t="str">
        <f t="shared" si="55"/>
        <v/>
      </c>
    </row>
    <row r="1026" spans="1:7" x14ac:dyDescent="0.25">
      <c r="A1026" s="61"/>
      <c r="B1026" s="67"/>
      <c r="C1026" s="67"/>
      <c r="D1026" s="61"/>
      <c r="E1026" s="35" t="str">
        <f t="shared" si="53"/>
        <v/>
      </c>
      <c r="F1026" s="35" t="str">
        <f t="shared" si="54"/>
        <v/>
      </c>
      <c r="G1026" s="58" t="str">
        <f t="shared" si="55"/>
        <v/>
      </c>
    </row>
    <row r="1027" spans="1:7" x14ac:dyDescent="0.25">
      <c r="A1027" s="61"/>
      <c r="B1027" s="67"/>
      <c r="C1027" s="67"/>
      <c r="D1027" s="61"/>
      <c r="E1027" s="35" t="str">
        <f t="shared" ref="E1027:E1033" si="56">IF(B1027&lt;&gt;"",(H1027+D1027)*COS(RADIANS(HMSTOHDD(B1027)))*COS(RADIANS(HMSTOHDD(-C1027))),"")</f>
        <v/>
      </c>
      <c r="F1027" s="35" t="str">
        <f t="shared" ref="F1027:F1033" si="57">IF(B1027&lt;&gt;"",(H1027+D1027)*COS(RADIANS(HMSTOHDD(B1027)))*SIN(RADIANS(HMSTOHDD(-C1027))),"")</f>
        <v/>
      </c>
      <c r="G1027" s="58" t="str">
        <f t="shared" si="55"/>
        <v/>
      </c>
    </row>
    <row r="1028" spans="1:7" x14ac:dyDescent="0.25">
      <c r="A1028" s="61"/>
      <c r="B1028" s="67"/>
      <c r="C1028" s="67"/>
      <c r="D1028" s="61"/>
      <c r="E1028" s="35" t="str">
        <f t="shared" si="56"/>
        <v/>
      </c>
      <c r="F1028" s="35" t="str">
        <f t="shared" si="57"/>
        <v/>
      </c>
      <c r="G1028" s="58" t="str">
        <f t="shared" ref="G1028:G1033" si="58">IF(B1028&lt;&gt;"",SIN(RADIANS(HMSTOHDD(B1028)))*(H1028*(1-$M$4)+D1028),"")</f>
        <v/>
      </c>
    </row>
    <row r="1029" spans="1:7" x14ac:dyDescent="0.25">
      <c r="A1029" s="61"/>
      <c r="B1029" s="67"/>
      <c r="C1029" s="67"/>
      <c r="D1029" s="61"/>
      <c r="E1029" s="35" t="str">
        <f t="shared" si="56"/>
        <v/>
      </c>
      <c r="F1029" s="35" t="str">
        <f t="shared" si="57"/>
        <v/>
      </c>
      <c r="G1029" s="58" t="str">
        <f t="shared" si="58"/>
        <v/>
      </c>
    </row>
    <row r="1030" spans="1:7" x14ac:dyDescent="0.25">
      <c r="A1030" s="61"/>
      <c r="B1030" s="67"/>
      <c r="C1030" s="67"/>
      <c r="D1030" s="61"/>
      <c r="E1030" s="35" t="str">
        <f t="shared" si="56"/>
        <v/>
      </c>
      <c r="F1030" s="35" t="str">
        <f t="shared" si="57"/>
        <v/>
      </c>
      <c r="G1030" s="58" t="str">
        <f t="shared" si="58"/>
        <v/>
      </c>
    </row>
    <row r="1031" spans="1:7" x14ac:dyDescent="0.25">
      <c r="A1031" s="61"/>
      <c r="B1031" s="67"/>
      <c r="C1031" s="67"/>
      <c r="D1031" s="61"/>
      <c r="E1031" s="35" t="str">
        <f t="shared" si="56"/>
        <v/>
      </c>
      <c r="F1031" s="35" t="str">
        <f t="shared" si="57"/>
        <v/>
      </c>
      <c r="G1031" s="58" t="str">
        <f t="shared" si="58"/>
        <v/>
      </c>
    </row>
    <row r="1032" spans="1:7" x14ac:dyDescent="0.25">
      <c r="A1032" s="61"/>
      <c r="B1032" s="67"/>
      <c r="C1032" s="67"/>
      <c r="D1032" s="61"/>
      <c r="E1032" s="35" t="str">
        <f t="shared" si="56"/>
        <v/>
      </c>
      <c r="F1032" s="35" t="str">
        <f t="shared" si="57"/>
        <v/>
      </c>
      <c r="G1032" s="58" t="str">
        <f t="shared" si="58"/>
        <v/>
      </c>
    </row>
    <row r="1033" spans="1:7" x14ac:dyDescent="0.25">
      <c r="A1033" s="61"/>
      <c r="B1033" s="67"/>
      <c r="C1033" s="67"/>
      <c r="D1033" s="61"/>
      <c r="E1033" s="35" t="str">
        <f t="shared" si="56"/>
        <v/>
      </c>
      <c r="F1033" s="35" t="str">
        <f t="shared" si="57"/>
        <v/>
      </c>
      <c r="G1033" s="58" t="str">
        <f t="shared" si="58"/>
        <v/>
      </c>
    </row>
  </sheetData>
  <mergeCells count="2">
    <mergeCell ref="A1:G1"/>
    <mergeCell ref="L1:N1"/>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A562FC-71F2-4E40-BD75-0628D755998F}">
  <sheetPr codeName="Sheet5"/>
  <dimension ref="A1:O1046"/>
  <sheetViews>
    <sheetView topLeftCell="B1" workbookViewId="0">
      <selection activeCell="Q15" sqref="Q15"/>
    </sheetView>
  </sheetViews>
  <sheetFormatPr defaultRowHeight="15" x14ac:dyDescent="0.25"/>
  <cols>
    <col min="1" max="1" width="14.85546875" style="17" customWidth="1"/>
    <col min="2" max="2" width="16.85546875" style="36" customWidth="1"/>
    <col min="3" max="3" width="18.28515625" style="36" customWidth="1"/>
    <col min="4" max="4" width="17.85546875" style="36" customWidth="1"/>
    <col min="5" max="5" width="22.5703125" style="55" customWidth="1"/>
    <col min="6" max="6" width="25.28515625" style="55" customWidth="1"/>
    <col min="7" max="7" width="18" style="36" customWidth="1"/>
    <col min="8" max="8" width="8.5703125" style="17" customWidth="1"/>
    <col min="9" max="9" width="16.7109375" style="17" hidden="1" customWidth="1"/>
    <col min="10" max="10" width="18" style="17" hidden="1" customWidth="1"/>
    <col min="11" max="11" width="0" style="17" hidden="1" customWidth="1"/>
    <col min="14" max="14" width="18.7109375" style="87" customWidth="1"/>
    <col min="15" max="15" width="3.7109375" style="85" customWidth="1"/>
  </cols>
  <sheetData>
    <row r="1" spans="1:15" ht="18.75" x14ac:dyDescent="0.3">
      <c r="A1" s="100" t="s">
        <v>63</v>
      </c>
      <c r="B1" s="101"/>
      <c r="C1" s="101"/>
      <c r="D1" s="101"/>
      <c r="E1" s="101"/>
      <c r="F1" s="101"/>
      <c r="G1" s="102"/>
      <c r="M1" s="103" t="s">
        <v>57</v>
      </c>
      <c r="N1" s="104"/>
      <c r="O1" s="105"/>
    </row>
    <row r="2" spans="1:15" ht="15.75" x14ac:dyDescent="0.25">
      <c r="A2" s="48" t="s">
        <v>0</v>
      </c>
      <c r="B2" s="56" t="s">
        <v>49</v>
      </c>
      <c r="C2" s="56" t="s">
        <v>50</v>
      </c>
      <c r="D2" s="56" t="s">
        <v>64</v>
      </c>
      <c r="E2" s="52" t="s">
        <v>54</v>
      </c>
      <c r="F2" s="52" t="s">
        <v>55</v>
      </c>
      <c r="G2" s="57" t="s">
        <v>65</v>
      </c>
      <c r="H2" s="60"/>
      <c r="M2" s="49" t="s">
        <v>58</v>
      </c>
      <c r="N2" s="86">
        <v>20925646.329999998</v>
      </c>
      <c r="O2" s="84" t="s">
        <v>62</v>
      </c>
    </row>
    <row r="3" spans="1:15" ht="15.75" x14ac:dyDescent="0.25">
      <c r="A3" s="66" t="s">
        <v>66</v>
      </c>
      <c r="B3" s="69">
        <v>-6931362.013062655</v>
      </c>
      <c r="C3" s="69">
        <v>-13003511.183151955</v>
      </c>
      <c r="D3" s="69">
        <v>14811551.868291775</v>
      </c>
      <c r="E3" s="53">
        <f>IF(B3&lt;&gt;"",hddtohms(getlatitude(B3,C3,D3)),"")</f>
        <v>45.202349283046836</v>
      </c>
      <c r="F3" s="53">
        <f>IF(B3&lt;&gt;"",hddtohms(-GetLongitude(B3,C3,D3)),"")</f>
        <v>118.03334762880499</v>
      </c>
      <c r="G3" s="58">
        <f>IF(B3&lt;&gt;"",GetHeight(B3,C3,D3),"")</f>
        <v>2695.3244586990986</v>
      </c>
      <c r="M3" s="49" t="s">
        <v>59</v>
      </c>
      <c r="N3" s="88">
        <v>298.25722210088202</v>
      </c>
      <c r="O3" s="84"/>
    </row>
    <row r="4" spans="1:15" x14ac:dyDescent="0.25">
      <c r="A4" s="66" t="s">
        <v>67</v>
      </c>
      <c r="B4" s="69">
        <v>-6906486.2868798831</v>
      </c>
      <c r="C4" s="69">
        <v>-13003677.240769053</v>
      </c>
      <c r="D4" s="69">
        <v>14822928.581429329</v>
      </c>
      <c r="E4" s="53">
        <f>IF(B4&lt;&gt;"",hddtohms(getlatitude(B4,C4,D4)),"")</f>
        <v>45.230345180904024</v>
      </c>
      <c r="F4" s="53">
        <f>IF(B4&lt;&gt;"",hddtohms(-GetLongitude(B4,C4,D4)),"")</f>
        <v>117.58248630898427</v>
      </c>
      <c r="G4" s="58">
        <f t="shared" ref="G4:G67" si="0">IF(B4&lt;&gt;"",GetHeight(B4,C4,D4),"")</f>
        <v>2683.566862914</v>
      </c>
      <c r="M4" s="51" t="s">
        <v>61</v>
      </c>
      <c r="N4" s="89">
        <f>(1/N3)*(2-1/N3)</f>
        <v>6.6943800229034324E-3</v>
      </c>
      <c r="O4" s="84"/>
    </row>
    <row r="5" spans="1:15" x14ac:dyDescent="0.25">
      <c r="A5" s="66" t="s">
        <v>68</v>
      </c>
      <c r="B5" s="69">
        <v>-6874342.1791458465</v>
      </c>
      <c r="C5" s="69">
        <v>-13045467.378603211</v>
      </c>
      <c r="D5" s="69">
        <v>14801966.874807103</v>
      </c>
      <c r="E5" s="53">
        <f>IF(B5&lt;&gt;"",hddtohms(getlatitude(B5,C5,D5)),"")</f>
        <v>45.180417216365022</v>
      </c>
      <c r="F5" s="53">
        <f>IF(B5&lt;&gt;"",hddtohms(-GetLongitude(B5,C5,D5)),"")</f>
        <v>117.47135684300514</v>
      </c>
      <c r="G5" s="58">
        <f t="shared" si="0"/>
        <v>3171.3526011227514</v>
      </c>
    </row>
    <row r="6" spans="1:15" x14ac:dyDescent="0.25">
      <c r="A6" s="66" t="s">
        <v>69</v>
      </c>
      <c r="B6" s="69">
        <v>-6895514.2432305003</v>
      </c>
      <c r="C6" s="69">
        <v>-12986056.509495672</v>
      </c>
      <c r="D6" s="69">
        <v>14843336.035618028</v>
      </c>
      <c r="E6" s="53">
        <f>IF(B6&lt;&gt;"",hddtohms(getlatitude(B6,C6,D6)),"")</f>
        <v>45.275046263300567</v>
      </c>
      <c r="F6" s="53">
        <f>IF(B6&lt;&gt;"",hddtohms(-GetLongitude(B6,C6,D6)),"")</f>
        <v>117.58048744400193</v>
      </c>
      <c r="G6" s="58">
        <f t="shared" si="0"/>
        <v>2685.9118896814653</v>
      </c>
    </row>
    <row r="7" spans="1:15" x14ac:dyDescent="0.25">
      <c r="A7" s="66" t="s">
        <v>70</v>
      </c>
      <c r="B7" s="69">
        <v>-6873938.2974749543</v>
      </c>
      <c r="C7" s="69">
        <v>-13112730.727303939</v>
      </c>
      <c r="D7" s="69">
        <v>14743766.048523366</v>
      </c>
      <c r="E7" s="53">
        <f>IF(B7&lt;&gt;"",hddtohms(getlatitude(B7,C7,D7)),"")</f>
        <v>45.042358335244479</v>
      </c>
      <c r="F7" s="53">
        <f>IF(B7&lt;&gt;"",hddtohms(-GetLongitude(B7,C7,D7)),"")</f>
        <v>117.3951723163697</v>
      </c>
      <c r="G7" s="58">
        <f t="shared" si="0"/>
        <v>3714.2251378412202</v>
      </c>
    </row>
    <row r="8" spans="1:15" x14ac:dyDescent="0.25">
      <c r="A8" s="66" t="s">
        <v>71</v>
      </c>
      <c r="B8" s="69">
        <v>-6952434.7470748639</v>
      </c>
      <c r="C8" s="69">
        <v>-12990405.705675526</v>
      </c>
      <c r="D8" s="69">
        <v>14813350.150617566</v>
      </c>
      <c r="E8" s="53">
        <f>IF(B8&lt;&gt;"",hddtohms(getlatitude(B8,C8,D8)),"")</f>
        <v>45.20474299960884</v>
      </c>
      <c r="F8" s="53">
        <f>IF(B8&lt;&gt;"",hddtohms(-GetLongitude(B8,C8,D8)),"")</f>
        <v>118.09201075434389</v>
      </c>
      <c r="G8" s="58">
        <f t="shared" si="0"/>
        <v>2827.451199026038</v>
      </c>
    </row>
    <row r="9" spans="1:15" x14ac:dyDescent="0.25">
      <c r="A9" s="66" t="s">
        <v>72</v>
      </c>
      <c r="B9" s="69">
        <v>-6940119.6308636647</v>
      </c>
      <c r="C9" s="69">
        <v>-13092146.367480902</v>
      </c>
      <c r="D9" s="69">
        <v>14730434.33904057</v>
      </c>
      <c r="E9" s="53">
        <f>IF(B9&lt;&gt;"",hddtohms(getlatitude(B9,C9,D9)),"")</f>
        <v>45.012220007093354</v>
      </c>
      <c r="F9" s="53">
        <f>IF(B9&lt;&gt;"",hddtohms(-GetLongitude(B9,C9,D9)),"")</f>
        <v>117.55406914056751</v>
      </c>
      <c r="G9" s="58">
        <f t="shared" si="0"/>
        <v>3218.9276723976254</v>
      </c>
    </row>
    <row r="10" spans="1:15" x14ac:dyDescent="0.25">
      <c r="A10" s="66" t="s">
        <v>73</v>
      </c>
      <c r="B10" s="69">
        <v>-6951817.1773979971</v>
      </c>
      <c r="C10" s="69">
        <v>-12987789.098489234</v>
      </c>
      <c r="D10" s="69">
        <v>14817415.284067739</v>
      </c>
      <c r="E10" s="53">
        <f>IF(B10&lt;&gt;"",hddtohms(getlatitude(B10,C10,D10)),"")</f>
        <v>45.21338786329791</v>
      </c>
      <c r="F10" s="53">
        <f>IF(B10&lt;&gt;"",hddtohms(-GetLongitude(B10,C10,D10)),"")</f>
        <v>118.09297715991175</v>
      </c>
      <c r="G10" s="58">
        <f t="shared" si="0"/>
        <v>3893.6106007059825</v>
      </c>
    </row>
    <row r="11" spans="1:15" x14ac:dyDescent="0.25">
      <c r="A11" s="66" t="s">
        <v>74</v>
      </c>
      <c r="B11" s="69">
        <v>-6900980.6404434331</v>
      </c>
      <c r="C11" s="69">
        <v>-12976673.500798084</v>
      </c>
      <c r="D11" s="69">
        <v>14848903.333329085</v>
      </c>
      <c r="E11" s="53">
        <f>IF(B11&lt;&gt;"",hddtohms(getlatitude(B11,C11,D11)),"")</f>
        <v>45.290926172000965</v>
      </c>
      <c r="F11" s="53">
        <f>IF(B11&lt;&gt;"",hddtohms(-GetLongitude(B11,C11,D11)),"")</f>
        <v>118.00143856155421</v>
      </c>
      <c r="G11" s="58">
        <f t="shared" si="0"/>
        <v>2643.650627152856</v>
      </c>
    </row>
    <row r="12" spans="1:15" x14ac:dyDescent="0.25">
      <c r="A12" s="66" t="s">
        <v>75</v>
      </c>
      <c r="B12" s="69">
        <v>-6901238.4655598765</v>
      </c>
      <c r="C12" s="69">
        <v>-13058153.570076486</v>
      </c>
      <c r="D12" s="69">
        <v>14777892.259493042</v>
      </c>
      <c r="E12" s="53">
        <f>IF(B12&lt;&gt;"",hddtohms(getlatitude(B12,C12,D12)),"")</f>
        <v>45.123018871307941</v>
      </c>
      <c r="F12" s="53">
        <f>IF(B12&lt;&gt;"",hddtohms(-GetLongitude(B12,C12,D12)),"")</f>
        <v>117.5123279481336</v>
      </c>
      <c r="G12" s="58">
        <f t="shared" si="0"/>
        <v>2807.5179636398807</v>
      </c>
    </row>
    <row r="13" spans="1:15" x14ac:dyDescent="0.25">
      <c r="A13" s="66" t="s">
        <v>76</v>
      </c>
      <c r="B13" s="69">
        <v>-6782426.2114141556</v>
      </c>
      <c r="C13" s="69">
        <v>-13012452.696714962</v>
      </c>
      <c r="D13" s="69">
        <v>14872346.596648334</v>
      </c>
      <c r="E13" s="53">
        <f>IF(B13&lt;&gt;"",hddtohms(getlatitude(B13,C13,D13)),"")</f>
        <v>45.343743403111013</v>
      </c>
      <c r="F13" s="53">
        <f>IF(B13&lt;&gt;"",hddtohms(-GetLongitude(B13,C13,D13)),"")</f>
        <v>117.3146879243407</v>
      </c>
      <c r="G13" s="58">
        <f t="shared" si="0"/>
        <v>2860.6841687585711</v>
      </c>
    </row>
    <row r="14" spans="1:15" x14ac:dyDescent="0.25">
      <c r="A14" s="66">
        <v>9201</v>
      </c>
      <c r="B14" s="69">
        <v>-6879405.7664489439</v>
      </c>
      <c r="C14" s="69">
        <v>-12966405.16026441</v>
      </c>
      <c r="D14" s="69">
        <v>14868453.468724648</v>
      </c>
      <c r="E14" s="53">
        <f>IF(B14&lt;&gt;"",hddtohms(getlatitude(B14,C14,D14)),"")</f>
        <v>45.333963401416483</v>
      </c>
      <c r="F14" s="53">
        <f>IF(B14&lt;&gt;"",hddtohms(-GetLongitude(B14,C14,D14)),"")</f>
        <v>117.56544569278189</v>
      </c>
      <c r="G14" s="58">
        <f t="shared" si="0"/>
        <v>3149.0537551197249</v>
      </c>
    </row>
    <row r="15" spans="1:15" x14ac:dyDescent="0.25">
      <c r="A15" s="66">
        <v>9203</v>
      </c>
      <c r="B15" s="69">
        <v>-6874256.4628931778</v>
      </c>
      <c r="C15" s="69">
        <v>-12965398.222548712</v>
      </c>
      <c r="D15" s="69">
        <v>14871061.179346919</v>
      </c>
      <c r="E15" s="53">
        <f>IF(B15&lt;&gt;"",hddtohms(getlatitude(B15,C15,D15)),"")</f>
        <v>45.342093222315462</v>
      </c>
      <c r="F15" s="53">
        <f>IF(B15&lt;&gt;"",hddtohms(-GetLongitude(B15,C15,D15)),"")</f>
        <v>117.55571554158023</v>
      </c>
      <c r="G15" s="58">
        <f t="shared" si="0"/>
        <v>2699.2703515300418</v>
      </c>
    </row>
    <row r="16" spans="1:15" x14ac:dyDescent="0.25">
      <c r="A16" s="66">
        <v>9204</v>
      </c>
      <c r="B16" s="69">
        <v>-6871889.0474704588</v>
      </c>
      <c r="C16" s="69">
        <v>-12966646.028180374</v>
      </c>
      <c r="D16" s="69">
        <v>14871036.543537287</v>
      </c>
      <c r="E16" s="53">
        <f>IF(B16&lt;&gt;"",hddtohms(getlatitude(B16,C16,D16)),"")</f>
        <v>45.342080634762937</v>
      </c>
      <c r="F16" s="53">
        <f>IF(B16&lt;&gt;"",hddtohms(-GetLongitude(B16,C16,D16)),"")</f>
        <v>117.55195412121222</v>
      </c>
      <c r="G16" s="58">
        <f t="shared" si="0"/>
        <v>2677.2722171346741</v>
      </c>
    </row>
    <row r="17" spans="1:7" x14ac:dyDescent="0.25">
      <c r="A17" s="66">
        <v>9205</v>
      </c>
      <c r="B17" s="69">
        <v>-6881343.0021119136</v>
      </c>
      <c r="C17" s="69">
        <v>-12978813.57217221</v>
      </c>
      <c r="D17" s="69">
        <v>14856491.038270636</v>
      </c>
      <c r="E17" s="53">
        <f>IF(B17&lt;&gt;"",hddtohms(getlatitude(B17,C17,D17)),"")</f>
        <v>45.305329722173617</v>
      </c>
      <c r="F17" s="53">
        <f>IF(B17&lt;&gt;"",hddtohms(-GetLongitude(B17,C17,D17)),"")</f>
        <v>117.55568293881575</v>
      </c>
      <c r="G17" s="58">
        <f t="shared" si="0"/>
        <v>2925.2962988316776</v>
      </c>
    </row>
    <row r="18" spans="1:7" x14ac:dyDescent="0.25">
      <c r="A18" s="66">
        <v>9206</v>
      </c>
      <c r="B18" s="69">
        <v>-6892538.0031994516</v>
      </c>
      <c r="C18" s="69">
        <v>-12983330.452410905</v>
      </c>
      <c r="D18" s="69">
        <v>14847070.538769094</v>
      </c>
      <c r="E18" s="53">
        <f>IF(B18&lt;&gt;"",hddtohms(getlatitude(B18,C18,D18)),"")</f>
        <v>45.284308150814581</v>
      </c>
      <c r="F18" s="53">
        <f>IF(B18&lt;&gt;"",hddtohms(-GetLongitude(B18,C18,D18)),"")</f>
        <v>117.57459285133218</v>
      </c>
      <c r="G18" s="58">
        <f t="shared" si="0"/>
        <v>2681.0345887944568</v>
      </c>
    </row>
    <row r="19" spans="1:7" x14ac:dyDescent="0.25">
      <c r="A19" s="66">
        <v>9207</v>
      </c>
      <c r="B19" s="69">
        <v>-6894284.6917474959</v>
      </c>
      <c r="C19" s="69">
        <v>-12986676.786446955</v>
      </c>
      <c r="D19" s="69">
        <v>14843340.747002756</v>
      </c>
      <c r="E19" s="53">
        <f>IF(B19&lt;&gt;"",hddtohms(getlatitude(B19,C19,D19)),"")</f>
        <v>45.275069744507299</v>
      </c>
      <c r="F19" s="53">
        <f>IF(B19&lt;&gt;"",hddtohms(-GetLongitude(B19,C19,D19)),"")</f>
        <v>117.57455592723973</v>
      </c>
      <c r="G19" s="58">
        <f t="shared" si="0"/>
        <v>2669.1170993419728</v>
      </c>
    </row>
    <row r="20" spans="1:7" x14ac:dyDescent="0.25">
      <c r="A20" s="66">
        <v>9208</v>
      </c>
      <c r="B20" s="69">
        <v>-6908446.0586684905</v>
      </c>
      <c r="C20" s="69">
        <v>-12996310.409847159</v>
      </c>
      <c r="D20" s="69">
        <v>14828484.187401285</v>
      </c>
      <c r="E20" s="53">
        <f>IF(B20&lt;&gt;"",hddtohms(getlatitude(B20,C20,D20)),"")</f>
        <v>45.242122349058235</v>
      </c>
      <c r="F20" s="53">
        <f>IF(B20&lt;&gt;"",hddtohms(-GetLongitude(B20,C20,D20)),"")</f>
        <v>117.59375446423941</v>
      </c>
      <c r="G20" s="58">
        <f t="shared" si="0"/>
        <v>2716.4383422579103</v>
      </c>
    </row>
    <row r="21" spans="1:7" x14ac:dyDescent="0.25">
      <c r="A21" s="66">
        <v>9209</v>
      </c>
      <c r="B21" s="69">
        <v>-6903831.7092815721</v>
      </c>
      <c r="C21" s="69">
        <v>-12998709.743668519</v>
      </c>
      <c r="D21" s="69">
        <v>14828499.631961094</v>
      </c>
      <c r="E21" s="53">
        <f>IF(B21&lt;&gt;"",hddtohms(getlatitude(B21,C21,D21)),"")</f>
        <v>45.242165624885935</v>
      </c>
      <c r="F21" s="53">
        <f>IF(B21&lt;&gt;"",hddtohms(-GetLongitude(B21,C21,D21)),"")</f>
        <v>117.5824661957619</v>
      </c>
      <c r="G21" s="58">
        <f t="shared" si="0"/>
        <v>2694.9057016398001</v>
      </c>
    </row>
    <row r="22" spans="1:7" x14ac:dyDescent="0.25">
      <c r="A22" s="66">
        <v>9210</v>
      </c>
      <c r="B22" s="69">
        <v>-6876155.1294946354</v>
      </c>
      <c r="C22" s="69">
        <v>-13037001.101324299</v>
      </c>
      <c r="D22" s="69">
        <v>14808112.270116324</v>
      </c>
      <c r="E22" s="53">
        <f>IF(B22&lt;&gt;"",hddtohms(getlatitude(B22,C22,D22)),"")</f>
        <v>45.193346282019746</v>
      </c>
      <c r="F22" s="53">
        <f>IF(B22&lt;&gt;"",hddtohms(-GetLongitude(B22,C22,D22)),"")</f>
        <v>117.48312473416674</v>
      </c>
      <c r="G22" s="58">
        <f t="shared" si="0"/>
        <v>2868.4398932039367</v>
      </c>
    </row>
    <row r="23" spans="1:7" x14ac:dyDescent="0.25">
      <c r="A23" s="66">
        <v>9211</v>
      </c>
      <c r="B23" s="69">
        <v>-6877884.3554506581</v>
      </c>
      <c r="C23" s="69">
        <v>-13040379.927058777</v>
      </c>
      <c r="D23" s="69">
        <v>14804361.944967967</v>
      </c>
      <c r="E23" s="53">
        <f>IF(B23&lt;&gt;"",hddtohms(getlatitude(B23,C23,D23)),"")</f>
        <v>45.184079023576516</v>
      </c>
      <c r="F23" s="53">
        <f>IF(B23&lt;&gt;"",hddtohms(-GetLongitude(B23,C23,D23)),"")</f>
        <v>117.48305929454261</v>
      </c>
      <c r="G23" s="58">
        <f t="shared" si="0"/>
        <v>2870.5864348673294</v>
      </c>
    </row>
    <row r="24" spans="1:7" x14ac:dyDescent="0.25">
      <c r="A24" s="66">
        <v>9212</v>
      </c>
      <c r="B24" s="69">
        <v>-6880566.9644466788</v>
      </c>
      <c r="C24" s="69">
        <v>-13045511.267704558</v>
      </c>
      <c r="D24" s="69">
        <v>14798888.047651704</v>
      </c>
      <c r="E24" s="53">
        <f>IF(B24&lt;&gt;"",hddtohms(getlatitude(B24,C24,D24)),"")</f>
        <v>45.172215183063358</v>
      </c>
      <c r="F24" s="53">
        <f>IF(B24&lt;&gt;"",hddtohms(-GetLongitude(B24,C24,D24)),"")</f>
        <v>117.48302983806603</v>
      </c>
      <c r="G24" s="58">
        <f t="shared" si="0"/>
        <v>3052.4937484396723</v>
      </c>
    </row>
    <row r="25" spans="1:7" x14ac:dyDescent="0.25">
      <c r="A25" s="66">
        <v>9213</v>
      </c>
      <c r="B25" s="69">
        <v>-6882239.4408109728</v>
      </c>
      <c r="C25" s="69">
        <v>-13042274.45974548</v>
      </c>
      <c r="D25" s="69">
        <v>14800558.935142633</v>
      </c>
      <c r="E25" s="53">
        <f>IF(B25&lt;&gt;"",hddtohms(getlatitude(B25,C25,D25)),"")</f>
        <v>45.174836608161947</v>
      </c>
      <c r="F25" s="53">
        <f>IF(B25&lt;&gt;"",hddtohms(-GetLongitude(B25,C25,D25)),"")</f>
        <v>117.49121108852827</v>
      </c>
      <c r="G25" s="58">
        <f t="shared" si="0"/>
        <v>2775.0526238508592</v>
      </c>
    </row>
    <row r="26" spans="1:7" x14ac:dyDescent="0.25">
      <c r="A26" s="66">
        <v>9214</v>
      </c>
      <c r="B26" s="69">
        <v>-6884280.7247529654</v>
      </c>
      <c r="C26" s="69">
        <v>-13041148.340588458</v>
      </c>
      <c r="D26" s="69">
        <v>14800514.466169108</v>
      </c>
      <c r="E26" s="53">
        <f>IF(B26&lt;&gt;"",hddtohms(getlatitude(B26,C26,D26)),"")</f>
        <v>45.174835981049775</v>
      </c>
      <c r="F26" s="53">
        <f>IF(B26&lt;&gt;"",hddtohms(-GetLongitude(B26,C26,D26)),"")</f>
        <v>117.49447136783911</v>
      </c>
      <c r="G26" s="58">
        <f t="shared" si="0"/>
        <v>2713.1159218956855</v>
      </c>
    </row>
    <row r="27" spans="1:7" x14ac:dyDescent="0.25">
      <c r="A27" s="66">
        <v>9215</v>
      </c>
      <c r="B27" s="69">
        <v>-6919295.9264027486</v>
      </c>
      <c r="C27" s="69">
        <v>-13005479.584357403</v>
      </c>
      <c r="D27" s="69">
        <v>14815379.576825848</v>
      </c>
      <c r="E27" s="53">
        <f>IF(B27&lt;&gt;"",hddtohms(getlatitude(B27,C27,D27)),"")</f>
        <v>45.211767725259634</v>
      </c>
      <c r="F27" s="53">
        <f>IF(B27&lt;&gt;"",hddtohms(-GetLongitude(B27,C27,D27)),"")</f>
        <v>118.00514256929321</v>
      </c>
      <c r="G27" s="58">
        <f t="shared" si="0"/>
        <v>2653.3553393394104</v>
      </c>
    </row>
    <row r="28" spans="1:7" x14ac:dyDescent="0.25">
      <c r="A28" s="66">
        <v>9216</v>
      </c>
      <c r="B28" s="69">
        <v>-6936890.4530771058</v>
      </c>
      <c r="C28" s="69">
        <v>-13004681.183897004</v>
      </c>
      <c r="D28" s="69">
        <v>14807977.165379973</v>
      </c>
      <c r="E28" s="53">
        <f>IF(B28&lt;&gt;"",hddtohms(getlatitude(B28,C28,D28)),"")</f>
        <v>45.193317410152474</v>
      </c>
      <c r="F28" s="53">
        <f>IF(B28&lt;&gt;"",hddtohms(-GetLongitude(B28,C28,D28)),"")</f>
        <v>118.04340478419788</v>
      </c>
      <c r="G28" s="58">
        <f t="shared" si="0"/>
        <v>2707.3665468450508</v>
      </c>
    </row>
    <row r="29" spans="1:7" x14ac:dyDescent="0.25">
      <c r="A29" s="66">
        <v>9217</v>
      </c>
      <c r="B29" s="69">
        <v>-6929887.6852989392</v>
      </c>
      <c r="C29" s="69">
        <v>-13008400.00853781</v>
      </c>
      <c r="D29" s="69">
        <v>14807942.719346603</v>
      </c>
      <c r="E29" s="53">
        <f>IF(B29&lt;&gt;"",hddtohms(getlatitude(B29,C29,D29)),"")</f>
        <v>45.193302259871942</v>
      </c>
      <c r="F29" s="53">
        <f>IF(B29&lt;&gt;"",hddtohms(-GetLongitude(B29,C29,D29)),"")</f>
        <v>118.02430872011176</v>
      </c>
      <c r="G29" s="58">
        <f t="shared" si="0"/>
        <v>2674.1005801742176</v>
      </c>
    </row>
    <row r="30" spans="1:7" x14ac:dyDescent="0.25">
      <c r="A30" s="66">
        <v>9218</v>
      </c>
      <c r="B30" s="69">
        <v>-6926373.9942308934</v>
      </c>
      <c r="C30" s="69">
        <v>-13018820.826851811</v>
      </c>
      <c r="D30" s="69">
        <v>14800455.180481141</v>
      </c>
      <c r="E30" s="53">
        <f>IF(B30&lt;&gt;"",hddtohms(getlatitude(B30,C30,D30)),"")</f>
        <v>45.174807151841527</v>
      </c>
      <c r="F30" s="53">
        <f>IF(B30&lt;&gt;"",hddtohms(-GetLongitude(B30,C30,D30)),"")</f>
        <v>118.00511804080931</v>
      </c>
      <c r="G30" s="58">
        <f t="shared" si="0"/>
        <v>2658.6065341004396</v>
      </c>
    </row>
    <row r="31" spans="1:7" x14ac:dyDescent="0.25">
      <c r="A31" s="66">
        <v>9219</v>
      </c>
      <c r="B31" s="69">
        <v>-6928140.457151928</v>
      </c>
      <c r="C31" s="69">
        <v>-13022138.221283196</v>
      </c>
      <c r="D31" s="69">
        <v>14796724.449500745</v>
      </c>
      <c r="E31" s="53">
        <f>IF(B31&lt;&gt;"",hddtohms(getlatitude(B31,C31,D31)),"")</f>
        <v>45.16557933551961</v>
      </c>
      <c r="F31" s="53">
        <f>IF(B31&lt;&gt;"",hddtohms(-GetLongitude(B31,C31,D31)),"")</f>
        <v>118.0051199135944</v>
      </c>
      <c r="G31" s="58">
        <f t="shared" si="0"/>
        <v>2651.4138670121592</v>
      </c>
    </row>
    <row r="32" spans="1:7" x14ac:dyDescent="0.25">
      <c r="A32" s="66">
        <v>9220</v>
      </c>
      <c r="B32" s="69">
        <v>-6936070.0890256213</v>
      </c>
      <c r="C32" s="69">
        <v>-13009489.611319926</v>
      </c>
      <c r="D32" s="69">
        <v>14804132.908089915</v>
      </c>
      <c r="E32" s="53">
        <f>IF(B32&lt;&gt;"",hddtohms(getlatitude(B32,C32,D32)),"")</f>
        <v>45.183941762321901</v>
      </c>
      <c r="F32" s="53">
        <f>IF(B32&lt;&gt;"",hddtohms(-GetLongitude(B32,C32,D32)),"")</f>
        <v>118.03522592333961</v>
      </c>
      <c r="G32" s="58">
        <f t="shared" si="0"/>
        <v>2685.9654666392871</v>
      </c>
    </row>
    <row r="33" spans="1:7" x14ac:dyDescent="0.25">
      <c r="A33" s="66">
        <v>9221</v>
      </c>
      <c r="B33" s="69">
        <v>-6932211.9559296742</v>
      </c>
      <c r="C33" s="69">
        <v>-13007166.571328677</v>
      </c>
      <c r="D33" s="69">
        <v>14807951.409100574</v>
      </c>
      <c r="E33" s="53">
        <f>IF(B33&lt;&gt;"",hddtohms(getlatitude(B33,C33,D33)),"")</f>
        <v>45.193305178514173</v>
      </c>
      <c r="F33" s="53">
        <f>IF(B33&lt;&gt;"",hddtohms(-GetLongitude(B33,C33,D33)),"")</f>
        <v>118.03199101671474</v>
      </c>
      <c r="G33" s="58">
        <f t="shared" si="0"/>
        <v>2683.3973599519795</v>
      </c>
    </row>
    <row r="34" spans="1:7" x14ac:dyDescent="0.25">
      <c r="A34" s="66">
        <v>9222</v>
      </c>
      <c r="B34" s="69">
        <v>-6930456.3238908499</v>
      </c>
      <c r="C34" s="69">
        <v>-13003858.098183556</v>
      </c>
      <c r="D34" s="69">
        <v>14811660.901875706</v>
      </c>
      <c r="E34" s="53">
        <f>IF(B34&lt;&gt;"",hddtohms(getlatitude(B34,C34,D34)),"")</f>
        <v>45.2025090972272</v>
      </c>
      <c r="F34" s="53">
        <f>IF(B34&lt;&gt;"",hddtohms(-GetLongitude(B34,C34,D34)),"")</f>
        <v>118.03200044153341</v>
      </c>
      <c r="G34" s="58">
        <f t="shared" si="0"/>
        <v>2688.6353026755332</v>
      </c>
    </row>
    <row r="35" spans="1:7" x14ac:dyDescent="0.25">
      <c r="A35" s="66">
        <v>9223</v>
      </c>
      <c r="B35" s="69">
        <v>-6938964.3853989365</v>
      </c>
      <c r="C35" s="69">
        <v>-12997240.161423335</v>
      </c>
      <c r="D35" s="69">
        <v>14813553.539647283</v>
      </c>
      <c r="E35" s="53">
        <f>IF(B35&lt;&gt;"",hddtohms(getlatitude(B35,C35,D35)),"")</f>
        <v>45.205110766587261</v>
      </c>
      <c r="F35" s="53">
        <f>IF(B35&lt;&gt;"",hddtohms(-GetLongitude(B35,C35,D35)),"")</f>
        <v>118.05486934143133</v>
      </c>
      <c r="G35" s="58">
        <f t="shared" si="0"/>
        <v>2745.301617806459</v>
      </c>
    </row>
    <row r="36" spans="1:7" x14ac:dyDescent="0.25">
      <c r="A36" s="66">
        <v>9224</v>
      </c>
      <c r="B36" s="69">
        <v>-6943531.7093323013</v>
      </c>
      <c r="C36" s="69">
        <v>-12995003.06480379</v>
      </c>
      <c r="D36" s="69">
        <v>14813662.441367226</v>
      </c>
      <c r="E36" s="53">
        <f>IF(B36&lt;&gt;"",hddtohms(getlatitude(B36,C36,D36)),"")</f>
        <v>45.205060997577547</v>
      </c>
      <c r="F36" s="53">
        <f>IF(B36&lt;&gt;"",hddtohms(-GetLongitude(B36,C36,D36)),"")</f>
        <v>118.06598482201252</v>
      </c>
      <c r="G36" s="58">
        <f t="shared" si="0"/>
        <v>2948.1942476364002</v>
      </c>
    </row>
    <row r="37" spans="1:7" x14ac:dyDescent="0.25">
      <c r="A37" s="66">
        <v>9225</v>
      </c>
      <c r="B37" s="69">
        <v>-6949136.7498868369</v>
      </c>
      <c r="C37" s="69">
        <v>-13005503.003819678</v>
      </c>
      <c r="D37" s="69">
        <v>14803102.413442252</v>
      </c>
      <c r="E37" s="53">
        <f>IF(B37&lt;&gt;"",hddtohms(getlatitude(B37,C37,D37)),"")</f>
        <v>45.181376713382321</v>
      </c>
      <c r="F37" s="53">
        <f>IF(B37&lt;&gt;"",hddtohms(-GetLongitude(B37,C37,D37)),"")</f>
        <v>118.06597825783184</v>
      </c>
      <c r="G37" s="58">
        <f t="shared" si="0"/>
        <v>3807.0584428564362</v>
      </c>
    </row>
    <row r="38" spans="1:7" x14ac:dyDescent="0.25">
      <c r="A38" s="66">
        <v>9226</v>
      </c>
      <c r="B38" s="69">
        <v>-6938694.9337726114</v>
      </c>
      <c r="C38" s="69">
        <v>-13007996.495900843</v>
      </c>
      <c r="D38" s="69">
        <v>14804233.848867131</v>
      </c>
      <c r="E38" s="53">
        <f>IF(B38&lt;&gt;"",hddtohms(getlatitude(B38,C38,D38)),"")</f>
        <v>45.184069631705647</v>
      </c>
      <c r="F38" s="53">
        <f>IF(B38&lt;&gt;"",hddtohms(-GetLongitude(B38,C38,D38)),"")</f>
        <v>118.04344927822895</v>
      </c>
      <c r="G38" s="58">
        <f t="shared" si="0"/>
        <v>2699.8185087981565</v>
      </c>
    </row>
    <row r="39" spans="1:7" x14ac:dyDescent="0.25">
      <c r="A39" s="66">
        <v>9301</v>
      </c>
      <c r="B39" s="69">
        <v>-6936006.9784923261</v>
      </c>
      <c r="C39" s="69">
        <v>-13093236.995016597</v>
      </c>
      <c r="D39" s="69">
        <v>14731353.010246959</v>
      </c>
      <c r="E39" s="53">
        <f>IF(B39&lt;&gt;"",hddtohms(getlatitude(B39,C39,D39)),"")</f>
        <v>45.013532862319543</v>
      </c>
      <c r="F39" s="53">
        <f>IF(B39&lt;&gt;"",hddtohms(-GetLongitude(B39,C39,D39)),"")</f>
        <v>117.5442996400615</v>
      </c>
      <c r="G39" s="58">
        <f t="shared" si="0"/>
        <v>3188.849712321542</v>
      </c>
    </row>
    <row r="40" spans="1:7" x14ac:dyDescent="0.25">
      <c r="A40" s="66">
        <v>9302</v>
      </c>
      <c r="B40" s="69">
        <v>-6937933.6520880116</v>
      </c>
      <c r="C40" s="69">
        <v>-13092887.106006969</v>
      </c>
      <c r="D40" s="69">
        <v>14730774.624224328</v>
      </c>
      <c r="E40" s="53">
        <f>IF(B40&lt;&gt;"",hddtohms(getlatitude(B40,C40,D40)),"")</f>
        <v>45.012715269697374</v>
      </c>
      <c r="F40" s="53">
        <f>IF(B40&lt;&gt;"",hddtohms(-GetLongitude(B40,C40,D40)),"")</f>
        <v>117.55089763223384</v>
      </c>
      <c r="G40" s="58">
        <f t="shared" si="0"/>
        <v>3198.7001456061189</v>
      </c>
    </row>
    <row r="41" spans="1:7" x14ac:dyDescent="0.25">
      <c r="A41" s="66">
        <v>9303</v>
      </c>
      <c r="B41" s="69">
        <v>-6934885.5061860448</v>
      </c>
      <c r="C41" s="69">
        <v>-13091202.544707058</v>
      </c>
      <c r="D41" s="69">
        <v>14733671.403736841</v>
      </c>
      <c r="E41" s="53">
        <f>IF(B41&lt;&gt;"",hddtohms(getlatitude(B41,C41,D41)),"")</f>
        <v>45.02077268503529</v>
      </c>
      <c r="F41" s="53">
        <f>IF(B41&lt;&gt;"",hddtohms(-GetLongitude(B41,C41,D41)),"")</f>
        <v>117.54424582103088</v>
      </c>
      <c r="G41" s="58">
        <f t="shared" si="0"/>
        <v>3187.5396715594979</v>
      </c>
    </row>
    <row r="42" spans="1:7" x14ac:dyDescent="0.25">
      <c r="A42" s="66">
        <v>9304</v>
      </c>
      <c r="B42" s="69">
        <v>-6932553.8671350107</v>
      </c>
      <c r="C42" s="69">
        <v>-13092453.288009958</v>
      </c>
      <c r="D42" s="69">
        <v>14733626.999698363</v>
      </c>
      <c r="E42" s="53">
        <f>IF(B42&lt;&gt;"",hddtohms(getlatitude(B42,C42,D42)),"")</f>
        <v>45.020731919897059</v>
      </c>
      <c r="F42" s="53">
        <f>IF(B42&lt;&gt;"",hddtohms(-GetLongitude(B42,C42,D42)),"")</f>
        <v>117.54056193674759</v>
      </c>
      <c r="G42" s="58">
        <f t="shared" si="0"/>
        <v>3166.0238302990037</v>
      </c>
    </row>
    <row r="43" spans="1:7" x14ac:dyDescent="0.25">
      <c r="A43" s="66">
        <v>9305</v>
      </c>
      <c r="B43" s="69">
        <v>-6906008.9776762724</v>
      </c>
      <c r="C43" s="69">
        <v>-13059412.301032219</v>
      </c>
      <c r="D43" s="69">
        <v>14774424.13556557</v>
      </c>
      <c r="E43" s="53">
        <f>IF(B43&lt;&gt;"",hddtohms(getlatitude(B43,C43,D43)),"")</f>
        <v>45.114265084903764</v>
      </c>
      <c r="F43" s="53">
        <f>IF(B43&lt;&gt;"",hddtohms(-GetLongitude(B43,C43,D43)),"")</f>
        <v>117.52139564230198</v>
      </c>
      <c r="G43" s="58">
        <f t="shared" si="0"/>
        <v>2701.6420769635715</v>
      </c>
    </row>
    <row r="44" spans="1:7" x14ac:dyDescent="0.25">
      <c r="A44" s="66">
        <v>9306</v>
      </c>
      <c r="B44" s="69">
        <v>-6905136.5508277463</v>
      </c>
      <c r="C44" s="69">
        <v>-13057754.897061156</v>
      </c>
      <c r="D44" s="69">
        <v>14776304.501790408</v>
      </c>
      <c r="E44" s="53">
        <f>IF(B44&lt;&gt;"",hddtohms(getlatitude(B44,C44,D44)),"")</f>
        <v>45.120885121158786</v>
      </c>
      <c r="F44" s="53">
        <f>IF(B44&lt;&gt;"",hddtohms(-GetLongitude(B44,C44,D44)),"")</f>
        <v>117.5214006204037</v>
      </c>
      <c r="G44" s="58">
        <f t="shared" si="0"/>
        <v>2716.0651150315916</v>
      </c>
    </row>
    <row r="45" spans="1:7" x14ac:dyDescent="0.25">
      <c r="A45" s="66">
        <v>9307</v>
      </c>
      <c r="B45" s="69">
        <v>-6904326.2372032264</v>
      </c>
      <c r="C45" s="69">
        <v>-13056204.963091495</v>
      </c>
      <c r="D45" s="69">
        <v>14778049.943379937</v>
      </c>
      <c r="E45" s="53">
        <f>IF(B45&lt;&gt;"",hddtohms(getlatitude(B45,C45,D45)),"")</f>
        <v>45.123324406666505</v>
      </c>
      <c r="F45" s="53">
        <f>IF(B45&lt;&gt;"",hddtohms(-GetLongitude(B45,C45,D45)),"")</f>
        <v>117.52141212011898</v>
      </c>
      <c r="G45" s="58">
        <f t="shared" si="0"/>
        <v>2722.4595964036453</v>
      </c>
    </row>
    <row r="46" spans="1:7" x14ac:dyDescent="0.25">
      <c r="A46" s="66">
        <v>9308</v>
      </c>
      <c r="B46" s="69">
        <v>-6900781.3435933441</v>
      </c>
      <c r="C46" s="69">
        <v>-13058675.142515318</v>
      </c>
      <c r="D46" s="69">
        <v>14777821.258671377</v>
      </c>
      <c r="E46" s="53">
        <f>IF(B46&lt;&gt;"",hddtohms(getlatitude(B46,C46,D46)),"")</f>
        <v>45.122796057389685</v>
      </c>
      <c r="F46" s="53">
        <f>IF(B46&lt;&gt;"",hddtohms(-GetLongitude(B46,C46,D46)),"")</f>
        <v>117.51142319735278</v>
      </c>
      <c r="G46" s="58">
        <f t="shared" si="0"/>
        <v>2931.5405905167208</v>
      </c>
    </row>
    <row r="47" spans="1:7" x14ac:dyDescent="0.25">
      <c r="A47" s="66">
        <v>9309</v>
      </c>
      <c r="B47" s="69">
        <v>-6901613.0394567382</v>
      </c>
      <c r="C47" s="69">
        <v>-13051100.456395961</v>
      </c>
      <c r="D47" s="69">
        <v>14783753.053349387</v>
      </c>
      <c r="E47" s="53">
        <f>IF(B47&lt;&gt;"",hddtohms(getlatitude(B47,C47,D47)),"")</f>
        <v>45.135340960086225</v>
      </c>
      <c r="F47" s="53">
        <f>IF(B47&lt;&gt;"",hddtohms(-GetLongitude(B47,C47,D47)),"")</f>
        <v>117.52139500904642</v>
      </c>
      <c r="G47" s="58">
        <f t="shared" si="0"/>
        <v>2698.779346917112</v>
      </c>
    </row>
    <row r="48" spans="1:7" x14ac:dyDescent="0.25">
      <c r="A48" s="66">
        <v>9310</v>
      </c>
      <c r="B48" s="69">
        <v>-6900725.291081422</v>
      </c>
      <c r="C48" s="69">
        <v>-13049428.872536169</v>
      </c>
      <c r="D48" s="69">
        <v>14785610.803498458</v>
      </c>
      <c r="E48" s="53">
        <f>IF(B48&lt;&gt;"",hddtohms(getlatitude(B48,C48,D48)),"")</f>
        <v>45.141959056126318</v>
      </c>
      <c r="F48" s="53">
        <f>IF(B48&lt;&gt;"",hddtohms(-GetLongitude(B48,C48,D48)),"")</f>
        <v>117.52139032712923</v>
      </c>
      <c r="G48" s="58">
        <f t="shared" si="0"/>
        <v>2684.9562525397287</v>
      </c>
    </row>
    <row r="49" spans="1:7" x14ac:dyDescent="0.25">
      <c r="A49" s="66">
        <v>9311</v>
      </c>
      <c r="B49" s="69">
        <v>-6896054.4614459379</v>
      </c>
      <c r="C49" s="69">
        <v>-13051930.239558125</v>
      </c>
      <c r="D49" s="69">
        <v>14785588.534407929</v>
      </c>
      <c r="E49" s="53">
        <f>IF(B49&lt;&gt;"",hddtohms(getlatitude(B49,C49,D49)),"")</f>
        <v>45.141923473917124</v>
      </c>
      <c r="F49" s="53">
        <f>IF(B49&lt;&gt;"",hddtohms(-GetLongitude(B49,C49,D49)),"")</f>
        <v>117.50598694211372</v>
      </c>
      <c r="G49" s="58">
        <f t="shared" si="0"/>
        <v>2689.3378645509092</v>
      </c>
    </row>
    <row r="50" spans="1:7" x14ac:dyDescent="0.25">
      <c r="A50" s="66">
        <v>9312</v>
      </c>
      <c r="B50" s="69">
        <v>-6940592.4921166021</v>
      </c>
      <c r="C50" s="69">
        <v>-13011517.693416197</v>
      </c>
      <c r="D50" s="69">
        <v>14800734.949153803</v>
      </c>
      <c r="E50" s="53">
        <f>IF(B50&lt;&gt;"",hddtohms(getlatitude(B50,C50,D50)),"")</f>
        <v>45.174833367303592</v>
      </c>
      <c r="F50" s="53">
        <f>IF(B50&lt;&gt;"",hddtohms(-GetLongitude(B50,C50,D50)),"")</f>
        <v>118.04347308336813</v>
      </c>
      <c r="G50" s="58">
        <f t="shared" si="0"/>
        <v>3025.9438125735323</v>
      </c>
    </row>
    <row r="51" spans="1:7" x14ac:dyDescent="0.25">
      <c r="A51" s="66">
        <v>9313</v>
      </c>
      <c r="B51" s="69">
        <v>-6939629.8079880504</v>
      </c>
      <c r="C51" s="69">
        <v>-13009767.650011675</v>
      </c>
      <c r="D51" s="69">
        <v>14802465.585428078</v>
      </c>
      <c r="E51" s="53">
        <f>IF(B51&lt;&gt;"",hddtohms(getlatitude(B51,C51,D51)),"")</f>
        <v>45.181436474900671</v>
      </c>
      <c r="F51" s="53">
        <f>IF(B51&lt;&gt;"",hddtohms(-GetLongitude(B51,C51,D51)),"")</f>
        <v>118.04343707050172</v>
      </c>
      <c r="G51" s="58">
        <f t="shared" si="0"/>
        <v>2851.2867257404232</v>
      </c>
    </row>
    <row r="52" spans="1:7" x14ac:dyDescent="0.25">
      <c r="A52" s="66">
        <v>9314</v>
      </c>
      <c r="B52" s="69">
        <v>-6941008.0125741241</v>
      </c>
      <c r="C52" s="69">
        <v>-13006809.712590737</v>
      </c>
      <c r="D52" s="69">
        <v>14804278.958412819</v>
      </c>
      <c r="E52" s="53">
        <f>IF(B52&lt;&gt;"",hddtohms(getlatitude(B52,C52,D52)),"")</f>
        <v>45.184071650355378</v>
      </c>
      <c r="F52" s="53">
        <f>IF(B52&lt;&gt;"",hddtohms(-GetLongitude(B52,C52,D52)),"")</f>
        <v>118.05108608025297</v>
      </c>
      <c r="G52" s="58">
        <f t="shared" si="0"/>
        <v>2761.2464784748754</v>
      </c>
    </row>
    <row r="53" spans="1:7" x14ac:dyDescent="0.25">
      <c r="A53" s="66">
        <v>9317</v>
      </c>
      <c r="B53" s="69">
        <v>-6945313.9964414891</v>
      </c>
      <c r="C53" s="69">
        <v>-13009251.408927018</v>
      </c>
      <c r="D53" s="69">
        <v>14801009.429377573</v>
      </c>
      <c r="E53" s="53">
        <f>IF(B53&lt;&gt;"",hddtohms(getlatitude(B53,C53,D53)),"")</f>
        <v>45.174867152365763</v>
      </c>
      <c r="F53" s="53">
        <f>IF(B53&lt;&gt;"",hddtohms(-GetLongitude(B53,C53,D53)),"")</f>
        <v>118.05479166862087</v>
      </c>
      <c r="G53" s="58">
        <f t="shared" si="0"/>
        <v>3378.250615636789</v>
      </c>
    </row>
    <row r="54" spans="1:7" x14ac:dyDescent="0.25">
      <c r="A54" s="66">
        <v>9319</v>
      </c>
      <c r="B54" s="69">
        <v>-6942783.628490936</v>
      </c>
      <c r="C54" s="69">
        <v>-12993534.482841739</v>
      </c>
      <c r="D54" s="69">
        <v>14815870.245738095</v>
      </c>
      <c r="E54" s="53">
        <f>IF(B54&lt;&gt;"",hddtohms(getlatitude(B54,C54,D54)),"")</f>
        <v>45.21174987988028</v>
      </c>
      <c r="F54" s="53">
        <f>IF(B54&lt;&gt;"",hddtohms(-GetLongitude(B54,C54,D54)),"")</f>
        <v>118.07003003910222</v>
      </c>
      <c r="G54" s="58">
        <f t="shared" si="0"/>
        <v>3360.8624468417602</v>
      </c>
    </row>
    <row r="55" spans="1:7" x14ac:dyDescent="0.25">
      <c r="A55" s="66">
        <v>9320</v>
      </c>
      <c r="B55" s="69">
        <v>-6923122.0035495153</v>
      </c>
      <c r="C55" s="69">
        <v>-13001328.323136766</v>
      </c>
      <c r="D55" s="69">
        <v>14817244.264525153</v>
      </c>
      <c r="E55" s="53">
        <f>IF(B55&lt;&gt;"",hddtohms(getlatitude(B55,C55,D55)),"")</f>
        <v>45.214372432442737</v>
      </c>
      <c r="F55" s="53">
        <f>IF(B55&lt;&gt;"",hddtohms(-GetLongitude(B55,C55,D55)),"")</f>
        <v>118.02060296709662</v>
      </c>
      <c r="G55" s="58">
        <f t="shared" si="0"/>
        <v>2668.3583572645057</v>
      </c>
    </row>
    <row r="56" spans="1:7" x14ac:dyDescent="0.25">
      <c r="A56" s="66">
        <v>9321</v>
      </c>
      <c r="B56" s="69">
        <v>-6929266.8841585191</v>
      </c>
      <c r="C56" s="69">
        <v>-12996003.378107075</v>
      </c>
      <c r="D56" s="69">
        <v>14819209.448345073</v>
      </c>
      <c r="E56" s="53">
        <f>IF(B56&lt;&gt;"",hddtohms(getlatitude(B56,C56,D56)),"")</f>
        <v>45.221006788315677</v>
      </c>
      <c r="F56" s="53">
        <f>IF(B56&lt;&gt;"",hddtohms(-GetLongitude(B56,C56,D56)),"")</f>
        <v>118.0357042434126</v>
      </c>
      <c r="G56" s="58">
        <f t="shared" si="0"/>
        <v>2795.2538275771203</v>
      </c>
    </row>
    <row r="57" spans="1:7" x14ac:dyDescent="0.25">
      <c r="A57" s="66">
        <v>9322</v>
      </c>
      <c r="B57" s="69">
        <v>-6918685.39023278</v>
      </c>
      <c r="C57" s="69">
        <v>-12992962.247850137</v>
      </c>
      <c r="D57" s="69">
        <v>14826601.444548307</v>
      </c>
      <c r="E57" s="53">
        <f>IF(B57&lt;&gt;"",hddtohms(getlatitude(B57,C57,D57)),"")</f>
        <v>45.235514531346666</v>
      </c>
      <c r="F57" s="53">
        <f>IF(B57&lt;&gt;"",hddtohms(-GetLongitude(B57,C57,D57)),"")</f>
        <v>118.02062555980066</v>
      </c>
      <c r="G57" s="58">
        <f t="shared" si="0"/>
        <v>2677.2079172383692</v>
      </c>
    </row>
    <row r="58" spans="1:7" x14ac:dyDescent="0.25">
      <c r="A58" s="66">
        <v>9323</v>
      </c>
      <c r="B58" s="69">
        <v>-6919271.2653238652</v>
      </c>
      <c r="C58" s="69">
        <v>-12988424.80238289</v>
      </c>
      <c r="D58" s="69">
        <v>14830321.195459528</v>
      </c>
      <c r="E58" s="53">
        <f>IF(B58&lt;&gt;"",hddtohms(getlatitude(B58,C58,D58)),"")</f>
        <v>45.244714227776797</v>
      </c>
      <c r="F58" s="53">
        <f>IF(B58&lt;&gt;"",hddtohms(-GetLongitude(B58,C58,D58)),"")</f>
        <v>118.02433946345157</v>
      </c>
      <c r="G58" s="58">
        <f t="shared" si="0"/>
        <v>2707.6872196353306</v>
      </c>
    </row>
    <row r="59" spans="1:7" x14ac:dyDescent="0.25">
      <c r="A59" s="66">
        <v>9324</v>
      </c>
      <c r="B59" s="69">
        <v>-6923382.2645986602</v>
      </c>
      <c r="C59" s="69">
        <v>-12990510.721895359</v>
      </c>
      <c r="D59" s="69">
        <v>14826628.172704084</v>
      </c>
      <c r="E59" s="53">
        <f>IF(B59&lt;&gt;"",hddtohms(getlatitude(B59,C59,D59)),"")</f>
        <v>45.235501656399308</v>
      </c>
      <c r="F59" s="53">
        <f>IF(B59&lt;&gt;"",hddtohms(-GetLongitude(B59,C59,D59)),"")</f>
        <v>118.03204925696636</v>
      </c>
      <c r="G59" s="58">
        <f t="shared" si="0"/>
        <v>2727.6090029516945</v>
      </c>
    </row>
    <row r="60" spans="1:7" x14ac:dyDescent="0.25">
      <c r="A60" s="66">
        <v>9325</v>
      </c>
      <c r="B60" s="69">
        <v>-6928079.3818948362</v>
      </c>
      <c r="C60" s="69">
        <v>-12988153.229322063</v>
      </c>
      <c r="D60" s="69">
        <v>14826722.926122827</v>
      </c>
      <c r="E60" s="53">
        <f>IF(B60&lt;&gt;"",hddtohms(getlatitude(B60,C60,D60)),"")</f>
        <v>45.235476197693451</v>
      </c>
      <c r="F60" s="53">
        <f>IF(B60&lt;&gt;"",hddtohms(-GetLongitude(B60,C60,D60)),"")</f>
        <v>118.04341119544193</v>
      </c>
      <c r="G60" s="58">
        <f t="shared" si="0"/>
        <v>2886.1213734698085</v>
      </c>
    </row>
    <row r="61" spans="1:7" x14ac:dyDescent="0.25">
      <c r="A61" s="66">
        <v>9327</v>
      </c>
      <c r="B61" s="69">
        <v>-6912810.3261323133</v>
      </c>
      <c r="C61" s="69">
        <v>-12970625.493374953</v>
      </c>
      <c r="D61" s="69">
        <v>14848966.119571976</v>
      </c>
      <c r="E61" s="53">
        <f>IF(B61&lt;&gt;"",hddtohms(getlatitude(B61,C61,D61)),"")</f>
        <v>45.290814371250157</v>
      </c>
      <c r="F61" s="53">
        <f>IF(B61&lt;&gt;"",hddtohms(-GetLongitude(B61,C61,D61)),"")</f>
        <v>118.03208149572471</v>
      </c>
      <c r="G61" s="58">
        <f t="shared" si="0"/>
        <v>2843.0518177379563</v>
      </c>
    </row>
    <row r="62" spans="1:7" x14ac:dyDescent="0.25">
      <c r="A62" s="66" t="s">
        <v>77</v>
      </c>
      <c r="B62" s="69">
        <v>-6912777.1692563724</v>
      </c>
      <c r="C62" s="69">
        <v>-12970618.920802899</v>
      </c>
      <c r="D62" s="69">
        <v>14848984.92209919</v>
      </c>
      <c r="E62" s="53">
        <f>IF(B62&lt;&gt;"",hddtohms(getlatitude(B62,C62,D62)),"")</f>
        <v>45.290842444207101</v>
      </c>
      <c r="F62" s="53">
        <f>IF(B62&lt;&gt;"",hddtohms(-GetLongitude(B62,C62,D62)),"")</f>
        <v>118.03204477025919</v>
      </c>
      <c r="G62" s="58">
        <f t="shared" si="0"/>
        <v>2841.4597064954032</v>
      </c>
    </row>
    <row r="63" spans="1:7" x14ac:dyDescent="0.25">
      <c r="A63" s="66">
        <v>9329</v>
      </c>
      <c r="B63" s="69">
        <v>-6867180.377109183</v>
      </c>
      <c r="C63" s="69">
        <v>-12969048.172898682</v>
      </c>
      <c r="D63" s="69">
        <v>14871252.861124711</v>
      </c>
      <c r="E63" s="53">
        <f>IF(B63&lt;&gt;"",hddtohms(getlatitude(B63,C63,D63)),"")</f>
        <v>45.342287550796421</v>
      </c>
      <c r="F63" s="53">
        <f>IF(B63&lt;&gt;"",hddtohms(-GetLongitude(B63,C63,D63)),"")</f>
        <v>117.54052524269702</v>
      </c>
      <c r="G63" s="58">
        <f t="shared" si="0"/>
        <v>2774.7164303762966</v>
      </c>
    </row>
    <row r="64" spans="1:7" x14ac:dyDescent="0.25">
      <c r="A64" s="66">
        <v>9330</v>
      </c>
      <c r="B64" s="69">
        <v>-6873380.5495510288</v>
      </c>
      <c r="C64" s="69">
        <v>-12963730.685585307</v>
      </c>
      <c r="D64" s="69">
        <v>14872954.21967281</v>
      </c>
      <c r="E64" s="53">
        <f>IF(B64&lt;&gt;"",hddtohms(getlatitude(B64,C64,D64)),"")</f>
        <v>45.344729149959001</v>
      </c>
      <c r="F64" s="53">
        <f>IF(B64&lt;&gt;"",hddtohms(-GetLongitude(B64,C64,D64)),"")</f>
        <v>117.55572574435531</v>
      </c>
      <c r="G64" s="58">
        <f t="shared" si="0"/>
        <v>2732.8163792993564</v>
      </c>
    </row>
    <row r="65" spans="1:7" x14ac:dyDescent="0.25">
      <c r="A65" s="66">
        <v>9331</v>
      </c>
      <c r="B65" s="69">
        <v>-6872497.6442883927</v>
      </c>
      <c r="C65" s="69">
        <v>-12962050.55942828</v>
      </c>
      <c r="D65" s="69">
        <v>14874832.74491208</v>
      </c>
      <c r="E65" s="53">
        <f>IF(B65&lt;&gt;"",hddtohms(getlatitude(B65,C65,D65)),"")</f>
        <v>45.351365190629473</v>
      </c>
      <c r="F65" s="53">
        <f>IF(B65&lt;&gt;"",hddtohms(-GetLongitude(B65,C65,D65)),"")</f>
        <v>117.55573555585902</v>
      </c>
      <c r="G65" s="58">
        <f t="shared" si="0"/>
        <v>2746.2593850763496</v>
      </c>
    </row>
    <row r="66" spans="1:7" x14ac:dyDescent="0.25">
      <c r="A66" s="66">
        <v>9332</v>
      </c>
      <c r="B66" s="69">
        <v>-6867715.3340036776</v>
      </c>
      <c r="C66" s="69">
        <v>-12964449.589856645</v>
      </c>
      <c r="D66" s="69">
        <v>14874796.111050591</v>
      </c>
      <c r="E66" s="53">
        <f>IF(B66&lt;&gt;"",hddtohms(getlatitude(B66,C66,D66)),"")</f>
        <v>45.351424268251968</v>
      </c>
      <c r="F66" s="53">
        <f>IF(B66&lt;&gt;"",hddtohms(-GetLongitude(B66,C66,D66)),"")</f>
        <v>117.54421534832208</v>
      </c>
      <c r="G66" s="58">
        <f t="shared" si="0"/>
        <v>2636.3411895699337</v>
      </c>
    </row>
    <row r="67" spans="1:7" x14ac:dyDescent="0.25">
      <c r="A67" s="66">
        <v>9333</v>
      </c>
      <c r="B67" s="69">
        <v>-6870592.1733506154</v>
      </c>
      <c r="C67" s="69">
        <v>-12958656.003615431</v>
      </c>
      <c r="D67" s="69">
        <v>14878555.877441855</v>
      </c>
      <c r="E67" s="53">
        <f>IF(B67&lt;&gt;"",hddtohms(getlatitude(B67,C67,D67)),"")</f>
        <v>45.360681343781614</v>
      </c>
      <c r="F67" s="53">
        <f>IF(B67&lt;&gt;"",hddtohms(-GetLongitude(B67,C67,D67)),"")</f>
        <v>117.55560426288758</v>
      </c>
      <c r="G67" s="58">
        <f t="shared" si="0"/>
        <v>2682.9596056582941</v>
      </c>
    </row>
    <row r="68" spans="1:7" x14ac:dyDescent="0.25">
      <c r="A68" s="66">
        <v>9334</v>
      </c>
      <c r="B68" s="69">
        <v>-6875293.7578572966</v>
      </c>
      <c r="C68" s="69">
        <v>-12956294.214842938</v>
      </c>
      <c r="D68" s="69">
        <v>14878666.00875216</v>
      </c>
      <c r="E68" s="53">
        <f>IF(B68&lt;&gt;"",hddtohms(getlatitude(B68,C68,D68)),"")</f>
        <v>45.360675133631624</v>
      </c>
      <c r="F68" s="53">
        <f>IF(B68&lt;&gt;"",hddtohms(-GetLongitude(B68,C68,D68)),"")</f>
        <v>117.57100151592637</v>
      </c>
      <c r="G68" s="58">
        <f t="shared" ref="G68:G103" si="1">IF(B68&lt;&gt;"",GetHeight(B68,C68,D68),"")</f>
        <v>2843.2584267400889</v>
      </c>
    </row>
    <row r="69" spans="1:7" x14ac:dyDescent="0.25">
      <c r="A69" s="66">
        <v>9335</v>
      </c>
      <c r="B69" s="69">
        <v>-6876801.6382007841</v>
      </c>
      <c r="C69" s="69">
        <v>-13049704.571285706</v>
      </c>
      <c r="D69" s="69">
        <v>14797117.581257209</v>
      </c>
      <c r="E69" s="53">
        <f>IF(B69&lt;&gt;"",hddtohms(getlatitude(B69,C69,D69)),"")</f>
        <v>45.165615193460091</v>
      </c>
      <c r="F69" s="53">
        <f>IF(B69&lt;&gt;"",hddtohms(-GetLongitude(B69,C69,D69)),"")</f>
        <v>117.47163724023646</v>
      </c>
      <c r="G69" s="58">
        <f t="shared" si="1"/>
        <v>3168.7003143812544</v>
      </c>
    </row>
    <row r="70" spans="1:7" x14ac:dyDescent="0.25">
      <c r="A70" s="66">
        <v>9336</v>
      </c>
      <c r="B70" s="69">
        <v>-6875017.8024393041</v>
      </c>
      <c r="C70" s="69">
        <v>-13046346.989275772</v>
      </c>
      <c r="D70" s="69">
        <v>14800829.400566932</v>
      </c>
      <c r="E70" s="53">
        <f>IF(B70&lt;&gt;"",hddtohms(getlatitude(B70,C70,D70)),"")</f>
        <v>45.174860351767073</v>
      </c>
      <c r="F70" s="53">
        <f>IF(B70&lt;&gt;"",hddtohms(-GetLongitude(B70,C70,D70)),"")</f>
        <v>117.47161930905169</v>
      </c>
      <c r="G70" s="58">
        <f t="shared" si="1"/>
        <v>3131.7783048600686</v>
      </c>
    </row>
    <row r="71" spans="1:7" x14ac:dyDescent="0.25">
      <c r="A71" s="66">
        <v>9337</v>
      </c>
      <c r="B71" s="69">
        <v>-6874161.3943288252</v>
      </c>
      <c r="C71" s="69">
        <v>-13044701.073996069</v>
      </c>
      <c r="D71" s="69">
        <v>14802746.172662972</v>
      </c>
      <c r="E71" s="53">
        <f>IF(B71&lt;&gt;"",hddtohms(getlatitude(B71,C71,D71)),"")</f>
        <v>45.181493164359317</v>
      </c>
      <c r="F71" s="53">
        <f>IF(B71&lt;&gt;"",hddtohms(-GetLongitude(B71,C71,D71)),"")</f>
        <v>117.47163284525064</v>
      </c>
      <c r="G71" s="58">
        <f t="shared" si="1"/>
        <v>3189.1880310709457</v>
      </c>
    </row>
    <row r="72" spans="1:7" x14ac:dyDescent="0.25">
      <c r="A72" s="66">
        <v>9338</v>
      </c>
      <c r="B72" s="69">
        <v>-6873285.1205937108</v>
      </c>
      <c r="C72" s="69">
        <v>-13043045.737028835</v>
      </c>
      <c r="D72" s="69">
        <v>14804637.696887683</v>
      </c>
      <c r="E72" s="53">
        <f>IF(B72&lt;&gt;"",hddtohms(getlatitude(B72,C72,D72)),"")</f>
        <v>45.184120780835912</v>
      </c>
      <c r="F72" s="53">
        <f>IF(B72&lt;&gt;"",hddtohms(-GetLongitude(B72,C72,D72)),"")</f>
        <v>117.47162794217599</v>
      </c>
      <c r="G72" s="58">
        <f t="shared" si="1"/>
        <v>3216.6136645610477</v>
      </c>
    </row>
    <row r="73" spans="1:7" x14ac:dyDescent="0.25">
      <c r="A73" s="66">
        <v>9339</v>
      </c>
      <c r="B73" s="69">
        <v>-6879623.8351909192</v>
      </c>
      <c r="C73" s="69">
        <v>-13043740.971091738</v>
      </c>
      <c r="D73" s="69">
        <v>14800611.290812731</v>
      </c>
      <c r="E73" s="53">
        <f>IF(B73&lt;&gt;"",hddtohms(getlatitude(B73,C73,D73)),"")</f>
        <v>45.174819203690937</v>
      </c>
      <c r="F73" s="53">
        <f>IF(B73&lt;&gt;"",hddtohms(-GetLongitude(B73,C73,D73)),"")</f>
        <v>117.48301817722118</v>
      </c>
      <c r="G73" s="58">
        <f t="shared" si="1"/>
        <v>2866.1629585604351</v>
      </c>
    </row>
    <row r="74" spans="1:7" x14ac:dyDescent="0.25">
      <c r="A74" s="66">
        <v>9601</v>
      </c>
      <c r="B74" s="69">
        <v>-6926912.5117164832</v>
      </c>
      <c r="C74" s="69">
        <v>-12997172.656344015</v>
      </c>
      <c r="D74" s="69">
        <v>14819121.437955633</v>
      </c>
      <c r="E74" s="53">
        <f>IF(B74&lt;&gt;"",hddtohms(getlatitude(B74,C74,D74)),"")</f>
        <v>45.220998921615461</v>
      </c>
      <c r="F74" s="53">
        <f>IF(B74&lt;&gt;"",hddtohms(-GetLongitude(B74,C74,D74)),"")</f>
        <v>118.03202419610423</v>
      </c>
      <c r="G74" s="58">
        <f t="shared" si="1"/>
        <v>2679.4499980419823</v>
      </c>
    </row>
    <row r="75" spans="1:7" x14ac:dyDescent="0.25">
      <c r="A75" s="66">
        <v>9602</v>
      </c>
      <c r="B75" s="69">
        <v>-6927783.4280017838</v>
      </c>
      <c r="C75" s="69">
        <v>-12998869.530305287</v>
      </c>
      <c r="D75" s="69">
        <v>14817250.558022795</v>
      </c>
      <c r="E75" s="53">
        <f>IF(B75&lt;&gt;"",hddtohms(getlatitude(B75,C75,D75)),"")</f>
        <v>45.214361636342929</v>
      </c>
      <c r="F75" s="53">
        <f>IF(B75&lt;&gt;"",hddtohms(-GetLongitude(B75,C75,D75)),"")</f>
        <v>118.0319828694801</v>
      </c>
      <c r="G75" s="58">
        <f t="shared" si="1"/>
        <v>2688.0019218086964</v>
      </c>
    </row>
    <row r="76" spans="1:7" x14ac:dyDescent="0.25">
      <c r="A76" s="66">
        <v>9603</v>
      </c>
      <c r="B76" s="69">
        <v>-6938086.3254722413</v>
      </c>
      <c r="C76" s="69">
        <v>-12995605.099449931</v>
      </c>
      <c r="D76" s="69">
        <v>14815438.773272365</v>
      </c>
      <c r="E76" s="53">
        <f>IF(B76&lt;&gt;"",hddtohms(getlatitude(B76,C76,D76)),"")</f>
        <v>45.2117220567036</v>
      </c>
      <c r="F76" s="53">
        <f>IF(B76&lt;&gt;"",hddtohms(-GetLongitude(B76,C76,D76)),"")</f>
        <v>118.05486300106683</v>
      </c>
      <c r="G76" s="58">
        <f t="shared" si="1"/>
        <v>2782.2502740169512</v>
      </c>
    </row>
    <row r="77" spans="1:7" x14ac:dyDescent="0.25">
      <c r="A77" s="66">
        <v>9604</v>
      </c>
      <c r="B77" s="69">
        <v>-6933352.9127229946</v>
      </c>
      <c r="C77" s="69">
        <v>-12998070.556224702</v>
      </c>
      <c r="D77" s="69">
        <v>14815407.47485104</v>
      </c>
      <c r="E77" s="53">
        <f>IF(B77&lt;&gt;"",hddtohms(getlatitude(B77,C77,D77)),"")</f>
        <v>45.211737841275379</v>
      </c>
      <c r="F77" s="53">
        <f>IF(B77&lt;&gt;"",hddtohms(-GetLongitude(B77,C77,D77)),"")</f>
        <v>118.04339078336918</v>
      </c>
      <c r="G77" s="58">
        <f t="shared" si="1"/>
        <v>2722.4663946873334</v>
      </c>
    </row>
    <row r="78" spans="1:7" x14ac:dyDescent="0.25">
      <c r="A78" s="66">
        <v>9605</v>
      </c>
      <c r="B78" s="69">
        <v>-6928680.9307669597</v>
      </c>
      <c r="C78" s="69">
        <v>-13000527.957262836</v>
      </c>
      <c r="D78" s="69">
        <v>14815394.843165819</v>
      </c>
      <c r="E78" s="53">
        <f>IF(B78&lt;&gt;"",hddtohms(getlatitude(B78,C78,D78)),"")</f>
        <v>45.211749917702647</v>
      </c>
      <c r="F78" s="53">
        <f>IF(B78&lt;&gt;"",hddtohms(-GetLongitude(B78,C78,D78)),"")</f>
        <v>118.03199972280018</v>
      </c>
      <c r="G78" s="58">
        <f t="shared" si="1"/>
        <v>2692.6294305812899</v>
      </c>
    </row>
    <row r="79" spans="1:7" x14ac:dyDescent="0.25">
      <c r="A79" s="66">
        <v>9606</v>
      </c>
      <c r="B79" s="69">
        <v>-6924007.5126137733</v>
      </c>
      <c r="C79" s="69">
        <v>-13003004.488394126</v>
      </c>
      <c r="D79" s="69">
        <v>14815371.082782339</v>
      </c>
      <c r="E79" s="53">
        <f>IF(B79&lt;&gt;"",hddtohms(getlatitude(B79,C79,D79)),"")</f>
        <v>45.211741560222812</v>
      </c>
      <c r="F79" s="53">
        <f>IF(B79&lt;&gt;"",hddtohms(-GetLongitude(B79,C79,D79)),"")</f>
        <v>118.02059426920087</v>
      </c>
      <c r="G79" s="58">
        <f t="shared" si="1"/>
        <v>2667.5951551743165</v>
      </c>
    </row>
    <row r="80" spans="1:7" x14ac:dyDescent="0.25">
      <c r="A80" s="66">
        <v>9607</v>
      </c>
      <c r="B80" s="69">
        <v>-6934238.9745801715</v>
      </c>
      <c r="C80" s="69">
        <v>-12999729.95328773</v>
      </c>
      <c r="D80" s="69">
        <v>14813539.075008944</v>
      </c>
      <c r="E80" s="53">
        <f>IF(B80&lt;&gt;"",hddtohms(getlatitude(B80,C80,D80)),"")</f>
        <v>45.205120500804</v>
      </c>
      <c r="F80" s="53">
        <f>IF(B80&lt;&gt;"",hddtohms(-GetLongitude(B80,C80,D80)),"")</f>
        <v>118.04339191510631</v>
      </c>
      <c r="G80" s="58">
        <f t="shared" si="1"/>
        <v>2715.2267553966813</v>
      </c>
    </row>
    <row r="81" spans="1:7" x14ac:dyDescent="0.25">
      <c r="A81" s="66">
        <v>9609</v>
      </c>
      <c r="B81" s="69">
        <v>-6929568.2699295944</v>
      </c>
      <c r="C81" s="69">
        <v>-13002191.711724108</v>
      </c>
      <c r="D81" s="69">
        <v>14813529.405820845</v>
      </c>
      <c r="E81" s="53">
        <f>IF(B81&lt;&gt;"",hddtohms(getlatitude(B81,C81,D81)),"")</f>
        <v>45.2051315068151</v>
      </c>
      <c r="F81" s="53">
        <f>IF(B81&lt;&gt;"",hddtohms(-GetLongitude(B81,C81,D81)),"")</f>
        <v>118.03200050717221</v>
      </c>
      <c r="G81" s="58">
        <f t="shared" si="1"/>
        <v>2690.6201742460507</v>
      </c>
    </row>
    <row r="82" spans="1:7" x14ac:dyDescent="0.25">
      <c r="A82" s="66">
        <v>9610</v>
      </c>
      <c r="B82" s="69">
        <v>-6927236.1918065986</v>
      </c>
      <c r="C82" s="69">
        <v>-13003426.379438976</v>
      </c>
      <c r="D82" s="69">
        <v>14813525.312172774</v>
      </c>
      <c r="E82" s="53">
        <f>IF(B82&lt;&gt;"",hddtohms(getlatitude(B82,C82,D82)),"")</f>
        <v>45.205133596445037</v>
      </c>
      <c r="F82" s="53">
        <f>IF(B82&lt;&gt;"",hddtohms(-GetLongitude(B82,C82,D82)),"")</f>
        <v>118.02430634581825</v>
      </c>
      <c r="G82" s="58">
        <f t="shared" si="1"/>
        <v>2682.7744492985585</v>
      </c>
    </row>
    <row r="83" spans="1:7" x14ac:dyDescent="0.25">
      <c r="A83" s="66">
        <v>9611</v>
      </c>
      <c r="B83" s="69">
        <v>-6941741.7908506002</v>
      </c>
      <c r="C83" s="69">
        <v>-12996851.981681304</v>
      </c>
      <c r="D83" s="69">
        <v>14812612.316022817</v>
      </c>
      <c r="E83" s="53">
        <f>IF(B83&lt;&gt;"",hddtohms(getlatitude(B83,C83,D83)),"")</f>
        <v>45.203779466717108</v>
      </c>
      <c r="F83" s="53">
        <f>IF(B83&lt;&gt;"",hddtohms(-GetLongitude(B83,C83,D83)),"")</f>
        <v>118.06255509236567</v>
      </c>
      <c r="G83" s="58">
        <f t="shared" si="1"/>
        <v>2754.5846293470804</v>
      </c>
    </row>
    <row r="84" spans="1:7" x14ac:dyDescent="0.25">
      <c r="A84" s="66">
        <v>9612</v>
      </c>
      <c r="B84" s="69">
        <v>-6937000.5958669689</v>
      </c>
      <c r="C84" s="69">
        <v>-12999226.449811364</v>
      </c>
      <c r="D84" s="69">
        <v>14812711.129083106</v>
      </c>
      <c r="E84" s="53">
        <f>IF(B84&lt;&gt;"",hddtohms(getlatitude(B84,C84,D84)),"")</f>
        <v>45.203945129985307</v>
      </c>
      <c r="F84" s="53">
        <f>IF(B84&lt;&gt;"",hddtohms(-GetLongitude(B84,C84,D84)),"")</f>
        <v>118.05113467542728</v>
      </c>
      <c r="G84" s="58">
        <f t="shared" si="1"/>
        <v>2727.6843919651747</v>
      </c>
    </row>
    <row r="85" spans="1:7" x14ac:dyDescent="0.25">
      <c r="A85" s="66">
        <v>9613</v>
      </c>
      <c r="B85" s="69">
        <v>-6944417.0565008195</v>
      </c>
      <c r="C85" s="69">
        <v>-12996715.677463271</v>
      </c>
      <c r="D85" s="69">
        <v>14811871.176192863</v>
      </c>
      <c r="E85" s="53">
        <f>IF(B85&lt;&gt;"",hddtohms(getlatitude(B85,C85,D85)),"")</f>
        <v>45.202464482897611</v>
      </c>
      <c r="F85" s="53">
        <f>IF(B85&lt;&gt;"",hddtohms(-GetLongitude(B85,C85,D85)),"")</f>
        <v>118.06594810371249</v>
      </c>
      <c r="G85" s="58">
        <f t="shared" si="1"/>
        <v>3028.9182144108854</v>
      </c>
    </row>
    <row r="86" spans="1:7" x14ac:dyDescent="0.25">
      <c r="A86" s="66">
        <v>9614</v>
      </c>
      <c r="B86" s="69">
        <v>-6939842.9760566773</v>
      </c>
      <c r="C86" s="69">
        <v>-12998914.568184732</v>
      </c>
      <c r="D86" s="69">
        <v>14811672.616713872</v>
      </c>
      <c r="E86" s="53">
        <f>IF(B86&lt;&gt;"",hddtohms(getlatitude(B86,C86,D86)),"")</f>
        <v>45.202477908383337</v>
      </c>
      <c r="F86" s="53">
        <f>IF(B86&lt;&gt;"",hddtohms(-GetLongitude(B86,C86,D86)),"")</f>
        <v>118.05485039754333</v>
      </c>
      <c r="G86" s="58">
        <f t="shared" si="1"/>
        <v>2736.325873598882</v>
      </c>
    </row>
    <row r="87" spans="1:7" x14ac:dyDescent="0.25">
      <c r="A87" s="66">
        <v>9615</v>
      </c>
      <c r="B87" s="69">
        <v>-6935127.1806442486</v>
      </c>
      <c r="C87" s="69">
        <v>-13001393.847748635</v>
      </c>
      <c r="D87" s="69">
        <v>14811675.311862584</v>
      </c>
      <c r="E87" s="53">
        <f>IF(B87&lt;&gt;"",hddtohms(getlatitude(B87,C87,D87)),"")</f>
        <v>45.202502877594533</v>
      </c>
      <c r="F87" s="53">
        <f>IF(B87&lt;&gt;"",hddtohms(-GetLongitude(B87,C87,D87)),"")</f>
        <v>118.04339273189781</v>
      </c>
      <c r="G87" s="58">
        <f t="shared" si="1"/>
        <v>2715.1201334659327</v>
      </c>
    </row>
    <row r="88" spans="1:7" x14ac:dyDescent="0.25">
      <c r="A88" s="66">
        <v>9616</v>
      </c>
      <c r="B88" s="69">
        <v>-6928128.038567584</v>
      </c>
      <c r="C88" s="69">
        <v>-13005098.325593578</v>
      </c>
      <c r="D88" s="69">
        <v>14811653.806724001</v>
      </c>
      <c r="E88" s="53">
        <f>IF(B88&lt;&gt;"",hddtohms(getlatitude(B88,C88,D88)),"")</f>
        <v>45.202504405547721</v>
      </c>
      <c r="F88" s="53">
        <f>IF(B88&lt;&gt;"",hddtohms(-GetLongitude(B88,C88,D88)),"")</f>
        <v>118.02430778022168</v>
      </c>
      <c r="G88" s="58">
        <f t="shared" si="1"/>
        <v>2683.356785945316</v>
      </c>
    </row>
    <row r="89" spans="1:7" x14ac:dyDescent="0.25">
      <c r="A89" s="66">
        <v>9617</v>
      </c>
      <c r="B89" s="69">
        <v>-6925742.4534731591</v>
      </c>
      <c r="C89" s="69">
        <v>-13006339.875144267</v>
      </c>
      <c r="D89" s="69">
        <v>14811657.000324218</v>
      </c>
      <c r="E89" s="53">
        <f>IF(B89&lt;&gt;"",hddtohms(getlatitude(B89,C89,D89)),"")</f>
        <v>45.202524612688087</v>
      </c>
      <c r="F89" s="53">
        <f>IF(B89&lt;&gt;"",hddtohms(-GetLongitude(B89,C89,D89)),"")</f>
        <v>118.02054345264334</v>
      </c>
      <c r="G89" s="58">
        <f t="shared" si="1"/>
        <v>2667.6188592988365</v>
      </c>
    </row>
    <row r="90" spans="1:7" x14ac:dyDescent="0.25">
      <c r="A90" s="66">
        <v>9618</v>
      </c>
      <c r="B90" s="69">
        <v>-6921068.038139509</v>
      </c>
      <c r="C90" s="69">
        <v>-13008803.68788499</v>
      </c>
      <c r="D90" s="69">
        <v>14811662.181934703</v>
      </c>
      <c r="E90" s="53">
        <f>IF(B90&lt;&gt;"",hddtohms(getlatitude(B90,C90,D90)),"")</f>
        <v>45.202543202067979</v>
      </c>
      <c r="F90" s="53">
        <f>IF(B90&lt;&gt;"",hddtohms(-GetLongitude(B90,C90,D90)),"")</f>
        <v>118.0051470074041</v>
      </c>
      <c r="G90" s="58">
        <f t="shared" si="1"/>
        <v>2656.2953045595023</v>
      </c>
    </row>
    <row r="91" spans="1:7" x14ac:dyDescent="0.25">
      <c r="A91" s="66">
        <v>9619</v>
      </c>
      <c r="B91" s="69">
        <v>-6945439.4087344408</v>
      </c>
      <c r="C91" s="69">
        <v>-12998600.620306695</v>
      </c>
      <c r="D91" s="69">
        <v>14810276.180696191</v>
      </c>
      <c r="E91" s="53">
        <f>IF(B91&lt;&gt;"",hddtohms(getlatitude(B91,C91,D91)),"")</f>
        <v>45.195852147903572</v>
      </c>
      <c r="F91" s="53">
        <f>IF(B91&lt;&gt;"",hddtohms(-GetLongitude(B91,C91,D91)),"")</f>
        <v>118.06596685161622</v>
      </c>
      <c r="G91" s="58">
        <f t="shared" si="1"/>
        <v>3401.7993527247418</v>
      </c>
    </row>
    <row r="92" spans="1:7" x14ac:dyDescent="0.25">
      <c r="A92" s="66">
        <v>9620</v>
      </c>
      <c r="B92" s="69">
        <v>-6943049.8413419966</v>
      </c>
      <c r="C92" s="69">
        <v>-12999387.260637252</v>
      </c>
      <c r="D92" s="69">
        <v>14809879.339800563</v>
      </c>
      <c r="E92" s="53">
        <f>IF(B92&lt;&gt;"",hddtohms(getlatitude(B92,C92,D92)),"")</f>
        <v>45.195880126589692</v>
      </c>
      <c r="F92" s="53">
        <f>IF(B92&lt;&gt;"",hddtohms(-GetLongitude(B92,C92,D92)),"")</f>
        <v>118.06249822171034</v>
      </c>
      <c r="G92" s="58">
        <f t="shared" si="1"/>
        <v>2815.7997268085928</v>
      </c>
    </row>
    <row r="93" spans="1:7" x14ac:dyDescent="0.25">
      <c r="A93" s="66">
        <v>9621</v>
      </c>
      <c r="B93" s="69">
        <v>-6931358.4966431772</v>
      </c>
      <c r="C93" s="69">
        <v>-13005492.847546162</v>
      </c>
      <c r="D93" s="69">
        <v>14809810.252516517</v>
      </c>
      <c r="E93" s="53">
        <f>IF(B93&lt;&gt;"",hddtohms(getlatitude(B93,C93,D93)),"")</f>
        <v>45.195914014233978</v>
      </c>
      <c r="F93" s="53">
        <f>IF(B93&lt;&gt;"",hddtohms(-GetLongitude(B93,C93,D93)),"")</f>
        <v>118.03203864071291</v>
      </c>
      <c r="G93" s="58">
        <f t="shared" si="1"/>
        <v>2684.7276335558199</v>
      </c>
    </row>
    <row r="94" spans="1:7" x14ac:dyDescent="0.25">
      <c r="A94" s="66">
        <v>9622</v>
      </c>
      <c r="B94" s="69">
        <v>-6946384.2778300289</v>
      </c>
      <c r="C94" s="69">
        <v>-13000339.486021725</v>
      </c>
      <c r="D94" s="69">
        <v>14808513.594250999</v>
      </c>
      <c r="E94" s="53">
        <f>IF(B94&lt;&gt;"",hddtohms(getlatitude(B94,C94,D94)),"")</f>
        <v>45.1932396623221</v>
      </c>
      <c r="F94" s="53">
        <f>IF(B94&lt;&gt;"",hddtohms(-GetLongitude(B94,C94,D94)),"")</f>
        <v>118.06598629667663</v>
      </c>
      <c r="G94" s="58">
        <f t="shared" si="1"/>
        <v>3539.5828891046931</v>
      </c>
    </row>
    <row r="95" spans="1:7" x14ac:dyDescent="0.25">
      <c r="A95" s="66">
        <v>9623</v>
      </c>
      <c r="B95" s="69">
        <v>-6943922.5084838709</v>
      </c>
      <c r="C95" s="69">
        <v>-13001097.381001316</v>
      </c>
      <c r="D95" s="69">
        <v>14808058.153948255</v>
      </c>
      <c r="E95" s="53">
        <f>IF(B95&lt;&gt;"",hddtohms(getlatitude(B95,C95,D95)),"")</f>
        <v>45.193268576056042</v>
      </c>
      <c r="F95" s="53">
        <f>IF(B95&lt;&gt;"",hddtohms(-GetLongitude(B95,C95,D95)),"")</f>
        <v>118.06244795955409</v>
      </c>
      <c r="G95" s="58">
        <f t="shared" si="1"/>
        <v>2870.1647445245453</v>
      </c>
    </row>
    <row r="96" spans="1:7" x14ac:dyDescent="0.25">
      <c r="A96" s="66">
        <v>9624</v>
      </c>
      <c r="B96" s="69">
        <v>-6941524.2297513513</v>
      </c>
      <c r="C96" s="69">
        <v>-13002235.906480966</v>
      </c>
      <c r="D96" s="69">
        <v>14807987.603700807</v>
      </c>
      <c r="E96" s="53">
        <f>IF(B96&lt;&gt;"",hddtohms(getlatitude(B96,C96,D96)),"")</f>
        <v>45.193307619563356</v>
      </c>
      <c r="F96" s="53">
        <f>IF(B96&lt;&gt;"",hddtohms(-GetLongitude(B96,C96,D96)),"")</f>
        <v>118.05473689882355</v>
      </c>
      <c r="G96" s="58">
        <f t="shared" si="1"/>
        <v>2731.8508406447254</v>
      </c>
    </row>
    <row r="97" spans="1:7" x14ac:dyDescent="0.25">
      <c r="A97" s="66">
        <v>9625</v>
      </c>
      <c r="B97" s="69">
        <v>-6939138.004156691</v>
      </c>
      <c r="C97" s="69">
        <v>-13003492.252625644</v>
      </c>
      <c r="D97" s="69">
        <v>14807979.818802658</v>
      </c>
      <c r="E97" s="53">
        <f>IF(B97&lt;&gt;"",hddtohms(getlatitude(B97,C97,D97)),"")</f>
        <v>45.193312937398581</v>
      </c>
      <c r="F97" s="53">
        <f>IF(B97&lt;&gt;"",hddtohms(-GetLongitude(B97,C97,D97)),"")</f>
        <v>118.05096302986206</v>
      </c>
      <c r="G97" s="58">
        <f t="shared" si="1"/>
        <v>2715.577465996761</v>
      </c>
    </row>
    <row r="98" spans="1:7" x14ac:dyDescent="0.25">
      <c r="A98" s="66">
        <v>9626</v>
      </c>
      <c r="B98" s="69">
        <v>-6934559.329078218</v>
      </c>
      <c r="C98" s="69">
        <v>-13005939.170005322</v>
      </c>
      <c r="D98" s="69">
        <v>14807981.742124431</v>
      </c>
      <c r="E98" s="53">
        <f>IF(B98&lt;&gt;"",hddtohms(getlatitude(B98,C98,D98)),"")</f>
        <v>45.19331141989467</v>
      </c>
      <c r="F98" s="53">
        <f>IF(B98&lt;&gt;"",hddtohms(-GetLongitude(B98,C98,D98)),"")</f>
        <v>118.03569786555124</v>
      </c>
      <c r="G98" s="58">
        <f t="shared" si="1"/>
        <v>2719.8019340028004</v>
      </c>
    </row>
    <row r="99" spans="1:7" x14ac:dyDescent="0.25">
      <c r="A99" s="66">
        <v>9627</v>
      </c>
      <c r="B99" s="69">
        <v>-6927555.4684708528</v>
      </c>
      <c r="C99" s="69">
        <v>-13009636.340351187</v>
      </c>
      <c r="D99" s="69">
        <v>14807932.129500436</v>
      </c>
      <c r="E99" s="53">
        <f>IF(B99&lt;&gt;"",hddtohms(getlatitude(B99,C99,D99)),"")</f>
        <v>45.193298520941461</v>
      </c>
      <c r="F99" s="53">
        <f>IF(B99&lt;&gt;"",hddtohms(-GetLongitude(B99,C99,D99)),"")</f>
        <v>118.02061470211412</v>
      </c>
      <c r="G99" s="58">
        <f t="shared" si="1"/>
        <v>2662.9533522939892</v>
      </c>
    </row>
    <row r="100" spans="1:7" x14ac:dyDescent="0.25">
      <c r="A100" s="66">
        <v>9628</v>
      </c>
      <c r="B100" s="69">
        <v>-6947245.3350046631</v>
      </c>
      <c r="C100" s="69">
        <v>-13001932.097715355</v>
      </c>
      <c r="D100" s="69">
        <v>14806599.158358485</v>
      </c>
      <c r="E100" s="53">
        <f>IF(B100&lt;&gt;"",hddtohms(getlatitude(B100,C100,D100)),"")</f>
        <v>45.190640067518103</v>
      </c>
      <c r="F100" s="53">
        <f>IF(B100&lt;&gt;"",hddtohms(-GetLongitude(B100,C100,D100)),"")</f>
        <v>118.06599874566808</v>
      </c>
      <c r="G100" s="58">
        <f t="shared" si="1"/>
        <v>3451.2545777864343</v>
      </c>
    </row>
    <row r="101" spans="1:7" x14ac:dyDescent="0.25">
      <c r="A101" s="66">
        <v>9629</v>
      </c>
      <c r="B101" s="69">
        <v>-6944826.9824915193</v>
      </c>
      <c r="C101" s="69">
        <v>-13002776.640852692</v>
      </c>
      <c r="D101" s="69">
        <v>14806233.837471265</v>
      </c>
      <c r="E101" s="53">
        <f>IF(B101&lt;&gt;"",hddtohms(getlatitude(B101,C101,D101)),"")</f>
        <v>45.190663451515448</v>
      </c>
      <c r="F101" s="53">
        <f>IF(B101&lt;&gt;"",hddtohms(-GetLongitude(B101,C101,D101)),"")</f>
        <v>118.06245731084294</v>
      </c>
      <c r="G101" s="58">
        <f t="shared" si="1"/>
        <v>2914.0345582788013</v>
      </c>
    </row>
    <row r="102" spans="1:7" x14ac:dyDescent="0.25">
      <c r="A102" s="66">
        <v>9630</v>
      </c>
      <c r="B102" s="69">
        <v>-6942439.2544393828</v>
      </c>
      <c r="C102" s="69">
        <v>-13003915.236122288</v>
      </c>
      <c r="D102" s="69">
        <v>14806146.364818925</v>
      </c>
      <c r="E102" s="53">
        <f>IF(B102&lt;&gt;"",hddtohms(getlatitude(B102,C102,D102)),"")</f>
        <v>45.190687200931954</v>
      </c>
      <c r="F102" s="53">
        <f>IF(B102&lt;&gt;"",hddtohms(-GetLongitude(B102,C102,D102)),"")</f>
        <v>118.05475970768974</v>
      </c>
      <c r="G102" s="58">
        <f t="shared" si="1"/>
        <v>2767.2197589710941</v>
      </c>
    </row>
    <row r="103" spans="1:7" ht="15.75" thickBot="1" x14ac:dyDescent="0.3">
      <c r="A103" s="68">
        <v>9631</v>
      </c>
      <c r="B103" s="70">
        <v>-6937792.6467239689</v>
      </c>
      <c r="C103" s="70">
        <v>-13006338.336249018</v>
      </c>
      <c r="D103" s="70">
        <v>14806104.929523861</v>
      </c>
      <c r="E103" s="54">
        <f>IF(B103&lt;&gt;"",hddtohms(getlatitude(B103,C103,D103)),"")</f>
        <v>45.190693449494027</v>
      </c>
      <c r="F103" s="54">
        <f>IF(B103&lt;&gt;"",hddtohms(-GetLongitude(B103,C103,D103)),"")</f>
        <v>118.04342730808528</v>
      </c>
      <c r="G103" s="59">
        <f t="shared" si="1"/>
        <v>2702.6848453882794</v>
      </c>
    </row>
    <row r="104" spans="1:7" ht="15.75" thickBot="1" x14ac:dyDescent="0.3">
      <c r="A104" s="68">
        <v>9632</v>
      </c>
      <c r="B104" s="70">
        <v>-6948157.9096364575</v>
      </c>
      <c r="C104" s="70">
        <v>-13003620.797461631</v>
      </c>
      <c r="D104" s="70">
        <v>14804795.748865554</v>
      </c>
      <c r="E104" s="54">
        <f>IF(B104&lt;&gt;"",hddtohms(getlatitude(B104,C104,D104)),"")</f>
        <v>45.184041008565345</v>
      </c>
      <c r="F104" s="54">
        <f>IF(B104&lt;&gt;"",hddtohms(-GetLongitude(B104,C104,D104)),"")</f>
        <v>118.0700114078134</v>
      </c>
      <c r="G104" s="59">
        <f t="shared" ref="G104:G167" si="2">IF(B104&lt;&gt;"",GetHeight(B104,C104,D104),"")</f>
        <v>3518.8649779472325</v>
      </c>
    </row>
    <row r="105" spans="1:7" ht="15.75" thickBot="1" x14ac:dyDescent="0.3">
      <c r="A105" s="68">
        <v>9633</v>
      </c>
      <c r="B105" s="70">
        <v>-6945816.4076509438</v>
      </c>
      <c r="C105" s="70">
        <v>-13004612.225925649</v>
      </c>
      <c r="D105" s="70">
        <v>14804586.471930956</v>
      </c>
      <c r="E105" s="54">
        <f>IF(B105&lt;&gt;"",hddtohms(getlatitude(B105,C105,D105)),"")</f>
        <v>45.184056318205293</v>
      </c>
      <c r="F105" s="54">
        <f>IF(B105&lt;&gt;"",hddtohms(-GetLongitude(B105,C105,D105)),"")</f>
        <v>118.06246845801479</v>
      </c>
      <c r="G105" s="59">
        <f t="shared" si="2"/>
        <v>3209.1561625317954</v>
      </c>
    </row>
    <row r="106" spans="1:7" ht="15.75" thickBot="1" x14ac:dyDescent="0.3">
      <c r="A106" s="68">
        <v>9634</v>
      </c>
      <c r="B106" s="70">
        <v>-6943370.1795982877</v>
      </c>
      <c r="C106" s="70">
        <v>-13005632.54674921</v>
      </c>
      <c r="D106" s="70">
        <v>14804356.618099274</v>
      </c>
      <c r="E106" s="54">
        <f>IF(B106&lt;&gt;"",hddtohms(getlatitude(B106,C106,D106)),"")</f>
        <v>45.184073765417658</v>
      </c>
      <c r="F106" s="54">
        <f>IF(B106&lt;&gt;"",hddtohms(-GetLongitude(B106,C106,D106)),"")</f>
        <v>118.05477710906102</v>
      </c>
      <c r="G106" s="59">
        <f t="shared" si="2"/>
        <v>2868.3625859293552</v>
      </c>
    </row>
    <row r="107" spans="1:7" ht="15.75" thickBot="1" x14ac:dyDescent="0.3">
      <c r="A107" s="68">
        <v>9635</v>
      </c>
      <c r="B107" s="70">
        <v>-6933994.177346997</v>
      </c>
      <c r="C107" s="70">
        <v>-13010500.131142477</v>
      </c>
      <c r="D107" s="70">
        <v>14804210.457705501</v>
      </c>
      <c r="E107" s="54">
        <f>IF(B107&lt;&gt;"",hddtohms(getlatitude(B107,C107,D107)),"")</f>
        <v>45.184055089807963</v>
      </c>
      <c r="F107" s="54">
        <f>IF(B107&lt;&gt;"",hddtohms(-GetLongitude(B107,C107,D107)),"")</f>
        <v>118.03199791832074</v>
      </c>
      <c r="G107" s="59">
        <f t="shared" si="2"/>
        <v>2681.4881181816399</v>
      </c>
    </row>
    <row r="108" spans="1:7" ht="15.75" thickBot="1" x14ac:dyDescent="0.3">
      <c r="A108" s="68">
        <v>9636</v>
      </c>
      <c r="B108" s="70">
        <v>-6931622.5991547471</v>
      </c>
      <c r="C108" s="70">
        <v>-13011759.752376867</v>
      </c>
      <c r="D108" s="70">
        <v>14804207.597291114</v>
      </c>
      <c r="E108" s="54">
        <f>IF(B108&lt;&gt;"",hddtohms(getlatitude(B108,C108,D108)),"")</f>
        <v>45.184055608055644</v>
      </c>
      <c r="F108" s="54">
        <f>IF(B108&lt;&gt;"",hddtohms(-GetLongitude(B108,C108,D108)),"")</f>
        <v>118.02424092684824</v>
      </c>
      <c r="G108" s="59">
        <f t="shared" si="2"/>
        <v>2676.9453787989332</v>
      </c>
    </row>
    <row r="109" spans="1:7" ht="15.75" thickBot="1" x14ac:dyDescent="0.3">
      <c r="A109" s="68">
        <v>9637</v>
      </c>
      <c r="B109" s="70">
        <v>-6929303.9448136631</v>
      </c>
      <c r="C109" s="70">
        <v>-13013000.94777734</v>
      </c>
      <c r="D109" s="70">
        <v>14804184.501634967</v>
      </c>
      <c r="E109" s="54">
        <f>IF(B109&lt;&gt;"",hddtohms(getlatitude(B109,C109,D109)),"")</f>
        <v>45.184035691482656</v>
      </c>
      <c r="F109" s="54">
        <f>IF(B109&lt;&gt;"",hddtohms(-GetLongitude(B109,C109,D109)),"")</f>
        <v>118.02056140648308</v>
      </c>
      <c r="G109" s="59">
        <f t="shared" si="2"/>
        <v>2664.4162257478947</v>
      </c>
    </row>
    <row r="110" spans="1:7" ht="15.75" thickBot="1" x14ac:dyDescent="0.3">
      <c r="A110" s="68">
        <v>9638</v>
      </c>
      <c r="B110" s="70">
        <v>-6950012.8345182091</v>
      </c>
      <c r="C110" s="70">
        <v>-13007139.20329464</v>
      </c>
      <c r="D110" s="70">
        <v>14801220.570317825</v>
      </c>
      <c r="E110" s="54">
        <f>IF(B110&lt;&gt;"",hddtohms(getlatitude(B110,C110,D110)),"")</f>
        <v>45.174767799215388</v>
      </c>
      <c r="F110" s="54">
        <f>IF(B110&lt;&gt;"",hddtohms(-GetLongitude(B110,C110,D110)),"")</f>
        <v>118.06598051030657</v>
      </c>
      <c r="G110" s="59">
        <f t="shared" si="2"/>
        <v>3774.924219855995</v>
      </c>
    </row>
    <row r="111" spans="1:7" ht="15.75" thickBot="1" x14ac:dyDescent="0.3">
      <c r="A111" s="68">
        <v>9640</v>
      </c>
      <c r="B111" s="70">
        <v>-6934843.0395230073</v>
      </c>
      <c r="C111" s="70">
        <v>-13012186.020520881</v>
      </c>
      <c r="D111" s="70">
        <v>14802330.614298591</v>
      </c>
      <c r="E111" s="54">
        <f>IF(B111&lt;&gt;"",hddtohms(getlatitude(B111,C111,D111)),"")</f>
        <v>45.181425645673833</v>
      </c>
      <c r="F111" s="54">
        <f>IF(B111&lt;&gt;"",hddtohms(-GetLongitude(B111,C111,D111)),"")</f>
        <v>118.0319366383649</v>
      </c>
      <c r="G111" s="59">
        <f t="shared" si="2"/>
        <v>2672.2674073986182</v>
      </c>
    </row>
    <row r="112" spans="1:7" ht="15.75" thickBot="1" x14ac:dyDescent="0.3">
      <c r="A112" s="68">
        <v>9641</v>
      </c>
      <c r="B112" s="70">
        <v>-6935696.9119045632</v>
      </c>
      <c r="C112" s="70">
        <v>-13013875.062795693</v>
      </c>
      <c r="D112" s="70">
        <v>14800455.892284716</v>
      </c>
      <c r="E112" s="54">
        <f>IF(B112&lt;&gt;"",hddtohms(getlatitude(B112,C112,D112)),"")</f>
        <v>45.174796146542306</v>
      </c>
      <c r="F112" s="54">
        <f>IF(B112&lt;&gt;"",hddtohms(-GetLongitude(B112,C112,D112)),"")</f>
        <v>118.03187948437386</v>
      </c>
      <c r="G112" s="59">
        <f t="shared" si="2"/>
        <v>2670.6412471758958</v>
      </c>
    </row>
    <row r="113" spans="1:7" ht="15.75" thickBot="1" x14ac:dyDescent="0.3">
      <c r="A113" s="68">
        <v>9642</v>
      </c>
      <c r="B113" s="70">
        <v>-6931081.1170291873</v>
      </c>
      <c r="C113" s="70">
        <v>-13016345.899889126</v>
      </c>
      <c r="D113" s="70">
        <v>14800431.941946551</v>
      </c>
      <c r="E113" s="54">
        <f>IF(B113&lt;&gt;"",hddtohms(getlatitude(B113,C113,D113)),"")</f>
        <v>45.174772134303531</v>
      </c>
      <c r="F113" s="54">
        <f>IF(B113&lt;&gt;"",hddtohms(-GetLongitude(B113,C113,D113)),"")</f>
        <v>118.02055648763452</v>
      </c>
      <c r="G113" s="59">
        <f t="shared" si="2"/>
        <v>2661.0176010644445</v>
      </c>
    </row>
    <row r="114" spans="1:7" ht="15.75" thickBot="1" x14ac:dyDescent="0.3">
      <c r="A114" s="68">
        <v>9643</v>
      </c>
      <c r="B114" s="70">
        <v>-6927256.9201905653</v>
      </c>
      <c r="C114" s="70">
        <v>-13020478.682817915</v>
      </c>
      <c r="D114" s="70">
        <v>14798589.438641494</v>
      </c>
      <c r="E114" s="54">
        <f>IF(B114&lt;&gt;"",hddtohms(getlatitude(B114,C114,D114)),"")</f>
        <v>45.172193606128332</v>
      </c>
      <c r="F114" s="54">
        <f>IF(B114&lt;&gt;"",hddtohms(-GetLongitude(B114,C114,D114)),"")</f>
        <v>118.00511915272844</v>
      </c>
      <c r="G114" s="59">
        <f t="shared" si="2"/>
        <v>2653.9515217393382</v>
      </c>
    </row>
    <row r="115" spans="1:7" ht="15.75" thickBot="1" x14ac:dyDescent="0.3">
      <c r="A115" s="68">
        <v>9901</v>
      </c>
      <c r="B115" s="70">
        <v>-6900602.8023238247</v>
      </c>
      <c r="C115" s="70">
        <v>-12964220.724707019</v>
      </c>
      <c r="D115" s="70">
        <v>14860103.507622903</v>
      </c>
      <c r="E115" s="54">
        <f>IF(B115&lt;&gt;"",hddtohms(getlatitude(B115,C115,D115)),"")</f>
        <v>45.314541020511591</v>
      </c>
      <c r="F115" s="54">
        <f>IF(B115&lt;&gt;"",hddtohms(-GetLongitude(B115,C115,D115)),"")</f>
        <v>118.01318192584627</v>
      </c>
      <c r="G115" s="59">
        <f t="shared" si="2"/>
        <v>2804.3393728038282</v>
      </c>
    </row>
    <row r="116" spans="1:7" ht="15.75" thickBot="1" x14ac:dyDescent="0.3">
      <c r="A116" s="68">
        <v>9902</v>
      </c>
      <c r="B116" s="70">
        <v>-6898327.2622268591</v>
      </c>
      <c r="C116" s="70">
        <v>-12965546.136068365</v>
      </c>
      <c r="D116" s="70">
        <v>14860183.65537885</v>
      </c>
      <c r="E116" s="54">
        <f>IF(B116&lt;&gt;"",hddtohms(getlatitude(B116,C116,D116)),"")</f>
        <v>45.314525275618408</v>
      </c>
      <c r="F116" s="54">
        <f>IF(B116&lt;&gt;"",hddtohms(-GetLongitude(B116,C116,D116)),"")</f>
        <v>118.00548614379569</v>
      </c>
      <c r="G116" s="59">
        <f t="shared" si="2"/>
        <v>2932.3107685052364</v>
      </c>
    </row>
    <row r="117" spans="1:7" ht="15.75" thickBot="1" x14ac:dyDescent="0.3">
      <c r="A117" s="68">
        <v>9903</v>
      </c>
      <c r="B117" s="70">
        <v>-6899157.6172853727</v>
      </c>
      <c r="C117" s="70">
        <v>-12967141.20907766</v>
      </c>
      <c r="D117" s="70">
        <v>14858240.810824519</v>
      </c>
      <c r="E117" s="54">
        <f>IF(B117&lt;&gt;"",hddtohms(getlatitude(B117,C117,D117)),"")</f>
        <v>45.311915015662237</v>
      </c>
      <c r="F117" s="54">
        <f>IF(B117&lt;&gt;"",hddtohms(-GetLongitude(B117,C117,D117)),"")</f>
        <v>118.00546345101263</v>
      </c>
      <c r="G117" s="59">
        <f t="shared" si="2"/>
        <v>2805.761845304336</v>
      </c>
    </row>
    <row r="118" spans="1:7" ht="15.75" thickBot="1" x14ac:dyDescent="0.3">
      <c r="A118" s="68" t="s">
        <v>78</v>
      </c>
      <c r="B118" s="70">
        <v>-6899152.3041845579</v>
      </c>
      <c r="C118" s="70">
        <v>-12967151.047576651</v>
      </c>
      <c r="D118" s="70">
        <v>14858231.241731042</v>
      </c>
      <c r="E118" s="54">
        <f>IF(B118&lt;&gt;"",hddtohms(getlatitude(B118,C118,D118)),"")</f>
        <v>45.311904037443234</v>
      </c>
      <c r="F118" s="54">
        <f>IF(B118&lt;&gt;"",hddtohms(-GetLongitude(B118,C118,D118)),"")</f>
        <v>118.00545037472111</v>
      </c>
      <c r="G118" s="59">
        <f t="shared" si="2"/>
        <v>2803.2710948070253</v>
      </c>
    </row>
    <row r="119" spans="1:7" ht="15.75" thickBot="1" x14ac:dyDescent="0.3">
      <c r="A119" s="68">
        <v>9904</v>
      </c>
      <c r="B119" s="70">
        <v>-6900003.3895050129</v>
      </c>
      <c r="C119" s="70">
        <v>-12968771.512372389</v>
      </c>
      <c r="D119" s="70">
        <v>14856341.17093594</v>
      </c>
      <c r="E119" s="54">
        <f>IF(B119&lt;&gt;"",hddtohms(getlatitude(B119,C119,D119)),"")</f>
        <v>45.305307602372814</v>
      </c>
      <c r="F119" s="54">
        <f>IF(B119&lt;&gt;"",hddtohms(-GetLongitude(B119,C119,D119)),"")</f>
        <v>118.00543663966036</v>
      </c>
      <c r="G119" s="59">
        <f t="shared" si="2"/>
        <v>2737.239482178893</v>
      </c>
    </row>
    <row r="120" spans="1:7" ht="15.75" thickBot="1" x14ac:dyDescent="0.3">
      <c r="A120" s="68">
        <v>9905</v>
      </c>
      <c r="B120" s="70">
        <v>-6904686.5550466189</v>
      </c>
      <c r="C120" s="70">
        <v>-12966299.180131141</v>
      </c>
      <c r="D120" s="70">
        <v>14856353.12631302</v>
      </c>
      <c r="E120" s="54">
        <f>IF(B120&lt;&gt;"",hddtohms(getlatitude(B120,C120,D120)),"")</f>
        <v>45.305303178823621</v>
      </c>
      <c r="F120" s="54">
        <f>IF(B120&lt;&gt;"",hddtohms(-GetLongitude(B120,C120,D120)),"")</f>
        <v>118.02087232746345</v>
      </c>
      <c r="G120" s="59">
        <f t="shared" si="2"/>
        <v>2758.3984044789813</v>
      </c>
    </row>
    <row r="121" spans="1:7" ht="15.75" thickBot="1" x14ac:dyDescent="0.3">
      <c r="A121" s="68">
        <v>9906</v>
      </c>
      <c r="B121" s="70">
        <v>-6903813.6994969323</v>
      </c>
      <c r="C121" s="70">
        <v>-12964634.299463375</v>
      </c>
      <c r="D121" s="70">
        <v>14858237.471938249</v>
      </c>
      <c r="E121" s="54">
        <f>IF(B121&lt;&gt;"",hddtohms(getlatitude(B121,C121,D121)),"")</f>
        <v>45.311930469387278</v>
      </c>
      <c r="F121" s="54">
        <f>IF(B121&lt;&gt;"",hddtohms(-GetLongitude(B121,C121,D121)),"")</f>
        <v>118.02088932146943</v>
      </c>
      <c r="G121" s="59">
        <f t="shared" si="2"/>
        <v>2785.7101143479795</v>
      </c>
    </row>
    <row r="122" spans="1:7" ht="15.75" thickBot="1" x14ac:dyDescent="0.3">
      <c r="A122" s="68" t="s">
        <v>79</v>
      </c>
      <c r="B122" s="70">
        <v>-6903431.9216479762</v>
      </c>
      <c r="C122" s="70">
        <v>-12964859.065351292</v>
      </c>
      <c r="D122" s="70">
        <v>14858213.320877818</v>
      </c>
      <c r="E122" s="54">
        <f>IF(B122&lt;&gt;"",hddtohms(getlatitude(B122,C122,D122)),"")</f>
        <v>45.311900416475659</v>
      </c>
      <c r="F122" s="54">
        <f>IF(B122&lt;&gt;"",hddtohms(-GetLongitude(B122,C122,D122)),"")</f>
        <v>118.0202677533225</v>
      </c>
      <c r="G122" s="59">
        <f t="shared" si="2"/>
        <v>2781.7568255554943</v>
      </c>
    </row>
    <row r="123" spans="1:7" ht="15.75" thickBot="1" x14ac:dyDescent="0.3">
      <c r="A123" s="68">
        <v>9908</v>
      </c>
      <c r="B123" s="70">
        <v>-6924050.9540411569</v>
      </c>
      <c r="C123" s="70">
        <v>-12986043.075971263</v>
      </c>
      <c r="D123" s="70">
        <v>14830481.871381765</v>
      </c>
      <c r="E123" s="54">
        <f>IF(B123&lt;&gt;"",hddtohms(getlatitude(B123,C123,D123)),"")</f>
        <v>45.244722798022323</v>
      </c>
      <c r="F123" s="54">
        <f>IF(B123&lt;&gt;"",hddtohms(-GetLongitude(B123,C123,D123)),"")</f>
        <v>118.03582142402092</v>
      </c>
      <c r="G123" s="59">
        <f t="shared" si="2"/>
        <v>2924.7391242429112</v>
      </c>
    </row>
    <row r="124" spans="1:7" ht="15.75" thickBot="1" x14ac:dyDescent="0.3">
      <c r="A124" s="68">
        <v>9909</v>
      </c>
      <c r="B124" s="70">
        <v>-6922461.8955830103</v>
      </c>
      <c r="C124" s="70">
        <v>-12988770.225262089</v>
      </c>
      <c r="D124" s="70">
        <v>14828379.119629527</v>
      </c>
      <c r="E124" s="54">
        <f>IF(B124&lt;&gt;"",hddtohms(getlatitude(B124,C124,D124)),"")</f>
        <v>45.242099214008071</v>
      </c>
      <c r="F124" s="54">
        <f>IF(B124&lt;&gt;"",hddtohms(-GetLongitude(B124,C124,D124)),"")</f>
        <v>118.0320582117678</v>
      </c>
      <c r="G124" s="59">
        <f t="shared" si="2"/>
        <v>2591.9975106621514</v>
      </c>
    </row>
    <row r="125" spans="1:7" ht="15.75" thickBot="1" x14ac:dyDescent="0.3">
      <c r="A125" s="68" t="s">
        <v>80</v>
      </c>
      <c r="B125" s="70">
        <v>-6920169.0157607654</v>
      </c>
      <c r="C125" s="70">
        <v>-12990096.348129828</v>
      </c>
      <c r="D125" s="70">
        <v>14828426.965812253</v>
      </c>
      <c r="E125" s="54">
        <f>IF(B125&lt;&gt;"",hddtohms(getlatitude(B125,C125,D125)),"")</f>
        <v>45.242067618794991</v>
      </c>
      <c r="F125" s="54">
        <f>IF(B125&lt;&gt;"",hddtohms(-GetLongitude(B125,C125,D125)),"")</f>
        <v>118.0243484610248</v>
      </c>
      <c r="G125" s="59">
        <f t="shared" si="2"/>
        <v>2690.74363740632</v>
      </c>
    </row>
    <row r="126" spans="1:7" ht="15.75" thickBot="1" x14ac:dyDescent="0.3">
      <c r="A126" s="68">
        <v>9910</v>
      </c>
      <c r="B126" s="70">
        <v>-6913992.3507510573</v>
      </c>
      <c r="C126" s="70">
        <v>-12995478.841588756</v>
      </c>
      <c r="D126" s="70">
        <v>14826616.764364935</v>
      </c>
      <c r="E126" s="54">
        <f>IF(B126&lt;&gt;"",hddtohms(getlatitude(B126,C126,D126)),"")</f>
        <v>45.235513570268346</v>
      </c>
      <c r="F126" s="54">
        <f>IF(B126&lt;&gt;"",hddtohms(-GetLongitude(B126,C126,D126)),"")</f>
        <v>118.00516373808154</v>
      </c>
      <c r="G126" s="59">
        <f t="shared" si="2"/>
        <v>2699.6843401658698</v>
      </c>
    </row>
    <row r="127" spans="1:7" ht="15.75" thickBot="1" x14ac:dyDescent="0.3">
      <c r="A127" s="68">
        <v>9911</v>
      </c>
      <c r="B127" s="70">
        <v>-6929970.6595835751</v>
      </c>
      <c r="C127" s="70">
        <v>-12991690.2227422</v>
      </c>
      <c r="D127" s="70">
        <v>14823257.057002602</v>
      </c>
      <c r="E127" s="54">
        <f>IF(B127&lt;&gt;"",hddtohms(getlatitude(B127,C127,D127)),"")</f>
        <v>45.230254759908561</v>
      </c>
      <c r="F127" s="54">
        <f>IF(B127&lt;&gt;"",hddtohms(-GetLongitude(B127,C127,D127)),"")</f>
        <v>118.04341687030623</v>
      </c>
      <c r="G127" s="59">
        <f t="shared" si="2"/>
        <v>3235.3946620377046</v>
      </c>
    </row>
    <row r="128" spans="1:7" ht="15.75" thickBot="1" x14ac:dyDescent="0.3">
      <c r="A128" s="68">
        <v>9912</v>
      </c>
      <c r="B128" s="70">
        <v>-6925142.389979911</v>
      </c>
      <c r="C128" s="70">
        <v>-12993829.429923436</v>
      </c>
      <c r="D128" s="70">
        <v>14822853.27714346</v>
      </c>
      <c r="E128" s="54">
        <f>IF(B128&lt;&gt;"",hddtohms(getlatitude(B128,C128,D128)),"")</f>
        <v>45.230244629524307</v>
      </c>
      <c r="F128" s="54">
        <f>IF(B128&lt;&gt;"",hddtohms(-GetLongitude(B128,C128,D128)),"")</f>
        <v>118.03203862152012</v>
      </c>
      <c r="G128" s="59">
        <f t="shared" si="2"/>
        <v>2678.2783539146531</v>
      </c>
    </row>
    <row r="129" spans="1:7" ht="15.75" thickBot="1" x14ac:dyDescent="0.3">
      <c r="A129" s="68">
        <v>9913</v>
      </c>
      <c r="B129" s="70">
        <v>-6920455.5137448981</v>
      </c>
      <c r="C129" s="70">
        <v>-12996294.747171178</v>
      </c>
      <c r="D129" s="70">
        <v>14822851.929667789</v>
      </c>
      <c r="E129" s="54">
        <f>IF(B129&lt;&gt;"",hddtohms(getlatitude(B129,C129,D129)),"")</f>
        <v>45.23026323148197</v>
      </c>
      <c r="F129" s="54">
        <f>IF(B129&lt;&gt;"",hddtohms(-GetLongitude(B129,C129,D129)),"")</f>
        <v>118.02062010043728</v>
      </c>
      <c r="G129" s="59">
        <f t="shared" si="2"/>
        <v>2657.7926941717396</v>
      </c>
    </row>
    <row r="130" spans="1:7" ht="15.75" thickBot="1" x14ac:dyDescent="0.3">
      <c r="A130" s="68">
        <v>9914</v>
      </c>
      <c r="B130" s="70">
        <v>-6915750.2409616364</v>
      </c>
      <c r="C130" s="70">
        <v>-12998783.954429094</v>
      </c>
      <c r="D130" s="70">
        <v>14822881.165596368</v>
      </c>
      <c r="E130" s="54">
        <f>IF(B130&lt;&gt;"",hddtohms(getlatitude(B130,C130,D130)),"")</f>
        <v>45.230292951180758</v>
      </c>
      <c r="F130" s="54">
        <f>IF(B130&lt;&gt;"",hddtohms(-GetLongitude(B130,C130,D130)),"")</f>
        <v>118.00516308144576</v>
      </c>
      <c r="G130" s="59">
        <f t="shared" si="2"/>
        <v>2669.1593169368534</v>
      </c>
    </row>
    <row r="131" spans="1:7" ht="15.75" thickBot="1" x14ac:dyDescent="0.3">
      <c r="A131" s="68">
        <v>9916</v>
      </c>
      <c r="B131" s="70">
        <v>-6896542.8084173221</v>
      </c>
      <c r="C131" s="70">
        <v>-12962179.229154674</v>
      </c>
      <c r="D131" s="70">
        <v>14863852.175104296</v>
      </c>
      <c r="E131" s="54">
        <f>IF(B131&lt;&gt;"",hddtohms(getlatitude(B131,C131,D131)),"")</f>
        <v>45.323746455398037</v>
      </c>
      <c r="F131" s="54">
        <f>IF(B131&lt;&gt;"",hddtohms(-GetLongitude(B131,C131,D131)),"")</f>
        <v>118.00549471511775</v>
      </c>
      <c r="G131" s="59">
        <f t="shared" si="2"/>
        <v>2881.4018764822631</v>
      </c>
    </row>
    <row r="132" spans="1:7" ht="15.75" thickBot="1" x14ac:dyDescent="0.3">
      <c r="A132" s="68">
        <v>9920</v>
      </c>
      <c r="B132" s="70">
        <v>-6907192.0282998411</v>
      </c>
      <c r="C132" s="70">
        <v>-13050317.735989073</v>
      </c>
      <c r="D132" s="70">
        <v>14781820.65989382</v>
      </c>
      <c r="E132" s="54">
        <f>IF(B132&lt;&gt;"",hddtohms(getlatitude(B132,C132,D132)),"")</f>
        <v>45.132653885170335</v>
      </c>
      <c r="F132" s="54">
        <f>IF(B132&lt;&gt;"",hddtohms(-GetLongitude(B132,C132,D132)),"")</f>
        <v>117.53279565074999</v>
      </c>
      <c r="G132" s="59">
        <f t="shared" si="2"/>
        <v>2677.1167389159873</v>
      </c>
    </row>
    <row r="133" spans="1:7" ht="15.75" thickBot="1" x14ac:dyDescent="0.3">
      <c r="A133" s="68">
        <v>9921</v>
      </c>
      <c r="B133" s="70">
        <v>-6904860.8315059738</v>
      </c>
      <c r="C133" s="70">
        <v>-13051538.260914428</v>
      </c>
      <c r="D133" s="70">
        <v>14781857.061034508</v>
      </c>
      <c r="E133" s="54">
        <f>IF(B133&lt;&gt;"",hddtohms(getlatitude(B133,C133,D133)),"")</f>
        <v>45.132687279391519</v>
      </c>
      <c r="F133" s="54">
        <f>IF(B133&lt;&gt;"",hddtohms(-GetLongitude(B133,C133,D133)),"")</f>
        <v>117.52511981241391</v>
      </c>
      <c r="G133" s="59">
        <f t="shared" si="2"/>
        <v>2694.832011210081</v>
      </c>
    </row>
    <row r="134" spans="1:7" ht="15.75" thickBot="1" x14ac:dyDescent="0.3">
      <c r="A134" s="68">
        <v>9922</v>
      </c>
      <c r="B134" s="70">
        <v>-6902501.8409295939</v>
      </c>
      <c r="C134" s="70">
        <v>-13052768.829856051</v>
      </c>
      <c r="D134" s="70">
        <v>14781895.383099802</v>
      </c>
      <c r="E134" s="54">
        <f>IF(B134&lt;&gt;"",hddtohms(getlatitude(B134,C134,D134)),"")</f>
        <v>45.132724563597748</v>
      </c>
      <c r="F134" s="54">
        <f>IF(B134&lt;&gt;"",hddtohms(-GetLongitude(B134,C134,D134)),"")</f>
        <v>117.52140308674065</v>
      </c>
      <c r="G134" s="59">
        <f t="shared" si="2"/>
        <v>2711.3436135037537</v>
      </c>
    </row>
    <row r="135" spans="1:7" ht="15.75" thickBot="1" x14ac:dyDescent="0.3">
      <c r="A135" s="68">
        <v>9923</v>
      </c>
      <c r="B135" s="70">
        <v>-6908088.987861027</v>
      </c>
      <c r="C135" s="70">
        <v>-13051951.447156938</v>
      </c>
      <c r="D135" s="70">
        <v>14779978.222737262</v>
      </c>
      <c r="E135" s="54">
        <f>IF(B135&lt;&gt;"",hddtohms(getlatitude(B135,C135,D135)),"")</f>
        <v>45.130066868421622</v>
      </c>
      <c r="F135" s="54">
        <f>IF(B135&lt;&gt;"",hddtohms(-GetLongitude(B135,C135,D135)),"")</f>
        <v>117.53283549945803</v>
      </c>
      <c r="G135" s="59">
        <f t="shared" si="2"/>
        <v>2681.9473695597553</v>
      </c>
    </row>
    <row r="136" spans="1:7" ht="15.75" thickBot="1" x14ac:dyDescent="0.3">
      <c r="A136" s="68">
        <v>9924</v>
      </c>
      <c r="B136" s="70">
        <v>-6905739.9105782909</v>
      </c>
      <c r="C136" s="70">
        <v>-13053198.207084222</v>
      </c>
      <c r="D136" s="70">
        <v>14780001.670594987</v>
      </c>
      <c r="E136" s="54">
        <f>IF(B136&lt;&gt;"",hddtohms(getlatitude(B136,C136,D136)),"")</f>
        <v>45.130080870609653</v>
      </c>
      <c r="F136" s="54">
        <f>IF(B136&lt;&gt;"",hddtohms(-GetLongitude(B136,C136,D136)),"")</f>
        <v>117.52512091321721</v>
      </c>
      <c r="G136" s="59">
        <f t="shared" si="2"/>
        <v>2700.9061225501264</v>
      </c>
    </row>
    <row r="137" spans="1:7" ht="15.75" thickBot="1" x14ac:dyDescent="0.3">
      <c r="A137" s="68">
        <v>9925</v>
      </c>
      <c r="B137" s="70">
        <v>-6903387.1095990585</v>
      </c>
      <c r="C137" s="70">
        <v>-13054430.997120479</v>
      </c>
      <c r="D137" s="70">
        <v>14780037.471154723</v>
      </c>
      <c r="E137" s="54">
        <f>IF(B137&lt;&gt;"",hddtohms(getlatitude(B137,C137,D137)),"")</f>
        <v>45.130113000311525</v>
      </c>
      <c r="F137" s="54">
        <f>IF(B137&lt;&gt;"",hddtohms(-GetLongitude(B137,C137,D137)),"")</f>
        <v>117.52141085260629</v>
      </c>
      <c r="G137" s="59">
        <f t="shared" si="2"/>
        <v>2719.0444674787232</v>
      </c>
    </row>
    <row r="138" spans="1:7" ht="15.75" thickBot="1" x14ac:dyDescent="0.3">
      <c r="A138" s="68">
        <v>9926</v>
      </c>
      <c r="B138" s="70">
        <v>-6906178.0039121797</v>
      </c>
      <c r="C138" s="70">
        <v>-13054018.281673914</v>
      </c>
      <c r="D138" s="70">
        <v>14779078.197726922</v>
      </c>
      <c r="E138" s="54">
        <f>IF(B138&lt;&gt;"",hddtohms(getlatitude(B138,C138,D138)),"")</f>
        <v>45.124787206207081</v>
      </c>
      <c r="F138" s="54">
        <f>IF(B138&lt;&gt;"",hddtohms(-GetLongitude(B138,C138,D138)),"")</f>
        <v>117.52512614314097</v>
      </c>
      <c r="G138" s="59">
        <f t="shared" si="2"/>
        <v>2700.4248509023346</v>
      </c>
    </row>
    <row r="139" spans="1:7" ht="15.75" thickBot="1" x14ac:dyDescent="0.3">
      <c r="A139" s="68">
        <v>9927</v>
      </c>
      <c r="B139" s="70">
        <v>-6913728.9473319286</v>
      </c>
      <c r="C139" s="70">
        <v>-13051164.166718079</v>
      </c>
      <c r="D139" s="70">
        <v>14778097.654607259</v>
      </c>
      <c r="E139" s="54">
        <f>IF(B139&lt;&gt;"",hddtohms(getlatitude(B139,C139,D139)),"")</f>
        <v>45.123397312357987</v>
      </c>
      <c r="F139" s="54">
        <f>IF(B139&lt;&gt;"",hddtohms(-GetLongitude(B139,C139,D139)),"")</f>
        <v>117.54431150579379</v>
      </c>
      <c r="G139" s="59">
        <f t="shared" si="2"/>
        <v>2716.3752410744655</v>
      </c>
    </row>
    <row r="140" spans="1:7" ht="15.75" thickBot="1" x14ac:dyDescent="0.3">
      <c r="A140" s="68">
        <v>9928</v>
      </c>
      <c r="B140" s="70">
        <v>-6911345.0402905783</v>
      </c>
      <c r="C140" s="70">
        <v>-13052364.014777696</v>
      </c>
      <c r="D140" s="70">
        <v>14778082.498918461</v>
      </c>
      <c r="E140" s="54">
        <f>IF(B140&lt;&gt;"",hddtohms(getlatitude(B140,C140,D140)),"")</f>
        <v>45.123425608561021</v>
      </c>
      <c r="F140" s="54">
        <f>IF(B140&lt;&gt;"",hddtohms(-GetLongitude(B140,C140,D140)),"")</f>
        <v>117.54058507749012</v>
      </c>
      <c r="G140" s="59">
        <f t="shared" si="2"/>
        <v>2666.5656647830347</v>
      </c>
    </row>
    <row r="141" spans="1:7" ht="15.75" thickBot="1" x14ac:dyDescent="0.3">
      <c r="A141" s="68">
        <v>9929</v>
      </c>
      <c r="B141" s="70">
        <v>-6908982.0950136026</v>
      </c>
      <c r="C141" s="70">
        <v>-13053603.456717901</v>
      </c>
      <c r="D141" s="70">
        <v>14778112.606988698</v>
      </c>
      <c r="E141" s="54">
        <f>IF(B141&lt;&gt;"",hddtohms(getlatitude(B141,C141,D141)),"")</f>
        <v>45.123453660669554</v>
      </c>
      <c r="F141" s="54">
        <f>IF(B141&lt;&gt;"",hddtohms(-GetLongitude(B141,C141,D141)),"")</f>
        <v>117.53285862825209</v>
      </c>
      <c r="G141" s="59">
        <f t="shared" si="2"/>
        <v>2680.7814572285042</v>
      </c>
    </row>
    <row r="142" spans="1:7" ht="15.75" thickBot="1" x14ac:dyDescent="0.3">
      <c r="A142" s="68">
        <v>9930</v>
      </c>
      <c r="B142" s="70">
        <v>-6906617.1893475642</v>
      </c>
      <c r="C142" s="70">
        <v>-13054839.608862629</v>
      </c>
      <c r="D142" s="70">
        <v>14778155.736557277</v>
      </c>
      <c r="E142" s="54">
        <f>IF(B142&lt;&gt;"",hddtohms(getlatitude(B142,C142,D142)),"")</f>
        <v>45.123493111048901</v>
      </c>
      <c r="F142" s="54">
        <f>IF(B142&lt;&gt;"",hddtohms(-GetLongitude(B142,C142,D142)),"")</f>
        <v>117.52513190251084</v>
      </c>
      <c r="G142" s="59">
        <f t="shared" si="2"/>
        <v>2701.8835973292553</v>
      </c>
    </row>
    <row r="143" spans="1:7" ht="15.75" thickBot="1" x14ac:dyDescent="0.3">
      <c r="A143" s="68">
        <v>9931</v>
      </c>
      <c r="B143" s="70">
        <v>-6905759.1606251672</v>
      </c>
      <c r="C143" s="70">
        <v>-13056064.356481196</v>
      </c>
      <c r="D143" s="70">
        <v>14778845.254968738</v>
      </c>
      <c r="E143" s="54">
        <f>IF(B143&lt;&gt;"",hddtohms(getlatitude(B143,C143,D143)),"")</f>
        <v>45.123495278357986</v>
      </c>
      <c r="F143" s="54">
        <f>IF(B143&lt;&gt;"",hddtohms(-GetLongitude(B143,C143,D143)),"")</f>
        <v>117.52327290319512</v>
      </c>
      <c r="G143" s="59">
        <f t="shared" si="2"/>
        <v>3671.2809688775978</v>
      </c>
    </row>
    <row r="144" spans="1:7" ht="15.75" thickBot="1" x14ac:dyDescent="0.3">
      <c r="A144" s="68" t="s">
        <v>81</v>
      </c>
      <c r="B144" s="70">
        <v>-6905498.6051978944</v>
      </c>
      <c r="C144" s="70">
        <v>-13055584.335078603</v>
      </c>
      <c r="D144" s="70">
        <v>14778038.973452484</v>
      </c>
      <c r="E144" s="54">
        <f>IF(B144&lt;&gt;"",hddtohms(getlatitude(B144,C144,D144)),"")</f>
        <v>45.123317144928642</v>
      </c>
      <c r="F144" s="54">
        <f>IF(B144&lt;&gt;"",hddtohms(-GetLongitude(B144,C144,D144)),"")</f>
        <v>117.52326468481547</v>
      </c>
      <c r="G144" s="59">
        <f t="shared" si="2"/>
        <v>2714.3044578526333</v>
      </c>
    </row>
    <row r="145" spans="1:7" ht="15.75" thickBot="1" x14ac:dyDescent="0.3">
      <c r="A145" s="68">
        <v>9933</v>
      </c>
      <c r="B145" s="70">
        <v>-6914664.0915029375</v>
      </c>
      <c r="C145" s="70">
        <v>-13052899.142536776</v>
      </c>
      <c r="D145" s="70">
        <v>14776309.238280211</v>
      </c>
      <c r="E145" s="54">
        <f>IF(B145&lt;&gt;"",hddtohms(getlatitude(B145,C145,D145)),"")</f>
        <v>45.120772657516774</v>
      </c>
      <c r="F145" s="54">
        <f>IF(B145&lt;&gt;"",hddtohms(-GetLongitude(B145,C145,D145)),"")</f>
        <v>117.54433131973106</v>
      </c>
      <c r="G145" s="59">
        <f t="shared" si="2"/>
        <v>2835.8599546662481</v>
      </c>
    </row>
    <row r="146" spans="1:7" ht="15.75" thickBot="1" x14ac:dyDescent="0.3">
      <c r="A146" s="68">
        <v>9934</v>
      </c>
      <c r="B146" s="70">
        <v>-6909867.7086748257</v>
      </c>
      <c r="C146" s="70">
        <v>-13055261.994882274</v>
      </c>
      <c r="D146" s="70">
        <v>14776248.858845714</v>
      </c>
      <c r="E146" s="54">
        <f>IF(B146&lt;&gt;"",hddtohms(getlatitude(B146,C146,D146)),"")</f>
        <v>45.120840161873303</v>
      </c>
      <c r="F146" s="54">
        <f>IF(B146&lt;&gt;"",hddtohms(-GetLongitude(B146,C146,D146)),"")</f>
        <v>117.53286823804295</v>
      </c>
      <c r="G146" s="59">
        <f t="shared" si="2"/>
        <v>2682.8719590059263</v>
      </c>
    </row>
    <row r="147" spans="1:7" ht="15.75" thickBot="1" x14ac:dyDescent="0.3">
      <c r="A147" s="68">
        <v>9935</v>
      </c>
      <c r="B147" s="70">
        <v>-6902818.0283253239</v>
      </c>
      <c r="C147" s="70">
        <v>-13059014.454360206</v>
      </c>
      <c r="D147" s="70">
        <v>14776308.396422645</v>
      </c>
      <c r="E147" s="54">
        <f>IF(B147&lt;&gt;"",hddtohms(getlatitude(B147,C147,D147)),"")</f>
        <v>45.120866927318851</v>
      </c>
      <c r="F147" s="54">
        <f>IF(B147&lt;&gt;"",hddtohms(-GetLongitude(B147,C147,D147)),"")</f>
        <v>117.51371634921396</v>
      </c>
      <c r="G147" s="59">
        <f t="shared" si="2"/>
        <v>2739.853490071755</v>
      </c>
    </row>
    <row r="148" spans="1:7" ht="15.75" thickBot="1" x14ac:dyDescent="0.3">
      <c r="A148" s="68">
        <v>9937</v>
      </c>
      <c r="B148" s="70">
        <v>-6904404.6879810197</v>
      </c>
      <c r="C148" s="70">
        <v>-13059175.66265619</v>
      </c>
      <c r="D148" s="70">
        <v>14775318.020873966</v>
      </c>
      <c r="E148" s="54">
        <f>IF(B148&lt;&gt;"",hddtohms(getlatitude(B148,C148,D148)),"")</f>
        <v>45.115558729218336</v>
      </c>
      <c r="F148" s="54">
        <f>IF(B148&lt;&gt;"",hddtohms(-GetLongitude(B148,C148,D148)),"")</f>
        <v>117.51556984330774</v>
      </c>
      <c r="G148" s="59">
        <f t="shared" si="2"/>
        <v>2660.0346469270225</v>
      </c>
    </row>
    <row r="149" spans="1:7" ht="15.75" thickBot="1" x14ac:dyDescent="0.3">
      <c r="A149" s="68">
        <v>9938</v>
      </c>
      <c r="B149" s="70">
        <v>-6915626.6764872205</v>
      </c>
      <c r="C149" s="70">
        <v>-13054685.751135081</v>
      </c>
      <c r="D149" s="70">
        <v>14774610.230490098</v>
      </c>
      <c r="E149" s="54">
        <f>IF(B149&lt;&gt;"",hddtohms(getlatitude(B149,C149,D149)),"")</f>
        <v>45.114169273614728</v>
      </c>
      <c r="F149" s="54">
        <f>IF(B149&lt;&gt;"",hddtohms(-GetLongitude(B149,C149,D149)),"")</f>
        <v>117.5443512378382</v>
      </c>
      <c r="G149" s="59">
        <f t="shared" si="2"/>
        <v>3060.3238868350127</v>
      </c>
    </row>
    <row r="150" spans="1:7" ht="15.75" thickBot="1" x14ac:dyDescent="0.3">
      <c r="A150" s="68">
        <v>9939</v>
      </c>
      <c r="B150" s="70">
        <v>-6913121.845303121</v>
      </c>
      <c r="C150" s="70">
        <v>-13055674.376004113</v>
      </c>
      <c r="D150" s="70">
        <v>14774351.345229357</v>
      </c>
      <c r="E150" s="54">
        <f>IF(B150&lt;&gt;"",hddtohms(getlatitude(B150,C150,D150)),"")</f>
        <v>45.11419838698697</v>
      </c>
      <c r="F150" s="54">
        <f>IF(B150&lt;&gt;"",hddtohms(-GetLongitude(B150,C150,D150)),"")</f>
        <v>117.54061461595848</v>
      </c>
      <c r="G150" s="59">
        <f t="shared" si="2"/>
        <v>2666.1533855399975</v>
      </c>
    </row>
    <row r="151" spans="1:7" ht="15.75" thickBot="1" x14ac:dyDescent="0.3">
      <c r="A151" s="68">
        <v>9940</v>
      </c>
      <c r="B151" s="70">
        <v>-6910749.9456257708</v>
      </c>
      <c r="C151" s="70">
        <v>-13056914.092949813</v>
      </c>
      <c r="D151" s="70">
        <v>14774377.958809299</v>
      </c>
      <c r="E151" s="54">
        <f>IF(B151&lt;&gt;"",hddtohms(getlatitude(B151,C151,D151)),"")</f>
        <v>45.114226778148613</v>
      </c>
      <c r="F151" s="54">
        <f>IF(B151&lt;&gt;"",hddtohms(-GetLongitude(B151,C151,D151)),"")</f>
        <v>117.53287788475041</v>
      </c>
      <c r="G151" s="59">
        <f t="shared" si="2"/>
        <v>2675.0992948933363</v>
      </c>
    </row>
    <row r="152" spans="1:7" ht="15.75" thickBot="1" x14ac:dyDescent="0.3">
      <c r="A152" s="68">
        <v>9941</v>
      </c>
      <c r="B152" s="70">
        <v>-6908379.8308515241</v>
      </c>
      <c r="C152" s="70">
        <v>-13058163.558090713</v>
      </c>
      <c r="D152" s="70">
        <v>14774401.4309869</v>
      </c>
      <c r="E152" s="54">
        <f>IF(B152&lt;&gt;"",hddtohms(getlatitude(B152,C152,D152)),"")</f>
        <v>45.114246024241652</v>
      </c>
      <c r="F152" s="54">
        <f>IF(B152&lt;&gt;"",hddtohms(-GetLongitude(B152,C152,D152)),"")</f>
        <v>117.52513698452344</v>
      </c>
      <c r="G152" s="59">
        <f t="shared" si="2"/>
        <v>2688.8183452151861</v>
      </c>
    </row>
    <row r="153" spans="1:7" ht="15.75" thickBot="1" x14ac:dyDescent="0.3">
      <c r="A153" s="68">
        <v>9942</v>
      </c>
      <c r="B153" s="70">
        <v>-6904562.8120862469</v>
      </c>
      <c r="C153" s="70">
        <v>-13053813.226502975</v>
      </c>
      <c r="D153" s="70">
        <v>14780017.810126308</v>
      </c>
      <c r="E153" s="54">
        <f>IF(B153&lt;&gt;"",hddtohms(getlatitude(B153,C153,D153)),"")</f>
        <v>45.130096833579429</v>
      </c>
      <c r="F153" s="54">
        <f>IF(B153&lt;&gt;"",hddtohms(-GetLongitude(B153,C153,D153)),"")</f>
        <v>117.52326592009987</v>
      </c>
      <c r="G153" s="59">
        <f t="shared" si="2"/>
        <v>2707.5970192264067</v>
      </c>
    </row>
    <row r="154" spans="1:7" ht="15.75" thickBot="1" x14ac:dyDescent="0.3">
      <c r="A154" s="68">
        <v>9943</v>
      </c>
      <c r="B154" s="70">
        <v>-6905000.7589240251</v>
      </c>
      <c r="C154" s="70">
        <v>-13054635.87529231</v>
      </c>
      <c r="D154" s="70">
        <v>14779096.483557288</v>
      </c>
      <c r="E154" s="54">
        <f>IF(B154&lt;&gt;"",hddtohms(getlatitude(B154,C154,D154)),"")</f>
        <v>45.124803116149849</v>
      </c>
      <c r="F154" s="54">
        <f>IF(B154&lt;&gt;"",hddtohms(-GetLongitude(B154,C154,D154)),"")</f>
        <v>117.52326940493282</v>
      </c>
      <c r="G154" s="59">
        <f t="shared" si="2"/>
        <v>2710.1925623472052</v>
      </c>
    </row>
    <row r="155" spans="1:7" ht="15.75" thickBot="1" x14ac:dyDescent="0.3">
      <c r="A155" s="68">
        <v>9944</v>
      </c>
      <c r="B155" s="70">
        <v>-6903823.4656376466</v>
      </c>
      <c r="C155" s="70">
        <v>-13055254.357510656</v>
      </c>
      <c r="D155" s="70">
        <v>14779115.959487183</v>
      </c>
      <c r="E155" s="54">
        <f>IF(B155&lt;&gt;"",hddtohms(getlatitude(B155,C155,D155)),"")</f>
        <v>45.12481923532728</v>
      </c>
      <c r="F155" s="54">
        <f>IF(B155&lt;&gt;"",hddtohms(-GetLongitude(B155,C155,D155)),"")</f>
        <v>117.52141202578447</v>
      </c>
      <c r="G155" s="59">
        <f t="shared" si="2"/>
        <v>2721.4267186083107</v>
      </c>
    </row>
    <row r="156" spans="1:7" ht="15.75" thickBot="1" x14ac:dyDescent="0.3">
      <c r="A156" s="68">
        <v>9945</v>
      </c>
      <c r="B156" s="70">
        <v>-6905244.1170309074</v>
      </c>
      <c r="C156" s="70">
        <v>-12997959.185434697</v>
      </c>
      <c r="D156" s="70">
        <v>14828508.688416749</v>
      </c>
      <c r="E156" s="54">
        <f>IF(B156&lt;&gt;"",hddtohms(getlatitude(B156,C156,D156)),"")</f>
        <v>45.242172091935942</v>
      </c>
      <c r="F156" s="54">
        <f>IF(B156&lt;&gt;"",hddtohms(-GetLongitude(B156,C156,D156)),"")</f>
        <v>117.58470768449676</v>
      </c>
      <c r="G156" s="59">
        <f t="shared" si="2"/>
        <v>2701.1647573381906</v>
      </c>
    </row>
    <row r="157" spans="1:7" ht="15.75" thickBot="1" x14ac:dyDescent="0.3">
      <c r="A157" s="68">
        <v>9999</v>
      </c>
      <c r="B157" s="70">
        <v>-6872780.345444019</v>
      </c>
      <c r="C157" s="70">
        <v>-12969786.7752537</v>
      </c>
      <c r="D157" s="70">
        <v>14867822.42886935</v>
      </c>
      <c r="E157" s="54">
        <f>IF(B157&lt;&gt;"",hddtohms(getlatitude(B157,C157,D157)),"")</f>
        <v>45.333609075583638</v>
      </c>
      <c r="F157" s="54">
        <f>IF(B157&lt;&gt;"",hddtohms(-GetLongitude(B157,C157,D157)),"")</f>
        <v>117.55099408478057</v>
      </c>
      <c r="G157" s="59">
        <f t="shared" si="2"/>
        <v>2617.2210204953608</v>
      </c>
    </row>
    <row r="158" spans="1:7" ht="15.75" thickBot="1" x14ac:dyDescent="0.3">
      <c r="A158" s="68">
        <v>200101</v>
      </c>
      <c r="B158" s="70">
        <v>-6869467.7489217883</v>
      </c>
      <c r="C158" s="70">
        <v>-12967718.604317287</v>
      </c>
      <c r="D158" s="70">
        <v>14871092.210683286</v>
      </c>
      <c r="E158" s="54">
        <f>IF(B158&lt;&gt;"",hddtohms(getlatitude(B158,C158,D158)),"")</f>
        <v>45.342250133641429</v>
      </c>
      <c r="F158" s="54">
        <f>IF(B158&lt;&gt;"",hddtohms(-GetLongitude(B158,C158,D158)),"")</f>
        <v>117.54424106560724</v>
      </c>
      <c r="G158" s="59">
        <f t="shared" si="2"/>
        <v>2586.9146046799251</v>
      </c>
    </row>
    <row r="159" spans="1:7" ht="15.75" thickBot="1" x14ac:dyDescent="0.3">
      <c r="A159" s="68">
        <v>200102</v>
      </c>
      <c r="B159" s="70">
        <v>-6870329.7616314646</v>
      </c>
      <c r="C159" s="70">
        <v>-12969364.286510397</v>
      </c>
      <c r="D159" s="70">
        <v>14869280.084849013</v>
      </c>
      <c r="E159" s="54">
        <f>IF(B159&lt;&gt;"",hddtohms(getlatitude(B159,C159,D159)),"")</f>
        <v>45.335688297720836</v>
      </c>
      <c r="F159" s="54">
        <f>IF(B159&lt;&gt;"",hddtohms(-GetLongitude(B159,C159,D159)),"")</f>
        <v>117.54422893916198</v>
      </c>
      <c r="G159" s="59">
        <f t="shared" si="2"/>
        <v>2593.3926021586394</v>
      </c>
    </row>
    <row r="160" spans="1:7" ht="15.75" thickBot="1" x14ac:dyDescent="0.3">
      <c r="A160" s="68">
        <v>200103</v>
      </c>
      <c r="B160" s="70">
        <v>-6872737.7834241642</v>
      </c>
      <c r="C160" s="70">
        <v>-12968226.201000612</v>
      </c>
      <c r="D160" s="70">
        <v>14869208.787431508</v>
      </c>
      <c r="E160" s="54">
        <f>IF(B160&lt;&gt;"",hddtohms(getlatitude(B160,C160,D160)),"")</f>
        <v>45.335553191226751</v>
      </c>
      <c r="F160" s="54">
        <f>IF(B160&lt;&gt;"",hddtohms(-GetLongitude(B160,C160,D160)),"")</f>
        <v>117.55196814969797</v>
      </c>
      <c r="G160" s="59">
        <f t="shared" si="2"/>
        <v>2627.7333971372173</v>
      </c>
    </row>
    <row r="161" spans="1:7" ht="15.75" thickBot="1" x14ac:dyDescent="0.3">
      <c r="A161" s="68" t="s">
        <v>82</v>
      </c>
      <c r="B161" s="70">
        <v>-6872003.5773034301</v>
      </c>
      <c r="C161" s="70">
        <v>-12966549.600837903</v>
      </c>
      <c r="D161" s="70">
        <v>14871072.992731012</v>
      </c>
      <c r="E161" s="54">
        <f>IF(B161&lt;&gt;"",hddtohms(getlatitude(B161,C161,D161)),"")</f>
        <v>45.342128076842769</v>
      </c>
      <c r="F161" s="54">
        <f>IF(B161&lt;&gt;"",hddtohms(-GetLongitude(B161,C161,D161)),"")</f>
        <v>117.55215982502071</v>
      </c>
      <c r="G161" s="59">
        <f t="shared" si="2"/>
        <v>2681.2026838700567</v>
      </c>
    </row>
    <row r="162" spans="1:7" ht="15.75" thickBot="1" x14ac:dyDescent="0.3">
      <c r="A162" s="68">
        <v>200104</v>
      </c>
      <c r="B162" s="70">
        <v>-6875142.7636282705</v>
      </c>
      <c r="C162" s="70">
        <v>-12967062.812105598</v>
      </c>
      <c r="D162" s="70">
        <v>14869166.306912052</v>
      </c>
      <c r="E162" s="54">
        <f>IF(B162&lt;&gt;"",hddtohms(getlatitude(B162,C162,D162)),"")</f>
        <v>45.335454422455975</v>
      </c>
      <c r="F162" s="54">
        <f>IF(B162&lt;&gt;"",hddtohms(-GetLongitude(B162,C162,D162)),"")</f>
        <v>117.55572017917841</v>
      </c>
      <c r="G162" s="59">
        <f t="shared" si="2"/>
        <v>2666.3408038165398</v>
      </c>
    </row>
    <row r="163" spans="1:7" ht="15.75" thickBot="1" x14ac:dyDescent="0.3">
      <c r="A163" s="68">
        <v>200105</v>
      </c>
      <c r="B163" s="70">
        <v>-6876034.5330617232</v>
      </c>
      <c r="C163" s="70">
        <v>-12968721.103061454</v>
      </c>
      <c r="D163" s="70">
        <v>14867275.996071503</v>
      </c>
      <c r="E163" s="54">
        <f>IF(B163&lt;&gt;"",hddtohms(getlatitude(B163,C163,D163)),"")</f>
        <v>45.332820880372054</v>
      </c>
      <c r="F163" s="54">
        <f>IF(B163&lt;&gt;"",hddtohms(-GetLongitude(B163,C163,D163)),"")</f>
        <v>117.5557357508345</v>
      </c>
      <c r="G163" s="59">
        <f t="shared" si="2"/>
        <v>2634.907293686927</v>
      </c>
    </row>
    <row r="164" spans="1:7" ht="15.75" thickBot="1" x14ac:dyDescent="0.3">
      <c r="A164" s="68">
        <v>200106</v>
      </c>
      <c r="B164" s="70">
        <v>-6873697.7288307259</v>
      </c>
      <c r="C164" s="70">
        <v>-12969953.476278948</v>
      </c>
      <c r="D164" s="70">
        <v>14867263.718730943</v>
      </c>
      <c r="E164" s="54">
        <f>IF(B164&lt;&gt;"",hddtohms(getlatitude(B164,C164,D164)),"")</f>
        <v>45.332816338822838</v>
      </c>
      <c r="F164" s="54">
        <f>IF(B164&lt;&gt;"",hddtohms(-GetLongitude(B164,C164,D164)),"")</f>
        <v>117.55202345778685</v>
      </c>
      <c r="G164" s="59">
        <f t="shared" si="2"/>
        <v>2622.2230725780009</v>
      </c>
    </row>
    <row r="165" spans="1:7" ht="15.75" thickBot="1" x14ac:dyDescent="0.3">
      <c r="A165" s="68">
        <v>200107</v>
      </c>
      <c r="B165" s="70">
        <v>-6871191.1454392159</v>
      </c>
      <c r="C165" s="70">
        <v>-12971008.833604064</v>
      </c>
      <c r="D165" s="70">
        <v>14867466.570215968</v>
      </c>
      <c r="E165" s="54">
        <f>IF(B165&lt;&gt;"",hddtohms(getlatitude(B165,C165,D165)),"")</f>
        <v>45.333126414741834</v>
      </c>
      <c r="F165" s="54">
        <f>IF(B165&lt;&gt;"",hddtohms(-GetLongitude(B165,C165,D165)),"")</f>
        <v>117.54421678151343</v>
      </c>
      <c r="G165" s="59">
        <f t="shared" si="2"/>
        <v>2598.2929259277207</v>
      </c>
    </row>
    <row r="166" spans="1:7" ht="15.75" thickBot="1" x14ac:dyDescent="0.3">
      <c r="A166" s="68">
        <v>200108</v>
      </c>
      <c r="B166" s="70">
        <v>-6940472.2520622881</v>
      </c>
      <c r="C166" s="70">
        <v>-12994456.848392079</v>
      </c>
      <c r="D166" s="70">
        <v>14815571.762913741</v>
      </c>
      <c r="E166" s="54">
        <f>IF(B166&lt;&gt;"",hddtohms(getlatitude(B166,C166,D166)),"")</f>
        <v>45.211736359465291</v>
      </c>
      <c r="F166" s="54">
        <f>IF(B166&lt;&gt;"",hddtohms(-GetLongitude(B166,C166,D166)),"")</f>
        <v>118.06256710236721</v>
      </c>
      <c r="G166" s="59">
        <f t="shared" si="2"/>
        <v>2954.8618214845792</v>
      </c>
    </row>
    <row r="167" spans="1:7" ht="15.75" thickBot="1" x14ac:dyDescent="0.3">
      <c r="A167" s="68">
        <v>200109</v>
      </c>
      <c r="B167" s="70">
        <v>-6941300.5921145352</v>
      </c>
      <c r="C167" s="70">
        <v>-12996019.93009837</v>
      </c>
      <c r="D167" s="70">
        <v>14813541.048694199</v>
      </c>
      <c r="E167" s="54">
        <f>IF(B167&lt;&gt;"",hddtohms(getlatitude(B167,C167,D167)),"")</f>
        <v>45.20508519452823</v>
      </c>
      <c r="F167" s="54">
        <f>IF(B167&lt;&gt;"",hddtohms(-GetLongitude(B167,C167,D167)),"")</f>
        <v>118.06255905368577</v>
      </c>
      <c r="G167" s="59">
        <f t="shared" si="2"/>
        <v>2753.3347878249915</v>
      </c>
    </row>
    <row r="168" spans="1:7" ht="15.75" thickBot="1" x14ac:dyDescent="0.3">
      <c r="A168" s="68">
        <v>200110</v>
      </c>
      <c r="B168" s="70">
        <v>-6942181.419382331</v>
      </c>
      <c r="C168" s="70">
        <v>-12997681.242465699</v>
      </c>
      <c r="D168" s="70">
        <v>14811680.57315436</v>
      </c>
      <c r="E168" s="54">
        <f>IF(B168&lt;&gt;"",hddtohms(getlatitude(B168,C168,D168)),"")</f>
        <v>45.202473897467399</v>
      </c>
      <c r="F168" s="54">
        <f>IF(B168&lt;&gt;"",hddtohms(-GetLongitude(B168,C168,D168)),"")</f>
        <v>118.06255103325309</v>
      </c>
      <c r="G168" s="59">
        <f t="shared" ref="G168:G231" si="3">IF(B168&lt;&gt;"",GetHeight(B168,C168,D168),"")</f>
        <v>2751.526797091663</v>
      </c>
    </row>
    <row r="169" spans="1:7" ht="15.75" thickBot="1" x14ac:dyDescent="0.3">
      <c r="A169" s="68">
        <v>200111</v>
      </c>
      <c r="B169" s="70">
        <v>-6878749.8145075366</v>
      </c>
      <c r="C169" s="70">
        <v>-13042052.291229235</v>
      </c>
      <c r="D169" s="70">
        <v>14802477.316248745</v>
      </c>
      <c r="E169" s="54">
        <f>IF(B169&lt;&gt;"",hddtohms(getlatitude(B169,C169,D169)),"")</f>
        <v>45.181449122159414</v>
      </c>
      <c r="F169" s="54">
        <f>IF(B169&lt;&gt;"",hddtohms(-GetLongitude(B169,C169,D169)),"")</f>
        <v>117.4830387603005</v>
      </c>
      <c r="G169" s="59">
        <f t="shared" si="3"/>
        <v>2855.1130279200934</v>
      </c>
    </row>
    <row r="170" spans="1:7" ht="15.75" thickBot="1" x14ac:dyDescent="0.3">
      <c r="A170" s="68">
        <v>200112</v>
      </c>
      <c r="B170" s="70">
        <v>-6937496.5787421046</v>
      </c>
      <c r="C170" s="70">
        <v>-13000142.940012826</v>
      </c>
      <c r="D170" s="70">
        <v>14811677.067077991</v>
      </c>
      <c r="E170" s="54">
        <f>IF(B170&lt;&gt;"",hddtohms(getlatitude(B170,C170,D170)),"")</f>
        <v>45.202495893491523</v>
      </c>
      <c r="F170" s="54">
        <f>IF(B170&lt;&gt;"",hddtohms(-GetLongitude(B170,C170,D170)),"")</f>
        <v>118.05114319713007</v>
      </c>
      <c r="G170" s="59">
        <f t="shared" si="3"/>
        <v>2724.5790298845477</v>
      </c>
    </row>
    <row r="171" spans="1:7" ht="15.75" thickBot="1" x14ac:dyDescent="0.3">
      <c r="A171" s="68">
        <v>200113</v>
      </c>
      <c r="B171" s="70">
        <v>-6882524.2209991086</v>
      </c>
      <c r="C171" s="70">
        <v>-13037796.304260101</v>
      </c>
      <c r="D171" s="70">
        <v>14804239.111547483</v>
      </c>
      <c r="E171" s="54">
        <f>IF(B171&lt;&gt;"",hddtohms(getlatitude(B171,C171,D171)),"")</f>
        <v>45.184077762426476</v>
      </c>
      <c r="F171" s="54">
        <f>IF(B171&lt;&gt;"",hddtohms(-GetLongitude(B171,C171,D171)),"")</f>
        <v>117.49448745212968</v>
      </c>
      <c r="G171" s="59">
        <f t="shared" si="3"/>
        <v>2699.0737173654543</v>
      </c>
    </row>
    <row r="172" spans="1:7" ht="15.75" thickBot="1" x14ac:dyDescent="0.3">
      <c r="A172" s="68">
        <v>200114</v>
      </c>
      <c r="B172" s="70">
        <v>-6926343.8305390989</v>
      </c>
      <c r="C172" s="70">
        <v>-13001765.374478878</v>
      </c>
      <c r="D172" s="70">
        <v>14815382.128024859</v>
      </c>
      <c r="E172" s="54">
        <f>IF(B172&lt;&gt;"",hddtohms(getlatitude(B172,C172,D172)),"")</f>
        <v>45.211745981510418</v>
      </c>
      <c r="F172" s="54">
        <f>IF(B172&lt;&gt;"",hddtohms(-GetLongitude(B172,C172,D172)),"")</f>
        <v>118.0242970725681</v>
      </c>
      <c r="G172" s="59">
        <f t="shared" si="3"/>
        <v>2678.6960711468382</v>
      </c>
    </row>
    <row r="173" spans="1:7" ht="15.75" thickBot="1" x14ac:dyDescent="0.3">
      <c r="A173" s="68">
        <v>200115</v>
      </c>
      <c r="B173" s="70">
        <v>-6935765.1196861994</v>
      </c>
      <c r="C173" s="70">
        <v>-12996922.955445344</v>
      </c>
      <c r="D173" s="70">
        <v>14815520.763373099</v>
      </c>
      <c r="E173" s="54">
        <f>IF(B173&lt;&gt;"",hddtohms(getlatitude(B173,C173,D173)),"")</f>
        <v>45.211730057475549</v>
      </c>
      <c r="F173" s="54">
        <f>IF(B173&lt;&gt;"",hddtohms(-GetLongitude(B173,C173,D173)),"")</f>
        <v>118.0511269885702</v>
      </c>
      <c r="G173" s="59">
        <f t="shared" si="3"/>
        <v>2889.4854239315064</v>
      </c>
    </row>
    <row r="174" spans="1:7" ht="15.75" thickBot="1" x14ac:dyDescent="0.3">
      <c r="A174" s="68">
        <v>200116</v>
      </c>
      <c r="B174" s="70">
        <v>-6897886.7731413301</v>
      </c>
      <c r="C174" s="70">
        <v>-13055341.1689371</v>
      </c>
      <c r="D174" s="70">
        <v>14781993.099206064</v>
      </c>
      <c r="E174" s="54">
        <f>IF(B174&lt;&gt;"",hddtohms(getlatitude(B174,C174,D174)),"")</f>
        <v>45.132710182613323</v>
      </c>
      <c r="F174" s="54">
        <f>IF(B174&lt;&gt;"",hddtohms(-GetLongitude(B174,C174,D174)),"")</f>
        <v>117.51002415604282</v>
      </c>
      <c r="G174" s="59">
        <f t="shared" si="3"/>
        <v>2863.4513502895916</v>
      </c>
    </row>
    <row r="175" spans="1:7" ht="15.75" thickBot="1" x14ac:dyDescent="0.3">
      <c r="A175" s="68">
        <v>200117</v>
      </c>
      <c r="B175" s="70">
        <v>-6898721.481101648</v>
      </c>
      <c r="C175" s="70">
        <v>-13056939.634942476</v>
      </c>
      <c r="D175" s="70">
        <v>14780051.121846698</v>
      </c>
      <c r="E175" s="54">
        <f>IF(B175&lt;&gt;"",hddtohms(getlatitude(B175,C175,D175)),"")</f>
        <v>45.130096195528118</v>
      </c>
      <c r="F175" s="54">
        <f>IF(B175&lt;&gt;"",hddtohms(-GetLongitude(B175,C175,D175)),"")</f>
        <v>117.51001198725446</v>
      </c>
      <c r="G175" s="59">
        <f t="shared" si="3"/>
        <v>2755.1709948957632</v>
      </c>
    </row>
    <row r="176" spans="1:7" ht="15.75" thickBot="1" x14ac:dyDescent="0.3">
      <c r="A176" s="68">
        <v>200118</v>
      </c>
      <c r="B176" s="70">
        <v>-6899600.5476816343</v>
      </c>
      <c r="C176" s="70">
        <v>-13058610.765008764</v>
      </c>
      <c r="D176" s="70">
        <v>14778195.707205357</v>
      </c>
      <c r="E176" s="54">
        <f>IF(B176&lt;&gt;"",hddtohms(getlatitude(B176,C176,D176)),"")</f>
        <v>45.123482851561825</v>
      </c>
      <c r="F176" s="54">
        <f>IF(B176&lt;&gt;"",hddtohms(-GetLongitude(B176,C176,D176)),"")</f>
        <v>117.51000718852832</v>
      </c>
      <c r="G176" s="59">
        <f t="shared" si="3"/>
        <v>2768.5215796157208</v>
      </c>
    </row>
    <row r="177" spans="1:7" ht="15.75" thickBot="1" x14ac:dyDescent="0.3">
      <c r="A177" s="68">
        <v>200119</v>
      </c>
      <c r="B177" s="70">
        <v>-6900558.1630024137</v>
      </c>
      <c r="C177" s="70">
        <v>-13060430.280502247</v>
      </c>
      <c r="D177" s="70">
        <v>14776509.444610639</v>
      </c>
      <c r="E177" s="54">
        <f>IF(B177&lt;&gt;"",hddtohms(getlatitude(B177,C177,D177)),"")</f>
        <v>45.120869555203072</v>
      </c>
      <c r="F177" s="54">
        <f>IF(B177&lt;&gt;"",hddtohms(-GetLongitude(B177,C177,D177)),"")</f>
        <v>117.51000257424457</v>
      </c>
      <c r="G177" s="59">
        <f t="shared" si="3"/>
        <v>3020.5362018048108</v>
      </c>
    </row>
    <row r="178" spans="1:7" ht="15.75" thickBot="1" x14ac:dyDescent="0.3">
      <c r="A178" s="68">
        <v>200120</v>
      </c>
      <c r="B178" s="70">
        <v>-6901405.1368398862</v>
      </c>
      <c r="C178" s="70">
        <v>-13062045.351888809</v>
      </c>
      <c r="D178" s="70">
        <v>14774535.996246573</v>
      </c>
      <c r="E178" s="54">
        <f>IF(B178&lt;&gt;"",hddtohms(getlatitude(B178,C178,D178)),"")</f>
        <v>45.114219346644369</v>
      </c>
      <c r="F178" s="54">
        <f>IF(B178&lt;&gt;"",hddtohms(-GetLongitude(B178,C178,D178)),"")</f>
        <v>117.50599472409409</v>
      </c>
      <c r="G178" s="59">
        <f t="shared" si="3"/>
        <v>2905.3177142949153</v>
      </c>
    </row>
    <row r="179" spans="1:7" ht="15.75" thickBot="1" x14ac:dyDescent="0.3">
      <c r="A179" s="68">
        <v>200121</v>
      </c>
      <c r="B179" s="70">
        <v>-6903714.962083213</v>
      </c>
      <c r="C179" s="70">
        <v>-13060747.560501704</v>
      </c>
      <c r="D179" s="70">
        <v>14774495.318140568</v>
      </c>
      <c r="E179" s="54">
        <f>IF(B179&lt;&gt;"",hddtohms(getlatitude(B179,C179,D179)),"")</f>
        <v>45.114238804438152</v>
      </c>
      <c r="F179" s="54">
        <f>IF(B179&lt;&gt;"",hddtohms(-GetLongitude(B179,C179,D179)),"")</f>
        <v>117.51369269516456</v>
      </c>
      <c r="G179" s="59">
        <f t="shared" si="3"/>
        <v>2828.4087161938169</v>
      </c>
    </row>
    <row r="180" spans="1:7" ht="15.75" thickBot="1" x14ac:dyDescent="0.3">
      <c r="A180" s="68">
        <v>200122</v>
      </c>
      <c r="B180" s="70">
        <v>-6901957.3701584283</v>
      </c>
      <c r="C180" s="70">
        <v>-13057359.132777661</v>
      </c>
      <c r="D180" s="70">
        <v>14778172.093641002</v>
      </c>
      <c r="E180" s="54">
        <f>IF(B180&lt;&gt;"",hddtohms(getlatitude(B180,C180,D180)),"")</f>
        <v>45.12347021780672</v>
      </c>
      <c r="F180" s="54">
        <f>IF(B180&lt;&gt;"",hddtohms(-GetLongitude(B180,C180,D180)),"")</f>
        <v>117.51373403308443</v>
      </c>
      <c r="G180" s="59">
        <f t="shared" si="3"/>
        <v>2747.9527123035859</v>
      </c>
    </row>
    <row r="181" spans="1:7" ht="15.75" thickBot="1" x14ac:dyDescent="0.3">
      <c r="A181" s="68">
        <v>200123</v>
      </c>
      <c r="B181" s="70">
        <v>-6901064.2431973657</v>
      </c>
      <c r="C181" s="70">
        <v>-13055690.619122379</v>
      </c>
      <c r="D181" s="70">
        <v>14780040.663391367</v>
      </c>
      <c r="E181" s="54">
        <f>IF(B181&lt;&gt;"",hddtohms(getlatitude(B181,C181,D181)),"")</f>
        <v>45.130095695307851</v>
      </c>
      <c r="F181" s="54">
        <f>IF(B181&lt;&gt;"",hddtohms(-GetLongitude(B181,C181,D181)),"")</f>
        <v>117.51372023794174</v>
      </c>
      <c r="G181" s="59">
        <f t="shared" si="3"/>
        <v>2740.9390712861968</v>
      </c>
    </row>
    <row r="182" spans="1:7" ht="15.75" thickBot="1" x14ac:dyDescent="0.3">
      <c r="A182" s="68">
        <v>200124</v>
      </c>
      <c r="B182" s="70">
        <v>-6900169.1544253835</v>
      </c>
      <c r="C182" s="70">
        <v>-13054018.331968108</v>
      </c>
      <c r="D182" s="70">
        <v>14781899.978847153</v>
      </c>
      <c r="E182" s="54">
        <f>IF(B182&lt;&gt;"",hddtohms(getlatitude(B182,C182,D182)),"")</f>
        <v>45.132717716828601</v>
      </c>
      <c r="F182" s="54">
        <f>IF(B182&lt;&gt;"",hddtohms(-GetLongitude(B182,C182,D182)),"")</f>
        <v>117.51370647978028</v>
      </c>
      <c r="G182" s="59">
        <f t="shared" si="3"/>
        <v>2724.6991602523267</v>
      </c>
    </row>
    <row r="183" spans="1:7" ht="15.75" thickBot="1" x14ac:dyDescent="0.3">
      <c r="A183" s="68">
        <v>200125</v>
      </c>
      <c r="B183" s="70">
        <v>-6904269.5180644598</v>
      </c>
      <c r="C183" s="70">
        <v>-13056094.677785376</v>
      </c>
      <c r="D183" s="70">
        <v>14778173.34721411</v>
      </c>
      <c r="E183" s="54">
        <f>IF(B183&lt;&gt;"",hddtohms(getlatitude(B183,C183,D183)),"")</f>
        <v>45.123497114683218</v>
      </c>
      <c r="F183" s="54">
        <f>IF(B183&lt;&gt;"",hddtohms(-GetLongitude(B183,C183,D183)),"")</f>
        <v>117.5214140972658</v>
      </c>
      <c r="G183" s="59">
        <f t="shared" si="3"/>
        <v>2722.6722197364925</v>
      </c>
    </row>
    <row r="184" spans="1:7" ht="15.75" thickBot="1" x14ac:dyDescent="0.3">
      <c r="A184" s="68">
        <v>200126</v>
      </c>
      <c r="B184" s="70">
        <v>-6881071.7637283579</v>
      </c>
      <c r="C184" s="70">
        <v>-13040754.046030812</v>
      </c>
      <c r="D184" s="70">
        <v>14802417.608537076</v>
      </c>
      <c r="E184" s="54">
        <f>IF(B184&lt;&gt;"",hddtohms(getlatitude(B184,C184,D184)),"")</f>
        <v>45.181453169701605</v>
      </c>
      <c r="F184" s="54">
        <f>IF(B184&lt;&gt;"",hddtohms(-GetLongitude(B184,C184,D184)),"")</f>
        <v>117.49075904460443</v>
      </c>
      <c r="G184" s="59">
        <f t="shared" si="3"/>
        <v>2767.0612795684992</v>
      </c>
    </row>
    <row r="185" spans="1:7" ht="15.75" thickBot="1" x14ac:dyDescent="0.3">
      <c r="A185" s="68">
        <v>200127</v>
      </c>
      <c r="B185" s="70">
        <v>-6881951.8522210307</v>
      </c>
      <c r="C185" s="70">
        <v>-13042444.095590455</v>
      </c>
      <c r="D185" s="70">
        <v>14800562.194691639</v>
      </c>
      <c r="E185" s="54">
        <f>IF(B185&lt;&gt;"",hddtohms(getlatitude(B185,C185,D185)),"")</f>
        <v>45.174827774101892</v>
      </c>
      <c r="F185" s="54">
        <f>IF(B185&lt;&gt;"",hddtohms(-GetLongitude(B185,C185,D185)),"")</f>
        <v>117.49074459394707</v>
      </c>
      <c r="G185" s="59">
        <f t="shared" si="3"/>
        <v>2788.495145636969</v>
      </c>
    </row>
    <row r="186" spans="1:7" ht="15.75" thickBot="1" x14ac:dyDescent="0.3">
      <c r="A186" s="68">
        <v>200128</v>
      </c>
      <c r="B186" s="70">
        <v>-6877323.321022735</v>
      </c>
      <c r="C186" s="70">
        <v>-13045048.72488142</v>
      </c>
      <c r="D186" s="70">
        <v>14800725.673984962</v>
      </c>
      <c r="E186" s="54">
        <f>IF(B186&lt;&gt;"",hddtohms(getlatitude(B186,C186,D186)),"")</f>
        <v>45.174839880652286</v>
      </c>
      <c r="F186" s="54">
        <f>IF(B186&lt;&gt;"",hddtohms(-GetLongitude(B186,C186,D186)),"")</f>
        <v>117.47531872442201</v>
      </c>
      <c r="G186" s="59">
        <f t="shared" si="3"/>
        <v>3006.3641843552232</v>
      </c>
    </row>
    <row r="187" spans="1:7" ht="15.75" thickBot="1" x14ac:dyDescent="0.3">
      <c r="A187" s="68">
        <v>200129</v>
      </c>
      <c r="B187" s="70">
        <v>-6876440.1836315561</v>
      </c>
      <c r="C187" s="70">
        <v>-13043354.466425776</v>
      </c>
      <c r="D187" s="70">
        <v>14802584.63643292</v>
      </c>
      <c r="E187" s="54">
        <f>IF(B187&lt;&gt;"",hddtohms(getlatitude(B187,C187,D187)),"")</f>
        <v>45.181471325724537</v>
      </c>
      <c r="F187" s="54">
        <f>IF(B187&lt;&gt;"",hddtohms(-GetLongitude(B187,C187,D187)),"")</f>
        <v>117.47533118827083</v>
      </c>
      <c r="G187" s="59">
        <f t="shared" si="3"/>
        <v>2983.8331293943393</v>
      </c>
    </row>
    <row r="188" spans="1:7" ht="15.75" thickBot="1" x14ac:dyDescent="0.3">
      <c r="A188" s="68">
        <v>200130</v>
      </c>
      <c r="B188" s="70">
        <v>-6875571.1996804709</v>
      </c>
      <c r="C188" s="70">
        <v>-13041687.0706564</v>
      </c>
      <c r="D188" s="70">
        <v>14804470.580654318</v>
      </c>
      <c r="E188" s="54">
        <f>IF(B188&lt;&gt;"",hddtohms(getlatitude(B188,C188,D188)),"")</f>
        <v>45.184100195170309</v>
      </c>
      <c r="F188" s="54">
        <f>IF(B188&lt;&gt;"",hddtohms(-GetLongitude(B188,C188,D188)),"")</f>
        <v>117.47534364476203</v>
      </c>
      <c r="G188" s="59">
        <f t="shared" si="3"/>
        <v>3002.17757478557</v>
      </c>
    </row>
    <row r="189" spans="1:7" ht="15.75" thickBot="1" x14ac:dyDescent="0.3">
      <c r="A189" s="68">
        <v>200131</v>
      </c>
      <c r="B189" s="70">
        <v>-6871071.3872460555</v>
      </c>
      <c r="C189" s="70">
        <v>-13044496.580339329</v>
      </c>
      <c r="D189" s="70">
        <v>14804906.702804014</v>
      </c>
      <c r="E189" s="54">
        <f>IF(B189&lt;&gt;"",hddtohms(getlatitude(B189,C189,D189)),"")</f>
        <v>45.184130866084928</v>
      </c>
      <c r="F189" s="54">
        <f>IF(B189&lt;&gt;"",hddtohms(-GetLongitude(B189,C189,D189)),"")</f>
        <v>117.46394175876111</v>
      </c>
      <c r="G189" s="59">
        <f t="shared" si="3"/>
        <v>3584.8881934817291</v>
      </c>
    </row>
    <row r="190" spans="1:7" ht="15.75" thickBot="1" x14ac:dyDescent="0.3">
      <c r="A190" s="68">
        <v>200132</v>
      </c>
      <c r="B190" s="70">
        <v>-6871905.5833886778</v>
      </c>
      <c r="C190" s="70">
        <v>-13046083.471247014</v>
      </c>
      <c r="D190" s="70">
        <v>14802954.48115026</v>
      </c>
      <c r="E190" s="54">
        <f>IF(B190&lt;&gt;"",hddtohms(getlatitude(B190,C190,D190)),"")</f>
        <v>45.181517409409217</v>
      </c>
      <c r="F190" s="54">
        <f>IF(B190&lt;&gt;"",hddtohms(-GetLongitude(B190,C190,D190)),"")</f>
        <v>117.46393967407388</v>
      </c>
      <c r="G190" s="59">
        <f t="shared" si="3"/>
        <v>3457.9280847146074</v>
      </c>
    </row>
    <row r="191" spans="1:7" ht="15.75" thickBot="1" x14ac:dyDescent="0.3">
      <c r="A191" s="68">
        <v>200133</v>
      </c>
      <c r="B191" s="70">
        <v>-6872776.1884213975</v>
      </c>
      <c r="C191" s="70">
        <v>-13047739.513917131</v>
      </c>
      <c r="D191" s="70">
        <v>14801058.134132423</v>
      </c>
      <c r="E191" s="54">
        <f>IF(B191&lt;&gt;"",hddtohms(getlatitude(B191,C191,D191)),"")</f>
        <v>45.174887883608875</v>
      </c>
      <c r="F191" s="54">
        <f>IF(B191&lt;&gt;"",hddtohms(-GetLongitude(B191,C191,D191)),"")</f>
        <v>117.4639375698935</v>
      </c>
      <c r="G191" s="59">
        <f t="shared" si="3"/>
        <v>3425.9909354655447</v>
      </c>
    </row>
    <row r="192" spans="1:7" ht="15.75" thickBot="1" x14ac:dyDescent="0.3">
      <c r="A192" s="68">
        <v>200134</v>
      </c>
      <c r="B192" s="70">
        <v>-6868877.3872595495</v>
      </c>
      <c r="C192" s="70">
        <v>-13045985.050031494</v>
      </c>
      <c r="D192" s="70">
        <v>14805218.63548162</v>
      </c>
      <c r="E192" s="54">
        <f>IF(B192&lt;&gt;"",hddtohms(getlatitude(B192,C192,D192)),"")</f>
        <v>45.184140603352709</v>
      </c>
      <c r="F192" s="54">
        <f>IF(B192&lt;&gt;"",hddtohms(-GetLongitude(B192,C192,D192)),"")</f>
        <v>117.46025560551206</v>
      </c>
      <c r="G192" s="59">
        <f t="shared" si="3"/>
        <v>4013.8913110488156</v>
      </c>
    </row>
    <row r="193" spans="1:7" ht="15.75" thickBot="1" x14ac:dyDescent="0.3">
      <c r="A193" s="68">
        <v>200135</v>
      </c>
      <c r="B193" s="70">
        <v>-6869729.1716841478</v>
      </c>
      <c r="C193" s="70">
        <v>-13047610.579225313</v>
      </c>
      <c r="D193" s="70">
        <v>14803329.476584725</v>
      </c>
      <c r="E193" s="54">
        <f>IF(B193&lt;&gt;"",hddtohms(getlatitude(B193,C193,D193)),"")</f>
        <v>45.181541243766993</v>
      </c>
      <c r="F193" s="54">
        <f>IF(B193&lt;&gt;"",hddtohms(-GetLongitude(B193,C193,D193)),"")</f>
        <v>117.46025055873019</v>
      </c>
      <c r="G193" s="59">
        <f t="shared" si="3"/>
        <v>3961.5681492577405</v>
      </c>
    </row>
    <row r="194" spans="1:7" ht="15.75" thickBot="1" x14ac:dyDescent="0.3">
      <c r="A194" s="68">
        <v>200136</v>
      </c>
      <c r="B194" s="70">
        <v>-6870576.2371321069</v>
      </c>
      <c r="C194" s="70">
        <v>-13049211.185419833</v>
      </c>
      <c r="D194" s="70">
        <v>14801377.2008163</v>
      </c>
      <c r="E194" s="54">
        <f>IF(B194&lt;&gt;"",hddtohms(getlatitude(B194,C194,D194)),"")</f>
        <v>45.174915056051532</v>
      </c>
      <c r="F194" s="54">
        <f>IF(B194&lt;&gt;"",hddtohms(-GetLongitude(B194,C194,D194)),"")</f>
        <v>117.46025591302413</v>
      </c>
      <c r="G194" s="59">
        <f t="shared" si="3"/>
        <v>3847.6564142551579</v>
      </c>
    </row>
    <row r="195" spans="1:7" ht="15.75" thickBot="1" x14ac:dyDescent="0.3">
      <c r="A195" s="68">
        <v>200137</v>
      </c>
      <c r="B195" s="70">
        <v>-6905136.5741276797</v>
      </c>
      <c r="C195" s="70">
        <v>-13057754.819061164</v>
      </c>
      <c r="D195" s="70">
        <v>14776304.4953904</v>
      </c>
      <c r="E195" s="54">
        <f>IF(B195&lt;&gt;"",hddtohms(getlatitude(B195,C195,D195)),"")</f>
        <v>45.120885157379512</v>
      </c>
      <c r="F195" s="54">
        <f>IF(B195&lt;&gt;"",hddtohms(-GetLongitude(B195,C195,D195)),"")</f>
        <v>117.52140070008316</v>
      </c>
      <c r="G195" s="59">
        <f t="shared" si="3"/>
        <v>2716.0196640745799</v>
      </c>
    </row>
    <row r="196" spans="1:7" ht="15.75" thickBot="1" x14ac:dyDescent="0.3">
      <c r="A196" s="68">
        <v>200138</v>
      </c>
      <c r="B196" s="70">
        <v>-6939560.896682119</v>
      </c>
      <c r="C196" s="70">
        <v>-13088736.372877346</v>
      </c>
      <c r="D196" s="70">
        <v>14733732.820204893</v>
      </c>
      <c r="E196" s="54">
        <f>IF(B196&lt;&gt;"",hddtohms(getlatitude(B196,C196,D196)),"")</f>
        <v>45.020808358991225</v>
      </c>
      <c r="F196" s="54">
        <f>IF(B196&lt;&gt;"",hddtohms(-GetLongitude(B196,C196,D196)),"")</f>
        <v>117.55560547733592</v>
      </c>
      <c r="G196" s="59">
        <f t="shared" si="3"/>
        <v>3238.2505302432382</v>
      </c>
    </row>
    <row r="197" spans="1:7" ht="15.75" thickBot="1" x14ac:dyDescent="0.3">
      <c r="A197" s="68">
        <v>200139</v>
      </c>
      <c r="B197" s="70">
        <v>-6940434.7254389469</v>
      </c>
      <c r="C197" s="70">
        <v>-13090375.48495681</v>
      </c>
      <c r="D197" s="70">
        <v>14731874.51387478</v>
      </c>
      <c r="E197" s="54">
        <f>IF(B197&lt;&gt;"",hddtohms(getlatitude(B197,C197,D197)),"")</f>
        <v>45.014214504781606</v>
      </c>
      <c r="F197" s="54">
        <f>IF(B197&lt;&gt;"",hddtohms(-GetLongitude(B197,C197,D197)),"")</f>
        <v>117.55561135951287</v>
      </c>
      <c r="G197" s="59">
        <f t="shared" si="3"/>
        <v>3236.2027801258173</v>
      </c>
    </row>
    <row r="198" spans="1:7" ht="15.75" thickBot="1" x14ac:dyDescent="0.3">
      <c r="A198" s="68">
        <v>200140</v>
      </c>
      <c r="B198" s="70">
        <v>-6941322.9161869716</v>
      </c>
      <c r="C198" s="70">
        <v>-13092041.726913985</v>
      </c>
      <c r="D198" s="70">
        <v>14729992.464833787</v>
      </c>
      <c r="E198" s="54">
        <f>IF(B198&lt;&gt;"",hddtohms(getlatitude(B198,C198,D198)),"")</f>
        <v>45.011582642727348</v>
      </c>
      <c r="F198" s="54">
        <f>IF(B198&lt;&gt;"",hddtohms(-GetLongitude(B198,C198,D198)),"")</f>
        <v>117.55561721302537</v>
      </c>
      <c r="G198" s="59">
        <f t="shared" si="3"/>
        <v>3239.3885765797077</v>
      </c>
    </row>
    <row r="199" spans="1:7" ht="15.75" thickBot="1" x14ac:dyDescent="0.3">
      <c r="A199" s="68">
        <v>200141</v>
      </c>
      <c r="B199" s="70">
        <v>-6938997.7407159824</v>
      </c>
      <c r="C199" s="70">
        <v>-13093259.29092369</v>
      </c>
      <c r="D199" s="70">
        <v>14729953.113892928</v>
      </c>
      <c r="E199" s="54">
        <f>IF(B199&lt;&gt;"",hddtohms(getlatitude(B199,C199,D199)),"")</f>
        <v>45.011564417567527</v>
      </c>
      <c r="F199" s="54">
        <f>IF(B199&lt;&gt;"",hddtohms(-GetLongitude(B199,C199,D199)),"")</f>
        <v>117.55196383189374</v>
      </c>
      <c r="G199" s="59">
        <f t="shared" si="3"/>
        <v>3202.2060440754831</v>
      </c>
    </row>
    <row r="200" spans="1:7" ht="15.75" thickBot="1" x14ac:dyDescent="0.3">
      <c r="A200" s="68">
        <v>200142</v>
      </c>
      <c r="B200" s="70">
        <v>-6936682.083073874</v>
      </c>
      <c r="C200" s="70">
        <v>-13094494.601924622</v>
      </c>
      <c r="D200" s="70">
        <v>14729934.118933566</v>
      </c>
      <c r="E200" s="54">
        <f>IF(B200&lt;&gt;"",hddtohms(getlatitude(B200,C200,D200)),"")</f>
        <v>45.011546009616339</v>
      </c>
      <c r="F200" s="54">
        <f>IF(B200&lt;&gt;"",hddtohms(-GetLongitude(B200,C200,D200)),"")</f>
        <v>117.54431058769353</v>
      </c>
      <c r="G200" s="59">
        <f t="shared" si="3"/>
        <v>3193.9856654893247</v>
      </c>
    </row>
    <row r="201" spans="1:7" ht="15.75" thickBot="1" x14ac:dyDescent="0.3">
      <c r="A201" s="68" t="s">
        <v>83</v>
      </c>
      <c r="B201" s="70">
        <v>-6935769.517831834</v>
      </c>
      <c r="C201" s="70">
        <v>-13092823.237986125</v>
      </c>
      <c r="D201" s="70">
        <v>14731818.088098345</v>
      </c>
      <c r="E201" s="54">
        <f>IF(B201&lt;&gt;"",hddtohms(getlatitude(B201,C201,D201)),"")</f>
        <v>45.014190345986933</v>
      </c>
      <c r="F201" s="54">
        <f>IF(B201&lt;&gt;"",hddtohms(-GetLongitude(B201,C201,D201)),"")</f>
        <v>117.54427715578714</v>
      </c>
      <c r="G201" s="59">
        <f t="shared" si="3"/>
        <v>3180.8916680233779</v>
      </c>
    </row>
    <row r="202" spans="1:7" ht="15.75" thickBot="1" x14ac:dyDescent="0.3">
      <c r="A202" s="68">
        <v>200144</v>
      </c>
      <c r="B202" s="70">
        <v>-6932552.9985391004</v>
      </c>
      <c r="C202" s="70">
        <v>-13092445.721814463</v>
      </c>
      <c r="D202" s="70">
        <v>14733636.331697516</v>
      </c>
      <c r="E202" s="54">
        <f>IF(B202&lt;&gt;"",hddtohms(getlatitude(B202,C202,D202)),"")</f>
        <v>45.020743384718259</v>
      </c>
      <c r="F202" s="54">
        <f>IF(B202&lt;&gt;"",hddtohms(-GetLongitude(B202,C202,D202)),"")</f>
        <v>117.54056579762521</v>
      </c>
      <c r="G202" s="59">
        <f t="shared" si="3"/>
        <v>3167.6141362943035</v>
      </c>
    </row>
    <row r="203" spans="1:7" ht="15.75" thickBot="1" x14ac:dyDescent="0.3">
      <c r="A203" s="68">
        <v>200145</v>
      </c>
      <c r="B203" s="70">
        <v>-6934885.3460855</v>
      </c>
      <c r="C203" s="70">
        <v>-13091202.2352072</v>
      </c>
      <c r="D203" s="70">
        <v>14733671.008237172</v>
      </c>
      <c r="E203" s="54">
        <f>IF(B203&lt;&gt;"",hddtohms(getlatitude(B203,C203,D203)),"")</f>
        <v>45.020772652506537</v>
      </c>
      <c r="F203" s="54">
        <f>IF(B203&lt;&gt;"",hddtohms(-GetLongitude(B203,C203,D203)),"")</f>
        <v>117.54424582577111</v>
      </c>
      <c r="G203" s="59">
        <f t="shared" si="3"/>
        <v>3187.0136059211454</v>
      </c>
    </row>
    <row r="204" spans="1:7" ht="15.75" thickBot="1" x14ac:dyDescent="0.3">
      <c r="A204" s="68">
        <v>200146</v>
      </c>
      <c r="B204" s="70">
        <v>-6937239.0436367216</v>
      </c>
      <c r="C204" s="70">
        <v>-13089978.120778874</v>
      </c>
      <c r="D204" s="70">
        <v>14733703.827753598</v>
      </c>
      <c r="E204" s="54">
        <f>IF(B204&lt;&gt;"",hddtohms(getlatitude(B204,C204,D204)),"")</f>
        <v>45.020781355946717</v>
      </c>
      <c r="F204" s="54">
        <f>IF(B204&lt;&gt;"",hddtohms(-GetLongitude(B204,C204,D204)),"")</f>
        <v>117.55193949249119</v>
      </c>
      <c r="G204" s="59">
        <f t="shared" si="3"/>
        <v>3224.5934108048568</v>
      </c>
    </row>
    <row r="205" spans="1:7" ht="15.75" thickBot="1" x14ac:dyDescent="0.3">
      <c r="A205" s="68">
        <v>200147</v>
      </c>
      <c r="B205" s="70">
        <v>-6905572.898251039</v>
      </c>
      <c r="C205" s="70">
        <v>-13058582.956546716</v>
      </c>
      <c r="D205" s="70">
        <v>14775363.815428123</v>
      </c>
      <c r="E205" s="54">
        <f>IF(B205&lt;&gt;"",hddtohms(getlatitude(B205,C205,D205)),"")</f>
        <v>45.115575107799529</v>
      </c>
      <c r="F205" s="54">
        <f>IF(B205&lt;&gt;"",hddtohms(-GetLongitude(B205,C205,D205)),"")</f>
        <v>117.52139871598547</v>
      </c>
      <c r="G205" s="59">
        <f t="shared" si="3"/>
        <v>2708.0982900835752</v>
      </c>
    </row>
    <row r="206" spans="1:7" ht="15.75" thickBot="1" x14ac:dyDescent="0.3">
      <c r="A206" s="68">
        <v>200148</v>
      </c>
      <c r="B206" s="70">
        <v>-6934128.635658782</v>
      </c>
      <c r="C206" s="70">
        <v>-12982582.327578207</v>
      </c>
      <c r="D206" s="70">
        <v>14831993.600137737</v>
      </c>
      <c r="E206" s="54">
        <f>IF(B206&lt;&gt;"",hddtohms(getlatitude(B206,C206,D206)),"")</f>
        <v>45.244581254016339</v>
      </c>
      <c r="F206" s="54">
        <f>IF(B206&lt;&gt;"",hddtohms(-GetLongitude(B206,C206,D206)),"")</f>
        <v>118.06256547877207</v>
      </c>
      <c r="G206" s="59">
        <f t="shared" si="3"/>
        <v>5188.7450336295133</v>
      </c>
    </row>
    <row r="207" spans="1:7" ht="15.75" thickBot="1" x14ac:dyDescent="0.3">
      <c r="A207" s="68">
        <v>200149</v>
      </c>
      <c r="B207" s="70">
        <v>-6931534.9210374514</v>
      </c>
      <c r="C207" s="70">
        <v>-12983241.126454378</v>
      </c>
      <c r="D207" s="70">
        <v>14831384.502927007</v>
      </c>
      <c r="E207" s="54">
        <f>IF(B207&lt;&gt;"",hddtohms(getlatitude(B207,C207,D207)),"")</f>
        <v>45.244609539094817</v>
      </c>
      <c r="F207" s="54">
        <f>IF(B207&lt;&gt;"",hddtohms(-GetLongitude(B207,C207,D207)),"")</f>
        <v>118.05492415721997</v>
      </c>
      <c r="G207" s="59">
        <f t="shared" si="3"/>
        <v>4305.2449649038936</v>
      </c>
    </row>
    <row r="208" spans="1:7" ht="15.75" thickBot="1" x14ac:dyDescent="0.3">
      <c r="A208" s="68">
        <v>200150</v>
      </c>
      <c r="B208" s="70">
        <v>-6937047.6170536596</v>
      </c>
      <c r="C208" s="70">
        <v>-12982868.10732743</v>
      </c>
      <c r="D208" s="70">
        <v>14829835.69014778</v>
      </c>
      <c r="E208" s="54">
        <f>IF(B208&lt;&gt;"",hddtohms(getlatitude(B208,C208,D208)),"")</f>
        <v>45.241941925464111</v>
      </c>
      <c r="F208" s="54">
        <f>IF(B208&lt;&gt;"",hddtohms(-GetLongitude(B208,C208,D208)),"")</f>
        <v>118.065984694856</v>
      </c>
      <c r="G208" s="59">
        <f t="shared" si="3"/>
        <v>4794.5703819131832</v>
      </c>
    </row>
    <row r="209" spans="1:7" ht="15.75" thickBot="1" x14ac:dyDescent="0.3">
      <c r="A209" s="68">
        <v>200151</v>
      </c>
      <c r="B209" s="70">
        <v>-6937962.8107233737</v>
      </c>
      <c r="C209" s="70">
        <v>-12984593.023262888</v>
      </c>
      <c r="D209" s="70">
        <v>14828046.60764187</v>
      </c>
      <c r="E209" s="54">
        <f>IF(B209&lt;&gt;"",hddtohms(getlatitude(B209,C209,D209)),"")</f>
        <v>45.235329588377674</v>
      </c>
      <c r="F209" s="54">
        <f>IF(B209&lt;&gt;"",hddtohms(-GetLongitude(B209,C209,D209)),"")</f>
        <v>118.06597670099006</v>
      </c>
      <c r="G209" s="59">
        <f t="shared" si="3"/>
        <v>4891.6817966560993</v>
      </c>
    </row>
    <row r="210" spans="1:7" ht="15.75" thickBot="1" x14ac:dyDescent="0.3">
      <c r="A210" s="68">
        <v>200152</v>
      </c>
      <c r="B210" s="70">
        <v>-6933116.070160999</v>
      </c>
      <c r="C210" s="70">
        <v>-12986279.475655925</v>
      </c>
      <c r="D210" s="70">
        <v>14827380.72145723</v>
      </c>
      <c r="E210" s="54">
        <f>IF(B210&lt;&gt;"",hddtohms(getlatitude(B210,C210,D210)),"")</f>
        <v>45.235427357595483</v>
      </c>
      <c r="F210" s="54">
        <f>IF(B210&lt;&gt;"",hddtohms(-GetLongitude(B210,C210,D210)),"")</f>
        <v>118.05487351157666</v>
      </c>
      <c r="G210" s="59">
        <f t="shared" si="3"/>
        <v>3858.7746075736177</v>
      </c>
    </row>
    <row r="211" spans="1:7" ht="15.75" thickBot="1" x14ac:dyDescent="0.3">
      <c r="A211" s="68">
        <v>200201</v>
      </c>
      <c r="B211" s="70">
        <v>-6898965.0444203699</v>
      </c>
      <c r="C211" s="70">
        <v>-13046083.370506147</v>
      </c>
      <c r="D211" s="70">
        <v>14789322.136483558</v>
      </c>
      <c r="E211" s="54">
        <f>IF(B211&lt;&gt;"",hddtohms(getlatitude(B211,C211,D211)),"")</f>
        <v>45.151188800628205</v>
      </c>
      <c r="F211" s="54">
        <f>IF(B211&lt;&gt;"",hddtohms(-GetLongitude(B211,C211,D211)),"")</f>
        <v>117.5214013269003</v>
      </c>
      <c r="G211" s="59">
        <f t="shared" si="3"/>
        <v>2658.9261679308802</v>
      </c>
    </row>
    <row r="212" spans="1:7" ht="15.75" thickBot="1" x14ac:dyDescent="0.3">
      <c r="A212" s="68">
        <v>200202</v>
      </c>
      <c r="B212" s="70">
        <v>-6896617.0942182913</v>
      </c>
      <c r="C212" s="70">
        <v>-13047327.077430742</v>
      </c>
      <c r="D212" s="70">
        <v>14789328.10324618</v>
      </c>
      <c r="E212" s="54">
        <f>IF(B212&lt;&gt;"",hddtohms(getlatitude(B212,C212,D212)),"")</f>
        <v>45.151191493159139</v>
      </c>
      <c r="F212" s="54">
        <f>IF(B212&lt;&gt;"",hddtohms(-GetLongitude(B212,C212,D212)),"")</f>
        <v>117.51368774993732</v>
      </c>
      <c r="G212" s="59">
        <f t="shared" si="3"/>
        <v>2664.6239491545093</v>
      </c>
    </row>
    <row r="213" spans="1:7" ht="15.75" thickBot="1" x14ac:dyDescent="0.3">
      <c r="A213" s="68">
        <v>200203</v>
      </c>
      <c r="B213" s="70">
        <v>-6894356.3986508073</v>
      </c>
      <c r="C213" s="70">
        <v>-13048715.234077653</v>
      </c>
      <c r="D213" s="70">
        <v>14789502.43504791</v>
      </c>
      <c r="E213" s="54">
        <f>IF(B213&lt;&gt;"",hddtohms(getlatitude(B213,C213,D213)),"")</f>
        <v>45.15119273021876</v>
      </c>
      <c r="F213" s="54">
        <f>IF(B213&lt;&gt;"",hddtohms(-GetLongitude(B213,C213,D213)),"")</f>
        <v>117.50598768589509</v>
      </c>
      <c r="G213" s="59">
        <f t="shared" si="3"/>
        <v>2908.841476518015</v>
      </c>
    </row>
    <row r="214" spans="1:7" ht="15.75" thickBot="1" x14ac:dyDescent="0.3">
      <c r="A214" s="68">
        <v>200204</v>
      </c>
      <c r="B214" s="70">
        <v>-6889856.0873041442</v>
      </c>
      <c r="C214" s="70">
        <v>-13051560.190643545</v>
      </c>
      <c r="D214" s="70">
        <v>14789900.502804212</v>
      </c>
      <c r="E214" s="54">
        <f>IF(B214&lt;&gt;"",hddtohms(getlatitude(B214,C214,D214)),"")</f>
        <v>45.151179078500888</v>
      </c>
      <c r="F214" s="54">
        <f>IF(B214&lt;&gt;"",hddtohms(-GetLongitude(B214,C214,D214)),"")</f>
        <v>117.49456908261674</v>
      </c>
      <c r="G214" s="59">
        <f t="shared" si="3"/>
        <v>3483.0293857050601</v>
      </c>
    </row>
    <row r="215" spans="1:7" ht="15.75" thickBot="1" x14ac:dyDescent="0.3">
      <c r="A215" s="68">
        <v>200205</v>
      </c>
      <c r="B215" s="70">
        <v>-6898074.2550513893</v>
      </c>
      <c r="C215" s="70">
        <v>-13044398.543355063</v>
      </c>
      <c r="D215" s="70">
        <v>14791194.876433033</v>
      </c>
      <c r="E215" s="54">
        <f>IF(B215&lt;&gt;"",hddtohms(getlatitude(B215,C215,D215)),"")</f>
        <v>45.153826518726333</v>
      </c>
      <c r="F215" s="54">
        <f>IF(B215&lt;&gt;"",hddtohms(-GetLongitude(B215,C215,D215)),"")</f>
        <v>117.5214015401334</v>
      </c>
      <c r="G215" s="59">
        <f t="shared" si="3"/>
        <v>2647.5184960911429</v>
      </c>
    </row>
    <row r="216" spans="1:7" ht="15.75" thickBot="1" x14ac:dyDescent="0.3">
      <c r="A216" s="68">
        <v>200206</v>
      </c>
      <c r="B216" s="70">
        <v>-6897189.6156775644</v>
      </c>
      <c r="C216" s="70">
        <v>-13042741.746987183</v>
      </c>
      <c r="D216" s="70">
        <v>14793044.660479173</v>
      </c>
      <c r="E216" s="54">
        <f>IF(B216&lt;&gt;"",hddtohms(getlatitude(B216,C216,D216)),"")</f>
        <v>45.160428892630549</v>
      </c>
      <c r="F216" s="54">
        <f>IF(B216&lt;&gt;"",hddtohms(-GetLongitude(B216,C216,D216)),"")</f>
        <v>117.52139103474069</v>
      </c>
      <c r="G216" s="59">
        <f t="shared" si="3"/>
        <v>2639.6074466772006</v>
      </c>
    </row>
    <row r="217" spans="1:7" ht="15.75" thickBot="1" x14ac:dyDescent="0.3">
      <c r="A217" s="68">
        <v>200207</v>
      </c>
      <c r="B217" s="70">
        <v>-6894797.8546453118</v>
      </c>
      <c r="C217" s="70">
        <v>-13044052.951922346</v>
      </c>
      <c r="D217" s="70">
        <v>14793060.633869905</v>
      </c>
      <c r="E217" s="54">
        <f>IF(B217&lt;&gt;"",hddtohms(getlatitude(B217,C217,D217)),"")</f>
        <v>45.160411043183565</v>
      </c>
      <c r="F217" s="54">
        <f>IF(B217&lt;&gt;"",hddtohms(-GetLongitude(B217,C217,D217)),"")</f>
        <v>117.51357825931188</v>
      </c>
      <c r="G217" s="59">
        <f t="shared" si="3"/>
        <v>2680.0050690989228</v>
      </c>
    </row>
    <row r="218" spans="1:7" ht="15.75" thickBot="1" x14ac:dyDescent="0.3">
      <c r="A218" s="68">
        <v>200208</v>
      </c>
      <c r="B218" s="70">
        <v>-6896315.0523077864</v>
      </c>
      <c r="C218" s="70">
        <v>-13041071.638119334</v>
      </c>
      <c r="D218" s="70">
        <v>14794911.377612447</v>
      </c>
      <c r="E218" s="54">
        <f>IF(B218&lt;&gt;"",hddtohms(getlatitude(B218,C218,D218)),"")</f>
        <v>45.163047978948022</v>
      </c>
      <c r="F218" s="54">
        <f>IF(B218&lt;&gt;"",hddtohms(-GetLongitude(B218,C218,D218)),"")</f>
        <v>117.52140168204187</v>
      </c>
      <c r="G218" s="59">
        <f t="shared" si="3"/>
        <v>2639.0930710650991</v>
      </c>
    </row>
    <row r="219" spans="1:7" ht="15.75" thickBot="1" x14ac:dyDescent="0.3">
      <c r="A219" s="68">
        <v>200209</v>
      </c>
      <c r="B219" s="70">
        <v>-6891754.3948283708</v>
      </c>
      <c r="C219" s="70">
        <v>-13043924.058214713</v>
      </c>
      <c r="D219" s="70">
        <v>14795250.630444303</v>
      </c>
      <c r="E219" s="54">
        <f>IF(B219&lt;&gt;"",hddtohms(getlatitude(B219,C219,D219)),"")</f>
        <v>45.163009735993498</v>
      </c>
      <c r="F219" s="54">
        <f>IF(B219&lt;&gt;"",hddtohms(-GetLongitude(B219,C219,D219)),"")</f>
        <v>117.50590045724071</v>
      </c>
      <c r="G219" s="59">
        <f t="shared" si="3"/>
        <v>3154.9513531627363</v>
      </c>
    </row>
    <row r="220" spans="1:7" ht="15.75" thickBot="1" x14ac:dyDescent="0.3">
      <c r="A220" s="68">
        <v>200210</v>
      </c>
      <c r="B220" s="70">
        <v>-6886946.3488618014</v>
      </c>
      <c r="C220" s="70">
        <v>-13046401.486128705</v>
      </c>
      <c r="D220" s="70">
        <v>14795168.637409043</v>
      </c>
      <c r="E220" s="54">
        <f>IF(B220&lt;&gt;"",hddtohms(getlatitude(B220,C220,D220)),"")</f>
        <v>45.162991090101372</v>
      </c>
      <c r="F220" s="54">
        <f>IF(B220&lt;&gt;"",hddtohms(-GetLongitude(B220,C220,D220)),"")</f>
        <v>117.49433850523693</v>
      </c>
      <c r="G220" s="59">
        <f t="shared" si="3"/>
        <v>3058.2559588073909</v>
      </c>
    </row>
    <row r="221" spans="1:7" ht="15.75" thickBot="1" x14ac:dyDescent="0.3">
      <c r="A221" s="68">
        <v>200212</v>
      </c>
      <c r="B221" s="70">
        <v>-6890872.9318300737</v>
      </c>
      <c r="C221" s="70">
        <v>-13042245.519650023</v>
      </c>
      <c r="D221" s="70">
        <v>14797091.587593712</v>
      </c>
      <c r="E221" s="54">
        <f>IF(B221&lt;&gt;"",hddtohms(getlatitude(B221,C221,D221)),"")</f>
        <v>45.165618352939099</v>
      </c>
      <c r="F221" s="54">
        <f>IF(B221&lt;&gt;"",hddtohms(-GetLongitude(B221,C221,D221)),"")</f>
        <v>117.50590712436725</v>
      </c>
      <c r="G221" s="59">
        <f t="shared" si="3"/>
        <v>3128.9503334257824</v>
      </c>
    </row>
    <row r="222" spans="1:7" ht="15.75" thickBot="1" x14ac:dyDescent="0.3">
      <c r="A222" s="68">
        <v>200213</v>
      </c>
      <c r="B222" s="70">
        <v>-6888525.4812087025</v>
      </c>
      <c r="C222" s="70">
        <v>-13043528.995270886</v>
      </c>
      <c r="D222" s="70">
        <v>14797152.947631933</v>
      </c>
      <c r="E222" s="54">
        <f>IF(B222&lt;&gt;"",hddtohms(getlatitude(B222,C222,D222)),"")</f>
        <v>45.165634009442215</v>
      </c>
      <c r="F222" s="54">
        <f>IF(B222&lt;&gt;"",hddtohms(-GetLongitude(B222,C222,D222)),"")</f>
        <v>117.50216639079181</v>
      </c>
      <c r="G222" s="59">
        <f t="shared" si="3"/>
        <v>3199.5976599626465</v>
      </c>
    </row>
    <row r="223" spans="1:7" ht="15.75" thickBot="1" x14ac:dyDescent="0.3">
      <c r="A223" s="68">
        <v>200214</v>
      </c>
      <c r="B223" s="70">
        <v>-6894552.5538744843</v>
      </c>
      <c r="C223" s="70">
        <v>-13037745.121887278</v>
      </c>
      <c r="D223" s="70">
        <v>14798637.189092057</v>
      </c>
      <c r="E223" s="54">
        <f>IF(B223&lt;&gt;"",hddtohms(getlatitude(B223,C223,D223)),"")</f>
        <v>45.172276735481205</v>
      </c>
      <c r="F223" s="54">
        <f>IF(B223&lt;&gt;"",hddtohms(-GetLongitude(B223,C223,D223)),"")</f>
        <v>117.52139749514944</v>
      </c>
      <c r="G223" s="59">
        <f t="shared" si="3"/>
        <v>2637.781182296183</v>
      </c>
    </row>
    <row r="224" spans="1:7" ht="15.75" thickBot="1" x14ac:dyDescent="0.3">
      <c r="A224" s="68">
        <v>200215</v>
      </c>
      <c r="B224" s="70">
        <v>-6933670.9011888225</v>
      </c>
      <c r="C224" s="70">
        <v>-13004269.238142855</v>
      </c>
      <c r="D224" s="70">
        <v>14809823.5249789</v>
      </c>
      <c r="E224" s="54">
        <f>IF(B224&lt;&gt;"",hddtohms(getlatitude(B224,C224,D224)),"")</f>
        <v>45.195917608934948</v>
      </c>
      <c r="F224" s="54">
        <f>IF(B224&lt;&gt;"",hddtohms(-GetLongitude(B224,C224,D224)),"")</f>
        <v>118.03570027774521</v>
      </c>
      <c r="G224" s="59">
        <f t="shared" si="3"/>
        <v>2699.7902759506687</v>
      </c>
    </row>
    <row r="225" spans="1:7" ht="15.75" thickBot="1" x14ac:dyDescent="0.3">
      <c r="A225" s="68">
        <v>200301</v>
      </c>
      <c r="B225" s="70">
        <v>-6959866.4595330153</v>
      </c>
      <c r="C225" s="70">
        <v>-13036759.262952896</v>
      </c>
      <c r="D225" s="70">
        <v>14772187.545647239</v>
      </c>
      <c r="E225" s="54">
        <f>IF(B225&lt;&gt;"",hddtohms(getlatitude(B225,C225,D225)),"")</f>
        <v>45.105021016296035</v>
      </c>
      <c r="F225" s="54">
        <f>IF(B225&lt;&gt;"",hddtohms(-GetLongitude(B225,C225,D225)),"")</f>
        <v>118.05462755238437</v>
      </c>
      <c r="G225" s="59">
        <f t="shared" si="3"/>
        <v>4826.5093929112627</v>
      </c>
    </row>
    <row r="226" spans="1:7" ht="15.75" thickBot="1" x14ac:dyDescent="0.3">
      <c r="A226" s="68">
        <v>200302</v>
      </c>
      <c r="B226" s="70">
        <v>-6957637.6641569398</v>
      </c>
      <c r="C226" s="70">
        <v>-13038090.661085576</v>
      </c>
      <c r="D226" s="70">
        <v>14772300.242646817</v>
      </c>
      <c r="E226" s="54">
        <f>IF(B226&lt;&gt;"",hddtohms(getlatitude(B226,C226,D226)),"")</f>
        <v>45.105011854897079</v>
      </c>
      <c r="F226" s="54">
        <f>IF(B226&lt;&gt;"",hddtohms(-GetLongitude(B226,C226,D226)),"")</f>
        <v>118.05100820441966</v>
      </c>
      <c r="G226" s="59">
        <f t="shared" si="3"/>
        <v>4994.6097717161683</v>
      </c>
    </row>
    <row r="227" spans="1:7" ht="15.75" thickBot="1" x14ac:dyDescent="0.3">
      <c r="A227" s="68">
        <v>200303</v>
      </c>
      <c r="B227" s="70">
        <v>-6955261.1396025065</v>
      </c>
      <c r="C227" s="70">
        <v>-13039225.424649326</v>
      </c>
      <c r="D227" s="70">
        <v>14772216.758883027</v>
      </c>
      <c r="E227" s="54">
        <f>IF(B227&lt;&gt;"",hddtohms(getlatitude(B227,C227,D227)),"")</f>
        <v>45.10503603643965</v>
      </c>
      <c r="F227" s="54">
        <f>IF(B227&lt;&gt;"",hddtohms(-GetLongitude(B227,C227,D227)),"")</f>
        <v>118.04333615902907</v>
      </c>
      <c r="G227" s="59">
        <f t="shared" si="3"/>
        <v>4852.5728484875181</v>
      </c>
    </row>
    <row r="228" spans="1:7" ht="15.75" thickBot="1" x14ac:dyDescent="0.3">
      <c r="A228" s="68">
        <v>200304</v>
      </c>
      <c r="B228" s="70">
        <v>-6958073.8145131292</v>
      </c>
      <c r="C228" s="70">
        <v>-13038866.156382497</v>
      </c>
      <c r="D228" s="70">
        <v>14771327.443103438</v>
      </c>
      <c r="E228" s="54">
        <f>IF(B228&lt;&gt;"",hddtohms(getlatitude(B228,C228,D228)),"")</f>
        <v>45.10371217285703</v>
      </c>
      <c r="F228" s="54">
        <f>IF(B228&lt;&gt;"",hddtohms(-GetLongitude(B228,C228,D228)),"")</f>
        <v>118.05103568130794</v>
      </c>
      <c r="G228" s="59">
        <f t="shared" si="3"/>
        <v>4931.6081816734513</v>
      </c>
    </row>
    <row r="229" spans="1:7" ht="15.75" thickBot="1" x14ac:dyDescent="0.3">
      <c r="A229" s="68">
        <v>200305</v>
      </c>
      <c r="B229" s="70">
        <v>-6956916.3744765967</v>
      </c>
      <c r="C229" s="70">
        <v>-13039522.987480208</v>
      </c>
      <c r="D229" s="70">
        <v>14771377.672698194</v>
      </c>
      <c r="E229" s="54">
        <f>IF(B229&lt;&gt;"",hddtohms(getlatitude(B229,C229,D229)),"")</f>
        <v>45.10372288486284</v>
      </c>
      <c r="F229" s="54">
        <f>IF(B229&lt;&gt;"",hddtohms(-GetLongitude(B229,C229,D229)),"")</f>
        <v>118.04517896518048</v>
      </c>
      <c r="G229" s="59">
        <f t="shared" si="3"/>
        <v>4991.6400128542591</v>
      </c>
    </row>
    <row r="230" spans="1:7" ht="15.75" thickBot="1" x14ac:dyDescent="0.3">
      <c r="A230" s="68">
        <v>200306</v>
      </c>
      <c r="B230" s="70">
        <v>-6960865.2275448982</v>
      </c>
      <c r="C230" s="70">
        <v>-13038516.862328447</v>
      </c>
      <c r="D230" s="70">
        <v>14770446.006840281</v>
      </c>
      <c r="E230" s="54">
        <f>IF(B230&lt;&gt;"",hddtohms(getlatitude(B230,C230,D230)),"")</f>
        <v>45.102394319112022</v>
      </c>
      <c r="F230" s="54">
        <f>IF(B230&lt;&gt;"",hddtohms(-GetLongitude(B230,C230,D230)),"")</f>
        <v>118.05470196872832</v>
      </c>
      <c r="G230" s="59">
        <f t="shared" si="3"/>
        <v>5015.7969386890745</v>
      </c>
    </row>
    <row r="231" spans="1:7" ht="15.75" thickBot="1" x14ac:dyDescent="0.3">
      <c r="A231" s="68">
        <v>200307</v>
      </c>
      <c r="B231" s="70">
        <v>-6956098.5491965618</v>
      </c>
      <c r="C231" s="70">
        <v>-13040837.689552782</v>
      </c>
      <c r="D231" s="70">
        <v>14770300.757310629</v>
      </c>
      <c r="E231" s="54">
        <f>IF(B231&lt;&gt;"",hddtohms(getlatitude(B231,C231,D231)),"")</f>
        <v>45.102430893661221</v>
      </c>
      <c r="F231" s="54">
        <f>IF(B231&lt;&gt;"",hddtohms(-GetLongitude(B231,C231,D231)),"")</f>
        <v>118.04330834362264</v>
      </c>
      <c r="G231" s="59">
        <f t="shared" si="3"/>
        <v>4774.1731030387564</v>
      </c>
    </row>
    <row r="232" spans="1:7" ht="15.75" thickBot="1" x14ac:dyDescent="0.3">
      <c r="A232" s="68">
        <v>200308</v>
      </c>
      <c r="B232" s="70">
        <v>-6966447.2421747111</v>
      </c>
      <c r="C232" s="70">
        <v>-13038060.778278645</v>
      </c>
      <c r="D232" s="70">
        <v>14768889.402210161</v>
      </c>
      <c r="E232" s="54">
        <f>IF(B232&lt;&gt;"",hddtohms(getlatitude(B232,C232,D232)),"")</f>
        <v>45.095751761155647</v>
      </c>
      <c r="F232" s="54">
        <f>IF(B232&lt;&gt;"",hddtohms(-GetLongitude(B232,C232,D232)),"")</f>
        <v>118.06587258177973</v>
      </c>
      <c r="G232" s="59">
        <f t="shared" ref="G232:G295" si="4">IF(B232&lt;&gt;"",GetHeight(B232,C232,D232),"")</f>
        <v>5482.225333849301</v>
      </c>
    </row>
    <row r="233" spans="1:7" ht="15.75" thickBot="1" x14ac:dyDescent="0.3">
      <c r="A233" s="68">
        <v>200309</v>
      </c>
      <c r="B233" s="70">
        <v>-6961904.1583797289</v>
      </c>
      <c r="C233" s="70">
        <v>-13040350.196366806</v>
      </c>
      <c r="D233" s="70">
        <v>14768790.877054945</v>
      </c>
      <c r="E233" s="54">
        <f>IF(B233&lt;&gt;"",hddtohms(getlatitude(B233,C233,D233)),"")</f>
        <v>45.095767795514789</v>
      </c>
      <c r="F233" s="54">
        <f>IF(B233&lt;&gt;"",hddtohms(-GetLongitude(B233,C233,D233)),"")</f>
        <v>118.0547760324454</v>
      </c>
      <c r="G233" s="59">
        <f t="shared" si="4"/>
        <v>5327.1413456648024</v>
      </c>
    </row>
    <row r="234" spans="1:7" ht="15.75" thickBot="1" x14ac:dyDescent="0.3">
      <c r="A234" s="68">
        <v>200310</v>
      </c>
      <c r="B234" s="70">
        <v>-6959453.37474465</v>
      </c>
      <c r="C234" s="70">
        <v>-13041324.684898989</v>
      </c>
      <c r="D234" s="70">
        <v>14768506.848252198</v>
      </c>
      <c r="E234" s="54">
        <f>IF(B234&lt;&gt;"",hddtohms(getlatitude(B234,C234,D234)),"")</f>
        <v>45.095776160832045</v>
      </c>
      <c r="F234" s="54">
        <f>IF(B234&lt;&gt;"",hddtohms(-GetLongitude(B234,C234,D234)),"")</f>
        <v>118.05111888631045</v>
      </c>
      <c r="G234" s="59">
        <f t="shared" si="4"/>
        <v>4918.1972076659349</v>
      </c>
    </row>
    <row r="235" spans="1:7" ht="15.75" thickBot="1" x14ac:dyDescent="0.3">
      <c r="A235" s="68">
        <v>200311</v>
      </c>
      <c r="B235" s="70">
        <v>-6958248.256896182</v>
      </c>
      <c r="C235" s="70">
        <v>-13041921.317633837</v>
      </c>
      <c r="D235" s="70">
        <v>14768468.572230699</v>
      </c>
      <c r="E235" s="54">
        <f>IF(B235&lt;&gt;"",hddtohms(getlatitude(B235,C235,D235)),"")</f>
        <v>45.095778180415628</v>
      </c>
      <c r="F235" s="54">
        <f>IF(B235&lt;&gt;"",hddtohms(-GetLongitude(B235,C235,D235)),"")</f>
        <v>118.04524336773888</v>
      </c>
      <c r="G235" s="59">
        <f t="shared" si="4"/>
        <v>4862.1887969411418</v>
      </c>
    </row>
    <row r="236" spans="1:7" ht="15.75" thickBot="1" x14ac:dyDescent="0.3">
      <c r="A236" s="68">
        <v>200312</v>
      </c>
      <c r="B236" s="70">
        <v>-6957050.1470719259</v>
      </c>
      <c r="C236" s="70">
        <v>-13042532.309662173</v>
      </c>
      <c r="D236" s="70">
        <v>14768447.413794696</v>
      </c>
      <c r="E236" s="54">
        <f>IF(B236&lt;&gt;"",hddtohms(getlatitude(B236,C236,D236)),"")</f>
        <v>45.095780850050005</v>
      </c>
      <c r="F236" s="54">
        <f>IF(B236&lt;&gt;"",hddtohms(-GetLongitude(B236,C236,D236)),"")</f>
        <v>118.04336703680313</v>
      </c>
      <c r="G236" s="59">
        <f t="shared" si="4"/>
        <v>4829.6637313836454</v>
      </c>
    </row>
    <row r="237" spans="1:7" ht="15.75" thickBot="1" x14ac:dyDescent="0.3">
      <c r="A237" s="68">
        <v>200313</v>
      </c>
      <c r="B237" s="70">
        <v>-6985769.6424936689</v>
      </c>
      <c r="C237" s="70">
        <v>-12949137.742528733</v>
      </c>
      <c r="D237" s="70">
        <v>14835346.417978594</v>
      </c>
      <c r="E237" s="54">
        <f>IF(B237&lt;&gt;"",hddtohms(getlatitude(B237,C237,D237)),"")</f>
        <v>45.254450124262512</v>
      </c>
      <c r="F237" s="54">
        <f>IF(B237&lt;&gt;"",hddtohms(-GetLongitude(B237,C237,D237)),"")</f>
        <v>118.20451213137666</v>
      </c>
      <c r="G237" s="59">
        <f t="shared" si="4"/>
        <v>4036.9060972496245</v>
      </c>
    </row>
    <row r="238" spans="1:7" ht="15.75" thickBot="1" x14ac:dyDescent="0.3">
      <c r="A238" s="68">
        <v>200314</v>
      </c>
      <c r="B238" s="70">
        <v>-7001801.629546917</v>
      </c>
      <c r="C238" s="70">
        <v>-12945169.334578129</v>
      </c>
      <c r="D238" s="70">
        <v>14831843.042639025</v>
      </c>
      <c r="E238" s="54">
        <f>IF(B238&lt;&gt;"",hddtohms(getlatitude(B238,C238,D238)),"")</f>
        <v>45.245120516717776</v>
      </c>
      <c r="F238" s="54">
        <f>IF(B238&lt;&gt;"",hddtohms(-GetLongitude(B238,C238,D238)),"")</f>
        <v>118.24292757327804</v>
      </c>
      <c r="G238" s="59">
        <f t="shared" si="4"/>
        <v>4438.846186616287</v>
      </c>
    </row>
    <row r="239" spans="1:7" ht="15.75" thickBot="1" x14ac:dyDescent="0.3">
      <c r="A239" s="68">
        <v>200315</v>
      </c>
      <c r="B239" s="70">
        <v>-6998768.8920076592</v>
      </c>
      <c r="C239" s="70">
        <v>-12950865.070044659</v>
      </c>
      <c r="D239" s="70">
        <v>14828006.694938511</v>
      </c>
      <c r="E239" s="54">
        <f>IF(B239&lt;&gt;"",hddtohms(getlatitude(B239,C239,D239)),"")</f>
        <v>45.235953873515847</v>
      </c>
      <c r="F239" s="54">
        <f>IF(B239&lt;&gt;"",hddtohms(-GetLongitude(B239,C239,D239)),"")</f>
        <v>118.23139314001017</v>
      </c>
      <c r="G239" s="59">
        <f t="shared" si="4"/>
        <v>4211.9197635962173</v>
      </c>
    </row>
    <row r="240" spans="1:7" ht="15.75" thickBot="1" x14ac:dyDescent="0.3">
      <c r="A240" s="68">
        <v>200316</v>
      </c>
      <c r="B240" s="70">
        <v>-6989517.3467693869</v>
      </c>
      <c r="C240" s="70">
        <v>-12944911.754277909</v>
      </c>
      <c r="D240" s="70">
        <v>14837165.276280291</v>
      </c>
      <c r="E240" s="54">
        <f>IF(B240&lt;&gt;"",hddtohms(getlatitude(B240,C240,D240)),"")</f>
        <v>45.261073581800503</v>
      </c>
      <c r="F240" s="54">
        <f>IF(B240&lt;&gt;"",hddtohms(-GetLongitude(B240,C240,D240)),"")</f>
        <v>118.2159498980288</v>
      </c>
      <c r="G240" s="59">
        <f t="shared" si="4"/>
        <v>3972.0620033487558</v>
      </c>
    </row>
    <row r="241" spans="1:7" ht="15.75" thickBot="1" x14ac:dyDescent="0.3">
      <c r="A241" s="68">
        <v>200317</v>
      </c>
      <c r="B241" s="70">
        <v>-6995141.0869875923</v>
      </c>
      <c r="C241" s="70">
        <v>-12944165.19365683</v>
      </c>
      <c r="D241" s="70">
        <v>14835402.914622158</v>
      </c>
      <c r="E241" s="54">
        <f>IF(B241&lt;&gt;"",hddtohms(getlatitude(B241,C241,D241)),"")</f>
        <v>45.254435121653579</v>
      </c>
      <c r="F241" s="54">
        <f>IF(B241&lt;&gt;"",hddtohms(-GetLongitude(B241,C241,D241)),"")</f>
        <v>118.23138434768381</v>
      </c>
      <c r="G241" s="59">
        <f t="shared" si="4"/>
        <v>4131.1855754772641</v>
      </c>
    </row>
    <row r="242" spans="1:7" ht="15.75" thickBot="1" x14ac:dyDescent="0.3">
      <c r="A242" s="68">
        <v>200318</v>
      </c>
      <c r="B242" s="70">
        <v>-6992133.8358939392</v>
      </c>
      <c r="C242" s="70">
        <v>-12947005.496398067</v>
      </c>
      <c r="D242" s="70">
        <v>14834584.94051832</v>
      </c>
      <c r="E242" s="54">
        <f>IF(B242&lt;&gt;"",hddtohms(getlatitude(B242,C242,D242)),"")</f>
        <v>45.253116368426817</v>
      </c>
      <c r="F242" s="54">
        <f>IF(B242&lt;&gt;"",hddtohms(-GetLongitude(B242,C242,D242)),"")</f>
        <v>118.22178281431346</v>
      </c>
      <c r="G242" s="59">
        <f t="shared" si="4"/>
        <v>4299.144977519356</v>
      </c>
    </row>
    <row r="243" spans="1:7" ht="15.75" thickBot="1" x14ac:dyDescent="0.3">
      <c r="A243" s="68">
        <v>200319</v>
      </c>
      <c r="B243" s="70">
        <v>-6990991.8844967857</v>
      </c>
      <c r="C243" s="70">
        <v>-12947699.966676431</v>
      </c>
      <c r="D243" s="70">
        <v>14834654.17808596</v>
      </c>
      <c r="E243" s="54">
        <f>IF(B243&lt;&gt;"",hddtohms(getlatitude(B243,C243,D243)),"")</f>
        <v>45.253116189404516</v>
      </c>
      <c r="F243" s="54">
        <f>IF(B243&lt;&gt;"",hddtohms(-GetLongitude(B243,C243,D243)),"")</f>
        <v>118.21591173639497</v>
      </c>
      <c r="G243" s="59">
        <f t="shared" si="4"/>
        <v>4396.5215366289758</v>
      </c>
    </row>
    <row r="244" spans="1:7" ht="15.75" thickBot="1" x14ac:dyDescent="0.3">
      <c r="A244" s="68">
        <v>200320</v>
      </c>
      <c r="B244" s="70">
        <v>-6894892.8444079105</v>
      </c>
      <c r="C244" s="70">
        <v>-12982076.460487455</v>
      </c>
      <c r="D244" s="70">
        <v>14847080.732196428</v>
      </c>
      <c r="E244" s="54">
        <f>IF(B244&lt;&gt;"",hddtohms(getlatitude(B244,C244,D244)),"")</f>
        <v>45.284317437696231</v>
      </c>
      <c r="F244" s="54">
        <f>IF(B244&lt;&gt;"",hddtohms(-GetLongitude(B244,C244,D244)),"")</f>
        <v>117.58233650557329</v>
      </c>
      <c r="G244" s="59">
        <f t="shared" si="4"/>
        <v>2686.0795313399449</v>
      </c>
    </row>
    <row r="245" spans="1:7" ht="15.75" thickBot="1" x14ac:dyDescent="0.3">
      <c r="A245" s="68">
        <v>200321</v>
      </c>
      <c r="B245" s="70">
        <v>-6890176.6912766211</v>
      </c>
      <c r="C245" s="70">
        <v>-12984576.800639307</v>
      </c>
      <c r="D245" s="70">
        <v>14847048.808952892</v>
      </c>
      <c r="E245" s="54">
        <f>IF(B245&lt;&gt;"",hddtohms(getlatitude(B245,C245,D245)),"")</f>
        <v>45.28429742498372</v>
      </c>
      <c r="F245" s="54">
        <f>IF(B245&lt;&gt;"",hddtohms(-GetLongitude(B245,C245,D245)),"")</f>
        <v>117.57084620585489</v>
      </c>
      <c r="G245" s="59">
        <f t="shared" si="4"/>
        <v>2661.242835551695</v>
      </c>
    </row>
    <row r="246" spans="1:7" ht="15.75" thickBot="1" x14ac:dyDescent="0.3">
      <c r="A246" s="68">
        <v>200322</v>
      </c>
      <c r="B246" s="70">
        <v>-6889288.1548021929</v>
      </c>
      <c r="C246" s="70">
        <v>-12982907.921079</v>
      </c>
      <c r="D246" s="70">
        <v>14848905.297602676</v>
      </c>
      <c r="E246" s="54">
        <f>IF(B246&lt;&gt;"",hddtohms(getlatitude(B246,C246,D246)),"")</f>
        <v>45.290913153225993</v>
      </c>
      <c r="F246" s="54">
        <f>IF(B246&lt;&gt;"",hddtohms(-GetLongitude(B246,C246,D246)),"")</f>
        <v>117.5708425401784</v>
      </c>
      <c r="G246" s="59">
        <f t="shared" si="4"/>
        <v>2659.3715926179793</v>
      </c>
    </row>
    <row r="247" spans="1:7" ht="15.75" thickBot="1" x14ac:dyDescent="0.3">
      <c r="A247" s="68">
        <v>200323</v>
      </c>
      <c r="B247" s="70">
        <v>-6870787.3082952118</v>
      </c>
      <c r="C247" s="70">
        <v>-13015316.201799802</v>
      </c>
      <c r="D247" s="70">
        <v>14831110.496943887</v>
      </c>
      <c r="E247" s="54">
        <f>IF(B247&lt;&gt;"",hddtohms(getlatitude(B247,C247,D247)),"")</f>
        <v>45.244528394229853</v>
      </c>
      <c r="F247" s="54">
        <f>IF(B247&lt;&gt;"",hddtohms(-GetLongitude(B247,C247,D247)),"")</f>
        <v>117.49464871258252</v>
      </c>
      <c r="G247" s="59">
        <f t="shared" si="4"/>
        <v>4001.5327022204365</v>
      </c>
    </row>
    <row r="248" spans="1:7" ht="15.75" thickBot="1" x14ac:dyDescent="0.3">
      <c r="A248" s="68">
        <v>200324</v>
      </c>
      <c r="B248" s="70">
        <v>-6873665.993996026</v>
      </c>
      <c r="C248" s="70">
        <v>-13009432.501405399</v>
      </c>
      <c r="D248" s="70">
        <v>14834990.731910346</v>
      </c>
      <c r="E248" s="54">
        <f>IF(B248&lt;&gt;"",hddtohms(getlatitude(B248,C248,D248)),"")</f>
        <v>45.253929578317347</v>
      </c>
      <c r="F248" s="54">
        <f>IF(B248&lt;&gt;"",hddtohms(-GetLongitude(B248,C248,D248)),"")</f>
        <v>117.5100680429188</v>
      </c>
      <c r="G248" s="59">
        <f t="shared" si="4"/>
        <v>4057.1298883198615</v>
      </c>
    </row>
    <row r="249" spans="1:7" ht="15.75" thickBot="1" x14ac:dyDescent="0.3">
      <c r="A249" s="68">
        <v>200325</v>
      </c>
      <c r="B249" s="70">
        <v>-6871290.2655615499</v>
      </c>
      <c r="C249" s="70">
        <v>-13010589.948462265</v>
      </c>
      <c r="D249" s="70">
        <v>14834912.022040566</v>
      </c>
      <c r="E249" s="54">
        <f>IF(B249&lt;&gt;"",hddtohms(getlatitude(B249,C249,D249)),"")</f>
        <v>45.253935685578909</v>
      </c>
      <c r="F249" s="54">
        <f>IF(B249&lt;&gt;"",hddtohms(-GetLongitude(B249,C249,D249)),"")</f>
        <v>117.50236534324657</v>
      </c>
      <c r="G249" s="59">
        <f t="shared" si="4"/>
        <v>3940.543435155545</v>
      </c>
    </row>
    <row r="250" spans="1:7" ht="15.75" thickBot="1" x14ac:dyDescent="0.3">
      <c r="A250" s="68">
        <v>200326</v>
      </c>
      <c r="B250" s="70">
        <v>-6872876.7902861228</v>
      </c>
      <c r="C250" s="70">
        <v>-13010771.568978246</v>
      </c>
      <c r="D250" s="70">
        <v>14834081.851438368</v>
      </c>
      <c r="E250" s="54">
        <f>IF(B250&lt;&gt;"",hddtohms(getlatitude(B250,C250,D250)),"")</f>
        <v>45.252726611047748</v>
      </c>
      <c r="F250" s="54">
        <f>IF(B250&lt;&gt;"",hddtohms(-GetLongitude(B250,C250,D250)),"")</f>
        <v>117.50421299532294</v>
      </c>
      <c r="G250" s="59">
        <f t="shared" si="4"/>
        <v>3981.9258156163305</v>
      </c>
    </row>
    <row r="251" spans="1:7" ht="15.75" thickBot="1" x14ac:dyDescent="0.3">
      <c r="A251" s="68">
        <v>200327</v>
      </c>
      <c r="B251" s="70">
        <v>-6874490.578306105</v>
      </c>
      <c r="C251" s="70">
        <v>-13011006.018136401</v>
      </c>
      <c r="D251" s="70">
        <v>14833114.71274415</v>
      </c>
      <c r="E251" s="54">
        <f>IF(B251&lt;&gt;"",hddtohms(getlatitude(B251,C251,D251)),"")</f>
        <v>45.251380763586283</v>
      </c>
      <c r="F251" s="54">
        <f>IF(B251&lt;&gt;"",hddtohms(-GetLongitude(B251,C251,D251)),"")</f>
        <v>117.51005961637185</v>
      </c>
      <c r="G251" s="59">
        <f t="shared" si="4"/>
        <v>3967.6281589750251</v>
      </c>
    </row>
    <row r="252" spans="1:7" ht="15.75" thickBot="1" x14ac:dyDescent="0.3">
      <c r="A252" s="68">
        <v>200328</v>
      </c>
      <c r="B252" s="70">
        <v>-6872130.5253468016</v>
      </c>
      <c r="C252" s="70">
        <v>-13012192.673683522</v>
      </c>
      <c r="D252" s="70">
        <v>14833098.113334928</v>
      </c>
      <c r="E252" s="54">
        <f>IF(B252&lt;&gt;"",hddtohms(getlatitude(B252,C252,D252)),"")</f>
        <v>45.251406582770755</v>
      </c>
      <c r="F252" s="54">
        <f>IF(B252&lt;&gt;"",hddtohms(-GetLongitude(B252,C252,D252)),"")</f>
        <v>117.50235767300798</v>
      </c>
      <c r="G252" s="59">
        <f t="shared" si="4"/>
        <v>3918.5482766262849</v>
      </c>
    </row>
    <row r="253" spans="1:7" ht="15.75" thickBot="1" x14ac:dyDescent="0.3">
      <c r="A253" s="68">
        <v>200329</v>
      </c>
      <c r="B253" s="70">
        <v>-6874932.9005249934</v>
      </c>
      <c r="C253" s="70">
        <v>-13011849.464310795</v>
      </c>
      <c r="D253" s="70">
        <v>14832160.463477826</v>
      </c>
      <c r="E253" s="54">
        <f>IF(B253&lt;&gt;"",hddtohms(getlatitude(B253,C253,D253)),"")</f>
        <v>45.25004999319664</v>
      </c>
      <c r="F253" s="54">
        <f>IF(B253&lt;&gt;"",hddtohms(-GetLongitude(B253,C253,D253)),"")</f>
        <v>117.51005550117713</v>
      </c>
      <c r="G253" s="59">
        <f t="shared" si="4"/>
        <v>3956.4606336526322</v>
      </c>
    </row>
    <row r="254" spans="1:7" ht="15.75" thickBot="1" x14ac:dyDescent="0.3">
      <c r="A254" s="68">
        <v>200330</v>
      </c>
      <c r="B254" s="70">
        <v>-6875393.6298990482</v>
      </c>
      <c r="C254" s="70">
        <v>-13012726.69086834</v>
      </c>
      <c r="D254" s="70">
        <v>14831245.253175909</v>
      </c>
      <c r="E254" s="54">
        <f>IF(B254&lt;&gt;"",hddtohms(getlatitude(B254,C254,D254)),"")</f>
        <v>45.244719229840598</v>
      </c>
      <c r="F254" s="54">
        <f>IF(B254&lt;&gt;"",hddtohms(-GetLongitude(B254,C254,D254)),"")</f>
        <v>117.51005207918737</v>
      </c>
      <c r="G254" s="59">
        <f t="shared" si="4"/>
        <v>4000.1864224211477</v>
      </c>
    </row>
    <row r="255" spans="1:7" ht="15.75" thickBot="1" x14ac:dyDescent="0.3">
      <c r="A255" s="68">
        <v>200331</v>
      </c>
      <c r="B255" s="70">
        <v>-6873026.4899089066</v>
      </c>
      <c r="C255" s="70">
        <v>-13013900.037020447</v>
      </c>
      <c r="D255" s="70">
        <v>14831203.904983487</v>
      </c>
      <c r="E255" s="54">
        <f>IF(B255&lt;&gt;"",hddtohms(getlatitude(B255,C255,D255)),"")</f>
        <v>45.244738493014971</v>
      </c>
      <c r="F255" s="54">
        <f>IF(B255&lt;&gt;"",hddtohms(-GetLongitude(B255,C255,D255)),"")</f>
        <v>117.50235055278112</v>
      </c>
      <c r="G255" s="59">
        <f t="shared" si="4"/>
        <v>3922.8930492208619</v>
      </c>
    </row>
    <row r="256" spans="1:7" ht="15.75" thickBot="1" x14ac:dyDescent="0.3">
      <c r="A256" s="68">
        <v>200332</v>
      </c>
      <c r="B256" s="70">
        <v>-6870694.6033268692</v>
      </c>
      <c r="C256" s="70">
        <v>-13015139.088740269</v>
      </c>
      <c r="D256" s="70">
        <v>14831239.143522162</v>
      </c>
      <c r="E256" s="54">
        <f>IF(B256&lt;&gt;"",hddtohms(getlatitude(B256,C256,D256)),"")</f>
        <v>45.244758074155939</v>
      </c>
      <c r="F256" s="54">
        <f>IF(B256&lt;&gt;"",hddtohms(-GetLongitude(B256,C256,D256)),"")</f>
        <v>117.49464969548585</v>
      </c>
      <c r="G256" s="59">
        <f t="shared" si="4"/>
        <v>3952.8195756544574</v>
      </c>
    </row>
    <row r="257" spans="1:7" ht="15.75" thickBot="1" x14ac:dyDescent="0.3">
      <c r="A257" s="68">
        <v>200333</v>
      </c>
      <c r="B257" s="70">
        <v>-6940434.454934421</v>
      </c>
      <c r="C257" s="70">
        <v>-13022650.447236385</v>
      </c>
      <c r="D257" s="70">
        <v>14791643.305732576</v>
      </c>
      <c r="E257" s="54">
        <f>IF(B257&lt;&gt;"",hddtohms(getlatitude(B257,C257,D257)),"")</f>
        <v>45.153679715118997</v>
      </c>
      <c r="F257" s="54">
        <f>IF(B257&lt;&gt;"",hddtohms(-GetLongitude(B257,C257,D257)),"")</f>
        <v>118.03195440163999</v>
      </c>
      <c r="G257" s="59">
        <f t="shared" si="4"/>
        <v>3426.1947406433246</v>
      </c>
    </row>
    <row r="258" spans="1:7" ht="15.75" thickBot="1" x14ac:dyDescent="0.3">
      <c r="A258" s="68">
        <v>200334</v>
      </c>
      <c r="B258" s="70">
        <v>-6942147.391377883</v>
      </c>
      <c r="C258" s="70">
        <v>-13020274.214315319</v>
      </c>
      <c r="D258" s="70">
        <v>14794142.39578305</v>
      </c>
      <c r="E258" s="54">
        <f>IF(B258&lt;&gt;"",hddtohms(getlatitude(B258,C258,D258)),"")</f>
        <v>45.160321433301092</v>
      </c>
      <c r="F258" s="54">
        <f>IF(B258&lt;&gt;"",hddtohms(-GetLongitude(B258,C258,D258)),"")</f>
        <v>118.0356298314364</v>
      </c>
      <c r="G258" s="59">
        <f t="shared" si="4"/>
        <v>4292.6813696246736</v>
      </c>
    </row>
    <row r="259" spans="1:7" ht="15.75" thickBot="1" x14ac:dyDescent="0.3">
      <c r="A259" s="68">
        <v>200335</v>
      </c>
      <c r="B259" s="70">
        <v>-6939489.3855672413</v>
      </c>
      <c r="C259" s="70">
        <v>-13020912.742125807</v>
      </c>
      <c r="D259" s="70">
        <v>14793434.40296882</v>
      </c>
      <c r="E259" s="54">
        <f>IF(B259&lt;&gt;"",hddtohms(getlatitude(B259,C259,D259)),"")</f>
        <v>45.160311232954044</v>
      </c>
      <c r="F259" s="54">
        <f>IF(B259&lt;&gt;"",hddtohms(-GetLongitude(B259,C259,D259)),"")</f>
        <v>118.03193101368099</v>
      </c>
      <c r="G259" s="59">
        <f t="shared" si="4"/>
        <v>3306.3082805521281</v>
      </c>
    </row>
    <row r="260" spans="1:7" ht="15.75" thickBot="1" x14ac:dyDescent="0.3">
      <c r="A260" s="68">
        <v>200401</v>
      </c>
      <c r="B260" s="70">
        <v>-6876315.7204315187</v>
      </c>
      <c r="C260" s="70">
        <v>-13014394.984600494</v>
      </c>
      <c r="D260" s="70">
        <v>14829356.661003876</v>
      </c>
      <c r="E260" s="54">
        <f>IF(B260&lt;&gt;"",hddtohms(getlatitude(B260,C260,D260)),"")</f>
        <v>45.242070743054541</v>
      </c>
      <c r="F260" s="54">
        <f>IF(B260&lt;&gt;"",hddtohms(-GetLongitude(B260,C260,D260)),"")</f>
        <v>117.51010242288572</v>
      </c>
      <c r="G260" s="59">
        <f t="shared" si="4"/>
        <v>3993.198000165532</v>
      </c>
    </row>
    <row r="261" spans="1:7" ht="15.75" thickBot="1" x14ac:dyDescent="0.3">
      <c r="A261" s="68">
        <v>200402</v>
      </c>
      <c r="B261" s="70">
        <v>-6874757.2335658865</v>
      </c>
      <c r="C261" s="70">
        <v>-13017280.10317059</v>
      </c>
      <c r="D261" s="70">
        <v>14827557.671700781</v>
      </c>
      <c r="E261" s="54">
        <f>IF(B261&lt;&gt;"",hddtohms(getlatitude(B261,C261,D261)),"")</f>
        <v>45.235542480437431</v>
      </c>
      <c r="F261" s="54">
        <f>IF(B261&lt;&gt;"",hddtohms(-GetLongitude(B261,C261,D261)),"")</f>
        <v>117.502283190423</v>
      </c>
      <c r="G261" s="59">
        <f t="shared" si="4"/>
        <v>3992.2829402703755</v>
      </c>
    </row>
    <row r="262" spans="1:7" ht="15.75" thickBot="1" x14ac:dyDescent="0.3">
      <c r="A262" s="68">
        <v>200403</v>
      </c>
      <c r="B262" s="70">
        <v>-6903072.5929768486</v>
      </c>
      <c r="C262" s="70">
        <v>-13048200.683104169</v>
      </c>
      <c r="D262" s="70">
        <v>14785586.702339606</v>
      </c>
      <c r="E262" s="54">
        <f>IF(B262&lt;&gt;"",hddtohms(getlatitude(B262,C262,D262)),"")</f>
        <v>45.141934019898542</v>
      </c>
      <c r="F262" s="54">
        <f>IF(B262&lt;&gt;"",hddtohms(-GetLongitude(B262,C262,D262)),"")</f>
        <v>117.52509201378297</v>
      </c>
      <c r="G262" s="59">
        <f t="shared" si="4"/>
        <v>2676.1635744706455</v>
      </c>
    </row>
    <row r="263" spans="1:7" ht="15.75" thickBot="1" x14ac:dyDescent="0.3">
      <c r="A263" s="68">
        <v>200404</v>
      </c>
      <c r="B263" s="70">
        <v>-6905418.2760677431</v>
      </c>
      <c r="C263" s="70">
        <v>-13046969.79047359</v>
      </c>
      <c r="D263" s="70">
        <v>14785559.308083793</v>
      </c>
      <c r="E263" s="54">
        <f>IF(B263&lt;&gt;"",hddtohms(getlatitude(B263,C263,D263)),"")</f>
        <v>45.141908566753123</v>
      </c>
      <c r="F263" s="54">
        <f>IF(B263&lt;&gt;"",hddtohms(-GetLongitude(B263,C263,D263)),"")</f>
        <v>117.53279346212504</v>
      </c>
      <c r="G263" s="59">
        <f t="shared" si="4"/>
        <v>2663.151859090196</v>
      </c>
    </row>
    <row r="264" spans="1:7" ht="15.75" thickBot="1" x14ac:dyDescent="0.3">
      <c r="A264" s="68">
        <v>200405</v>
      </c>
      <c r="B264" s="70">
        <v>-6906311.2558322055</v>
      </c>
      <c r="C264" s="70">
        <v>-13048642.451427758</v>
      </c>
      <c r="D264" s="70">
        <v>14783691.258032724</v>
      </c>
      <c r="E264" s="54">
        <f>IF(B264&lt;&gt;"",hddtohms(getlatitude(B264,C264,D264)),"")</f>
        <v>45.135280923977774</v>
      </c>
      <c r="F264" s="54">
        <f>IF(B264&lt;&gt;"",hddtohms(-GetLongitude(B264,C264,D264)),"")</f>
        <v>117.53280295085794</v>
      </c>
      <c r="G264" s="59">
        <f t="shared" si="4"/>
        <v>2672.0635877064105</v>
      </c>
    </row>
    <row r="265" spans="1:7" ht="15.75" thickBot="1" x14ac:dyDescent="0.3">
      <c r="A265" s="68">
        <v>200406</v>
      </c>
      <c r="B265" s="70">
        <v>-6918627.9935148107</v>
      </c>
      <c r="C265" s="70">
        <v>-13037871.809046278</v>
      </c>
      <c r="D265" s="70">
        <v>14787369.189745585</v>
      </c>
      <c r="E265" s="54">
        <f>IF(B265&lt;&gt;"",hddtohms(getlatitude(B265,C265,D265)),"")</f>
        <v>45.14446566858301</v>
      </c>
      <c r="F265" s="54">
        <f>IF(B265&lt;&gt;"",hddtohms(-GetLongitude(B265,C265,D265)),"")</f>
        <v>117.57105688912993</v>
      </c>
      <c r="G265" s="59">
        <f t="shared" si="4"/>
        <v>2643.5111822621038</v>
      </c>
    </row>
    <row r="266" spans="1:7" ht="15.75" thickBot="1" x14ac:dyDescent="0.3">
      <c r="A266" s="68">
        <v>200407</v>
      </c>
      <c r="B266" s="70">
        <v>-6917714.5867807139</v>
      </c>
      <c r="C266" s="70">
        <v>-13036170.036722764</v>
      </c>
      <c r="D266" s="70">
        <v>14789282.73780689</v>
      </c>
      <c r="E266" s="54">
        <f>IF(B266&lt;&gt;"",hddtohms(getlatitude(B266,C266,D266)),"")</f>
        <v>45.15114967730365</v>
      </c>
      <c r="F266" s="54">
        <f>IF(B266&lt;&gt;"",hddtohms(-GetLongitude(B266,C266,D266)),"")</f>
        <v>117.57104411029792</v>
      </c>
      <c r="G266" s="59">
        <f t="shared" si="4"/>
        <v>2642.7345104836131</v>
      </c>
    </row>
    <row r="267" spans="1:7" ht="15.75" thickBot="1" x14ac:dyDescent="0.3">
      <c r="A267" s="68">
        <v>200408</v>
      </c>
      <c r="B267" s="70">
        <v>-6919599.1174382903</v>
      </c>
      <c r="C267" s="70">
        <v>-13039682.98141825</v>
      </c>
      <c r="D267" s="70">
        <v>14785592.555267558</v>
      </c>
      <c r="E267" s="54">
        <f>IF(B267&lt;&gt;"",hddtohms(getlatitude(B267,C267,D267)),"")</f>
        <v>45.141790129731859</v>
      </c>
      <c r="F267" s="54">
        <f>IF(B267&lt;&gt;"",hddtohms(-GetLongitude(B267,C267,D267)),"")</f>
        <v>117.57106924902359</v>
      </c>
      <c r="G267" s="59">
        <f t="shared" si="4"/>
        <v>2828.9544725315791</v>
      </c>
    </row>
    <row r="268" spans="1:7" ht="15.75" thickBot="1" x14ac:dyDescent="0.3">
      <c r="A268" s="68">
        <v>200409</v>
      </c>
      <c r="B268" s="70">
        <v>-6872671.1331911599</v>
      </c>
      <c r="C268" s="70">
        <v>-13018984.715303224</v>
      </c>
      <c r="D268" s="70">
        <v>14827763.079172075</v>
      </c>
      <c r="E268" s="54">
        <f>IF(B268&lt;&gt;"",hddtohms(getlatitude(B268,C268,D268)),"")</f>
        <v>45.235310004370881</v>
      </c>
      <c r="F268" s="54">
        <f>IF(B268&lt;&gt;"",hddtohms(-GetLongitude(B268,C268,D268)),"")</f>
        <v>117.49458331089585</v>
      </c>
      <c r="G268" s="59">
        <f t="shared" si="4"/>
        <v>4513.035841013254</v>
      </c>
    </row>
    <row r="269" spans="1:7" ht="15.75" thickBot="1" x14ac:dyDescent="0.3">
      <c r="A269" s="68">
        <v>200410</v>
      </c>
      <c r="B269" s="70">
        <v>-6871706.2984641949</v>
      </c>
      <c r="C269" s="70">
        <v>-13017084.418182066</v>
      </c>
      <c r="D269" s="70">
        <v>14829705.048306752</v>
      </c>
      <c r="E269" s="54">
        <f>IF(B269&lt;&gt;"",hddtohms(getlatitude(B269,C269,D269)),"")</f>
        <v>45.242153652107227</v>
      </c>
      <c r="F269" s="54">
        <f>IF(B269&lt;&gt;"",hddtohms(-GetLongitude(B269,C269,D269)),"")</f>
        <v>117.49463080390092</v>
      </c>
      <c r="G269" s="59">
        <f t="shared" si="4"/>
        <v>4399.6277447246066</v>
      </c>
    </row>
    <row r="270" spans="1:7" ht="15.75" thickBot="1" x14ac:dyDescent="0.3">
      <c r="A270" s="68">
        <v>200411</v>
      </c>
      <c r="B270" s="70">
        <v>-6872572.3271199036</v>
      </c>
      <c r="C270" s="70">
        <v>-13018813.982144313</v>
      </c>
      <c r="D270" s="70">
        <v>14827882.190058192</v>
      </c>
      <c r="E270" s="54">
        <f>IF(B270&lt;&gt;"",hddtohms(getlatitude(B270,C270,D270)),"")</f>
        <v>45.235531094363544</v>
      </c>
      <c r="F270" s="54">
        <f>IF(B270&lt;&gt;"",hddtohms(-GetLongitude(B270,C270,D270)),"")</f>
        <v>117.49457255990009</v>
      </c>
      <c r="G270" s="59">
        <f t="shared" si="4"/>
        <v>4459.4360372061547</v>
      </c>
    </row>
    <row r="271" spans="1:7" ht="15.75" thickBot="1" x14ac:dyDescent="0.3">
      <c r="A271" s="68">
        <v>200412</v>
      </c>
      <c r="B271" s="70">
        <v>-6880879.2740340587</v>
      </c>
      <c r="C271" s="70">
        <v>-12966539.640982652</v>
      </c>
      <c r="D271" s="70">
        <v>14867682.768520724</v>
      </c>
      <c r="E271" s="54">
        <f>IF(B271&lt;&gt;"",hddtohms(getlatitude(B271,C271,D271)),"")</f>
        <v>45.332860245556375</v>
      </c>
      <c r="F271" s="54">
        <f>IF(B271&lt;&gt;"",hddtohms(-GetLongitude(B271,C271,D271)),"")</f>
        <v>117.57118615018722</v>
      </c>
      <c r="G271" s="59">
        <f t="shared" si="4"/>
        <v>3165.5408141334538</v>
      </c>
    </row>
    <row r="272" spans="1:7" ht="15.75" thickBot="1" x14ac:dyDescent="0.3">
      <c r="A272" s="68">
        <v>200413</v>
      </c>
      <c r="B272" s="70">
        <v>-6878413.4362135623</v>
      </c>
      <c r="C272" s="70">
        <v>-12967548.330512127</v>
      </c>
      <c r="D272" s="70">
        <v>14867384.608231345</v>
      </c>
      <c r="E272" s="54">
        <f>IF(B272&lt;&gt;"",hddtohms(getlatitude(B272,C272,D272)),"")</f>
        <v>45.332840660717238</v>
      </c>
      <c r="F272" s="54">
        <f>IF(B272&lt;&gt;"",hddtohms(-GetLongitude(B272,C272,D272)),"")</f>
        <v>117.56346105632932</v>
      </c>
      <c r="G272" s="59">
        <f t="shared" si="4"/>
        <v>2767.3826270630998</v>
      </c>
    </row>
    <row r="273" spans="1:7" ht="15.75" thickBot="1" x14ac:dyDescent="0.3">
      <c r="A273" s="68">
        <v>200414</v>
      </c>
      <c r="B273" s="70">
        <v>-6881797.1595718637</v>
      </c>
      <c r="C273" s="70">
        <v>-12968300.609112443</v>
      </c>
      <c r="D273" s="70">
        <v>14865939.378691947</v>
      </c>
      <c r="E273" s="54">
        <f>IF(B273&lt;&gt;"",hddtohms(getlatitude(B273,C273,D273)),"")</f>
        <v>45.330255777742892</v>
      </c>
      <c r="F273" s="54">
        <f>IF(B273&lt;&gt;"",hddtohms(-GetLongitude(B273,C273,D273)),"")</f>
        <v>117.57116555212379</v>
      </c>
      <c r="G273" s="59">
        <f t="shared" si="4"/>
        <v>3311.414566916792</v>
      </c>
    </row>
    <row r="274" spans="1:7" ht="15.75" thickBot="1" x14ac:dyDescent="0.3">
      <c r="A274" s="68">
        <v>200415</v>
      </c>
      <c r="B274" s="70">
        <v>-6876858.768448256</v>
      </c>
      <c r="C274" s="70">
        <v>-12970396.466261797</v>
      </c>
      <c r="D274" s="70">
        <v>14865406.527986858</v>
      </c>
      <c r="E274" s="54">
        <f>IF(B274&lt;&gt;"",hddtohms(getlatitude(B274,C274,D274)),"")</f>
        <v>45.330213399134173</v>
      </c>
      <c r="F274" s="54">
        <f>IF(B274&lt;&gt;"",hddtohms(-GetLongitude(B274,C274,D274)),"")</f>
        <v>117.55565625075531</v>
      </c>
      <c r="G274" s="59">
        <f t="shared" si="4"/>
        <v>2607.1025660732121</v>
      </c>
    </row>
    <row r="275" spans="1:7" ht="15.75" thickBot="1" x14ac:dyDescent="0.3">
      <c r="A275" s="68">
        <v>200416</v>
      </c>
      <c r="B275" s="70">
        <v>-6887369.4877328193</v>
      </c>
      <c r="C275" s="70">
        <v>-12967505.198152276</v>
      </c>
      <c r="D275" s="70">
        <v>14864239.306671962</v>
      </c>
      <c r="E275" s="54">
        <f>IF(B275&lt;&gt;"",hddtohms(getlatitude(B275,C275,D275)),"")</f>
        <v>45.323734415326996</v>
      </c>
      <c r="F275" s="54">
        <f>IF(B275&lt;&gt;"",hddtohms(-GetLongitude(B275,C275,D275)),"")</f>
        <v>117.58260394971445</v>
      </c>
      <c r="G275" s="59">
        <f t="shared" si="4"/>
        <v>3435.733987508218</v>
      </c>
    </row>
    <row r="276" spans="1:7" ht="15.75" thickBot="1" x14ac:dyDescent="0.3">
      <c r="A276" s="68">
        <v>200417</v>
      </c>
      <c r="B276" s="70">
        <v>-6882664.0839519985</v>
      </c>
      <c r="C276" s="70">
        <v>-12969965.351189209</v>
      </c>
      <c r="D276" s="70">
        <v>14864084.715663154</v>
      </c>
      <c r="E276" s="54">
        <f>IF(B276&lt;&gt;"",hddtohms(getlatitude(B276,C276,D276)),"")</f>
        <v>45.323651135486209</v>
      </c>
      <c r="F276" s="54">
        <f>IF(B276&lt;&gt;"",hddtohms(-GetLongitude(B276,C276,D276)),"")</f>
        <v>117.57114508660472</v>
      </c>
      <c r="G276" s="59">
        <f t="shared" si="4"/>
        <v>3301.9353608686361</v>
      </c>
    </row>
    <row r="277" spans="1:7" ht="15.75" thickBot="1" x14ac:dyDescent="0.3">
      <c r="A277" s="68">
        <v>200418</v>
      </c>
      <c r="B277" s="70">
        <v>-6880238.4354735268</v>
      </c>
      <c r="C277" s="70">
        <v>-12971111.152375266</v>
      </c>
      <c r="D277" s="70">
        <v>14863952.541660305</v>
      </c>
      <c r="E277" s="54">
        <f>IF(B277&lt;&gt;"",hddtohms(getlatitude(B277,C277,D277)),"")</f>
        <v>45.323647588776616</v>
      </c>
      <c r="F277" s="54">
        <f>IF(B277&lt;&gt;"",hddtohms(-GetLongitude(B277,C277,D277)),"")</f>
        <v>117.56338059066162</v>
      </c>
      <c r="G277" s="59">
        <f t="shared" si="4"/>
        <v>3120.2866274839689</v>
      </c>
    </row>
    <row r="278" spans="1:7" ht="15.75" thickBot="1" x14ac:dyDescent="0.3">
      <c r="A278" s="68">
        <v>200419</v>
      </c>
      <c r="B278" s="70">
        <v>-6877703.740798573</v>
      </c>
      <c r="C278" s="70">
        <v>-12972110.844943026</v>
      </c>
      <c r="D278" s="70">
        <v>14863582.051761646</v>
      </c>
      <c r="E278" s="54">
        <f>IF(B278&lt;&gt;"",hddtohms(getlatitude(B278,C278,D278)),"")</f>
        <v>45.323605881099162</v>
      </c>
      <c r="F278" s="54">
        <f>IF(B278&lt;&gt;"",hddtohms(-GetLongitude(B278,C278,D278)),"")</f>
        <v>117.55557683453982</v>
      </c>
      <c r="G278" s="59">
        <f t="shared" si="4"/>
        <v>2642.6913573802558</v>
      </c>
    </row>
    <row r="279" spans="1:7" ht="15.75" thickBot="1" x14ac:dyDescent="0.3">
      <c r="A279" s="68">
        <v>200420</v>
      </c>
      <c r="B279" s="70">
        <v>-6884516.5154690836</v>
      </c>
      <c r="C279" s="70">
        <v>-12973512.683434341</v>
      </c>
      <c r="D279" s="70">
        <v>14860628.207375828</v>
      </c>
      <c r="E279" s="54">
        <f>IF(B279&lt;&gt;"",hddtohms(getlatitude(B279,C279,D279)),"")</f>
        <v>45.314441956877111</v>
      </c>
      <c r="F279" s="54">
        <f>IF(B279&lt;&gt;"",hddtohms(-GetLongitude(B279,C279,D279)),"")</f>
        <v>117.57110786769509</v>
      </c>
      <c r="G279" s="59">
        <f t="shared" si="4"/>
        <v>3638.1369248756637</v>
      </c>
    </row>
    <row r="280" spans="1:7" ht="15.75" thickBot="1" x14ac:dyDescent="0.3">
      <c r="A280" s="68">
        <v>200421</v>
      </c>
      <c r="B280" s="70">
        <v>-6863606.9049764471</v>
      </c>
      <c r="C280" s="70">
        <v>-13001782.460754808</v>
      </c>
      <c r="D280" s="70">
        <v>14846148.300383484</v>
      </c>
      <c r="E280" s="54">
        <f>IF(B280&lt;&gt;"",hddtohms(getlatitude(B280,C280,D280)),"")</f>
        <v>45.281719039395142</v>
      </c>
      <c r="F280" s="54">
        <f>IF(B280&lt;&gt;"",hddtohms(-GetLongitude(B280,C280,D280)),"")</f>
        <v>117.49460412305152</v>
      </c>
      <c r="G280" s="59">
        <f t="shared" si="4"/>
        <v>3967.208124396293</v>
      </c>
    </row>
    <row r="281" spans="1:7" ht="15.75" thickBot="1" x14ac:dyDescent="0.3">
      <c r="A281" s="68">
        <v>200422</v>
      </c>
      <c r="B281" s="70">
        <v>-6861260.0152647421</v>
      </c>
      <c r="C281" s="70">
        <v>-13002987.703476671</v>
      </c>
      <c r="D281" s="70">
        <v>14846068.52427832</v>
      </c>
      <c r="E281" s="54">
        <f>IF(B281&lt;&gt;"",hddtohms(getlatitude(B281,C281,D281)),"")</f>
        <v>45.281684606218448</v>
      </c>
      <c r="F281" s="54">
        <f>IF(B281&lt;&gt;"",hddtohms(-GetLongitude(B281,C281,D281)),"")</f>
        <v>117.49090298308624</v>
      </c>
      <c r="G281" s="59">
        <f t="shared" si="4"/>
        <v>3889.6183619992789</v>
      </c>
    </row>
    <row r="282" spans="1:7" ht="15.75" thickBot="1" x14ac:dyDescent="0.3">
      <c r="A282" s="68">
        <v>200423</v>
      </c>
      <c r="B282" s="70">
        <v>-6859024.2025965834</v>
      </c>
      <c r="C282" s="70">
        <v>-13004403.259595884</v>
      </c>
      <c r="D282" s="70">
        <v>14846230.750255309</v>
      </c>
      <c r="E282" s="54">
        <f>IF(B282&lt;&gt;"",hddtohms(getlatitude(B282,C282,D282)),"")</f>
        <v>45.281649987093807</v>
      </c>
      <c r="F282" s="54">
        <f>IF(B282&lt;&gt;"",hddtohms(-GetLongitude(B282,C282,D282)),"")</f>
        <v>117.48320201405855</v>
      </c>
      <c r="G282" s="59">
        <f t="shared" si="4"/>
        <v>4151.6758297784636</v>
      </c>
    </row>
    <row r="283" spans="1:7" ht="15.75" thickBot="1" x14ac:dyDescent="0.3">
      <c r="A283" s="68">
        <v>200424</v>
      </c>
      <c r="B283" s="70">
        <v>-6870045.2036037017</v>
      </c>
      <c r="C283" s="70">
        <v>-13002606.989237966</v>
      </c>
      <c r="D283" s="70">
        <v>14842300.341335045</v>
      </c>
      <c r="E283" s="54">
        <f>IF(B283&lt;&gt;"",hddtohms(getlatitude(B283,C283,D283)),"")</f>
        <v>45.272426488346746</v>
      </c>
      <c r="F283" s="54">
        <f>IF(B283&lt;&gt;"",hddtohms(-GetLongitude(B283,C283,D283)),"")</f>
        <v>117.51005010858944</v>
      </c>
      <c r="G283" s="59">
        <f t="shared" si="4"/>
        <v>3844.4573514861968</v>
      </c>
    </row>
    <row r="284" spans="1:7" ht="15.75" thickBot="1" x14ac:dyDescent="0.3">
      <c r="A284" s="68">
        <v>200425</v>
      </c>
      <c r="B284" s="70">
        <v>-6867606.6653336333</v>
      </c>
      <c r="C284" s="70">
        <v>-13003718.116631569</v>
      </c>
      <c r="D284" s="70">
        <v>14842093.853273679</v>
      </c>
      <c r="E284" s="54">
        <f>IF(B284&lt;&gt;"",hddtohms(getlatitude(B284,C284,D284)),"")</f>
        <v>45.272393629705789</v>
      </c>
      <c r="F284" s="54">
        <f>IF(B284&lt;&gt;"",hddtohms(-GetLongitude(B284,C284,D284)),"")</f>
        <v>117.50229790290096</v>
      </c>
      <c r="G284" s="59">
        <f t="shared" si="4"/>
        <v>3587.5003171524222</v>
      </c>
    </row>
    <row r="285" spans="1:7" ht="15.75" thickBot="1" x14ac:dyDescent="0.3">
      <c r="A285" s="68">
        <v>200426</v>
      </c>
      <c r="B285" s="70">
        <v>-6865403.4817200014</v>
      </c>
      <c r="C285" s="70">
        <v>-13005215.568638075</v>
      </c>
      <c r="D285" s="70">
        <v>14842471.827937949</v>
      </c>
      <c r="E285" s="54">
        <f>IF(B285&lt;&gt;"",hddtohms(getlatitude(B285,C285,D285)),"")</f>
        <v>45.272447457642798</v>
      </c>
      <c r="F285" s="54">
        <f>IF(B285&lt;&gt;"",hddtohms(-GetLongitude(B285,C285,D285)),"")</f>
        <v>117.4945845850213</v>
      </c>
      <c r="G285" s="59">
        <f t="shared" si="4"/>
        <v>4064.1582956720922</v>
      </c>
    </row>
    <row r="286" spans="1:7" ht="15.75" thickBot="1" x14ac:dyDescent="0.3">
      <c r="A286" s="68">
        <v>200427</v>
      </c>
      <c r="B286" s="70">
        <v>-6863142.890013814</v>
      </c>
      <c r="C286" s="70">
        <v>-13006597.183281159</v>
      </c>
      <c r="D286" s="70">
        <v>14842610.793751754</v>
      </c>
      <c r="E286" s="54">
        <f>IF(B286&lt;&gt;"",hddtohms(getlatitude(B286,C286,D286)),"")</f>
        <v>45.272426384677118</v>
      </c>
      <c r="F286" s="54">
        <f>IF(B286&lt;&gt;"",hddtohms(-GetLongitude(B286,C286,D286)),"")</f>
        <v>117.49087602523123</v>
      </c>
      <c r="G286" s="59">
        <f t="shared" si="4"/>
        <v>4280.1482893336924</v>
      </c>
    </row>
    <row r="287" spans="1:7" ht="15.75" thickBot="1" x14ac:dyDescent="0.3">
      <c r="A287" s="68">
        <v>200428</v>
      </c>
      <c r="B287" s="70">
        <v>-6856151.2138138302</v>
      </c>
      <c r="C287" s="70">
        <v>-13010323.982024787</v>
      </c>
      <c r="D287" s="70">
        <v>14842655.191281606</v>
      </c>
      <c r="E287" s="54">
        <f>IF(B287&lt;&gt;"",hddtohms(getlatitude(B287,C287,D287)),"")</f>
        <v>45.272432274060392</v>
      </c>
      <c r="F287" s="54">
        <f>IF(B287&lt;&gt;"",hddtohms(-GetLongitude(B287,C287,D287)),"")</f>
        <v>117.47176375537072</v>
      </c>
      <c r="G287" s="59">
        <f t="shared" si="4"/>
        <v>4336.5692191153103</v>
      </c>
    </row>
    <row r="288" spans="1:7" ht="15.75" thickBot="1" x14ac:dyDescent="0.3">
      <c r="A288" s="68">
        <v>200429</v>
      </c>
      <c r="B288" s="70">
        <v>-6866340.9720511129</v>
      </c>
      <c r="C288" s="70">
        <v>-13006934.513155406</v>
      </c>
      <c r="D288" s="70">
        <v>14840654.28892041</v>
      </c>
      <c r="E288" s="54">
        <f>IF(B288&lt;&gt;"",hddtohms(getlatitude(B288,C288,D288)),"")</f>
        <v>45.265811651841972</v>
      </c>
      <c r="F288" s="54">
        <f>IF(B288&lt;&gt;"",hddtohms(-GetLongitude(B288,C288,D288)),"")</f>
        <v>117.49462187283967</v>
      </c>
      <c r="G288" s="59">
        <f t="shared" si="4"/>
        <v>4142.2167258253085</v>
      </c>
    </row>
    <row r="289" spans="1:7" ht="15.75" thickBot="1" x14ac:dyDescent="0.3">
      <c r="A289" s="68">
        <v>200430</v>
      </c>
      <c r="B289" s="70">
        <v>-6867224.9033166841</v>
      </c>
      <c r="C289" s="70">
        <v>-13008552.000422273</v>
      </c>
      <c r="D289" s="70">
        <v>14838720.208507877</v>
      </c>
      <c r="E289" s="54">
        <f>IF(B289&lt;&gt;"",hddtohms(getlatitude(B289,C289,D289)),"")</f>
        <v>45.263175841236674</v>
      </c>
      <c r="F289" s="54">
        <f>IF(B289&lt;&gt;"",hddtohms(-GetLongitude(B289,C289,D289)),"")</f>
        <v>117.4946591511013</v>
      </c>
      <c r="G289" s="59">
        <f t="shared" si="4"/>
        <v>4057.080346069306</v>
      </c>
    </row>
    <row r="290" spans="1:7" ht="15.75" thickBot="1" x14ac:dyDescent="0.3">
      <c r="A290" s="68">
        <v>200431</v>
      </c>
      <c r="B290" s="70">
        <v>-6864996.9491956672</v>
      </c>
      <c r="C290" s="70">
        <v>-13009893.744859319</v>
      </c>
      <c r="D290" s="70">
        <v>14838882.798289279</v>
      </c>
      <c r="E290" s="54">
        <f>IF(B290&lt;&gt;"",hddtohms(getlatitude(B290,C290,D290)),"")</f>
        <v>45.263185279134206</v>
      </c>
      <c r="F290" s="54">
        <f>IF(B290&lt;&gt;"",hddtohms(-GetLongitude(B290,C290,D290)),"")</f>
        <v>117.49101811448477</v>
      </c>
      <c r="G290" s="59">
        <f t="shared" si="4"/>
        <v>4275.8480485847886</v>
      </c>
    </row>
    <row r="291" spans="1:7" ht="15.75" thickBot="1" x14ac:dyDescent="0.3">
      <c r="A291" s="68">
        <v>200432</v>
      </c>
      <c r="B291" s="70">
        <v>-6862750.5804174878</v>
      </c>
      <c r="C291" s="70">
        <v>-13011200.568313371</v>
      </c>
      <c r="D291" s="70">
        <v>14839005.09080686</v>
      </c>
      <c r="E291" s="54">
        <f>IF(B291&lt;&gt;"",hddtohms(getlatitude(B291,C291,D291)),"")</f>
        <v>45.263194252940096</v>
      </c>
      <c r="F291" s="54">
        <f>IF(B291&lt;&gt;"",hddtohms(-GetLongitude(B291,C291,D291)),"")</f>
        <v>117.48337715604623</v>
      </c>
      <c r="G291" s="59">
        <f t="shared" si="4"/>
        <v>4438.5243772614213</v>
      </c>
    </row>
    <row r="292" spans="1:7" ht="15.75" thickBot="1" x14ac:dyDescent="0.3">
      <c r="A292" s="68">
        <v>200433</v>
      </c>
      <c r="B292" s="70">
        <v>-6860503.8393714195</v>
      </c>
      <c r="C292" s="70">
        <v>-13012512.576970883</v>
      </c>
      <c r="D292" s="70">
        <v>14839156.806614712</v>
      </c>
      <c r="E292" s="54">
        <f>IF(B292&lt;&gt;"",hddtohms(getlatitude(B292,C292,D292)),"")</f>
        <v>45.263220177667179</v>
      </c>
      <c r="F292" s="54">
        <f>IF(B292&lt;&gt;"",hddtohms(-GetLongitude(B292,C292,D292)),"")</f>
        <v>117.47573239844303</v>
      </c>
      <c r="G292" s="59">
        <f t="shared" si="4"/>
        <v>4625.584064011553</v>
      </c>
    </row>
    <row r="293" spans="1:7" ht="15.75" thickBot="1" x14ac:dyDescent="0.3">
      <c r="A293" s="68">
        <v>200434</v>
      </c>
      <c r="B293" s="70">
        <v>-6863440.6569141354</v>
      </c>
      <c r="C293" s="70">
        <v>-13012761.192515939</v>
      </c>
      <c r="D293" s="70">
        <v>14836977.14792045</v>
      </c>
      <c r="E293" s="54">
        <f>IF(B293&lt;&gt;"",hddtohms(getlatitude(B293,C293,D293)),"")</f>
        <v>45.260592430100324</v>
      </c>
      <c r="F293" s="54">
        <f>IF(B293&lt;&gt;"",hddtohms(-GetLongitude(B293,C293,D293)),"")</f>
        <v>117.48321213075015</v>
      </c>
      <c r="G293" s="59">
        <f t="shared" si="4"/>
        <v>4188.0914281289042</v>
      </c>
    </row>
    <row r="294" spans="1:7" ht="15.75" thickBot="1" x14ac:dyDescent="0.3">
      <c r="A294" s="68">
        <v>200435</v>
      </c>
      <c r="B294" s="70">
        <v>-6868943.4817263344</v>
      </c>
      <c r="C294" s="70">
        <v>-13011810.118390629</v>
      </c>
      <c r="D294" s="70">
        <v>14834900.81991132</v>
      </c>
      <c r="E294" s="54">
        <f>IF(B294&lt;&gt;"",hddtohms(getlatitude(B294,C294,D294)),"")</f>
        <v>45.253939720241213</v>
      </c>
      <c r="F294" s="54">
        <f>IF(B294&lt;&gt;"",hddtohms(-GetLongitude(B294,C294,D294)),"")</f>
        <v>117.49465743451903</v>
      </c>
      <c r="G294" s="59">
        <f t="shared" si="4"/>
        <v>3920.7913548381257</v>
      </c>
    </row>
    <row r="295" spans="1:7" ht="15.75" thickBot="1" x14ac:dyDescent="0.3">
      <c r="A295" s="68">
        <v>200436</v>
      </c>
      <c r="B295" s="70">
        <v>-6866670.4645958692</v>
      </c>
      <c r="C295" s="70">
        <v>-13013092.642763156</v>
      </c>
      <c r="D295" s="70">
        <v>14834977.629372921</v>
      </c>
      <c r="E295" s="54">
        <f>IF(B295&lt;&gt;"",hddtohms(getlatitude(B295,C295,D295)),"")</f>
        <v>45.253941405246756</v>
      </c>
      <c r="F295" s="54">
        <f>IF(B295&lt;&gt;"",hddtohms(-GetLongitude(B295,C295,D295)),"")</f>
        <v>117.491000182292</v>
      </c>
      <c r="G295" s="59">
        <f t="shared" si="4"/>
        <v>4026.9329159520603</v>
      </c>
    </row>
    <row r="296" spans="1:7" ht="15.75" thickBot="1" x14ac:dyDescent="0.3">
      <c r="A296" s="68">
        <v>200437</v>
      </c>
      <c r="B296" s="70">
        <v>-6864466.6664799349</v>
      </c>
      <c r="C296" s="70">
        <v>-13014506.712671591</v>
      </c>
      <c r="D296" s="70">
        <v>14835205.36279865</v>
      </c>
      <c r="E296" s="54">
        <f>IF(B296&lt;&gt;"",hddtohms(getlatitude(B296,C296,D296)),"")</f>
        <v>45.25394279473614</v>
      </c>
      <c r="F296" s="54">
        <f>IF(B296&lt;&gt;"",hddtohms(-GetLongitude(B296,C296,D296)),"")</f>
        <v>117.48334276285166</v>
      </c>
      <c r="G296" s="59">
        <f t="shared" ref="G296:G359" si="5">IF(B296&lt;&gt;"",GetHeight(B296,C296,D296),"")</f>
        <v>4345.2328310576704</v>
      </c>
    </row>
    <row r="297" spans="1:7" ht="15.75" thickBot="1" x14ac:dyDescent="0.3">
      <c r="A297" s="68">
        <v>200501</v>
      </c>
      <c r="B297" s="70">
        <v>-6861702.4362923522</v>
      </c>
      <c r="C297" s="70">
        <v>-13009525.733648214</v>
      </c>
      <c r="D297" s="70">
        <v>14840761.479343273</v>
      </c>
      <c r="E297" s="54">
        <f>IF(B297&lt;&gt;"",hddtohms(getlatitude(B297,C297,D297)),"")</f>
        <v>45.265796531365091</v>
      </c>
      <c r="F297" s="54">
        <f>IF(B297&lt;&gt;"",hddtohms(-GetLongitude(B297,C297,D297)),"")</f>
        <v>117.48317279374314</v>
      </c>
      <c r="G297" s="59">
        <f t="shared" si="5"/>
        <v>4307.7113582315924</v>
      </c>
    </row>
    <row r="298" spans="1:7" ht="15.75" thickBot="1" x14ac:dyDescent="0.3">
      <c r="A298" s="68">
        <v>200502</v>
      </c>
      <c r="B298" s="70">
        <v>-6885818.0988857271</v>
      </c>
      <c r="C298" s="70">
        <v>-12993330.232773455</v>
      </c>
      <c r="D298" s="70">
        <v>14841484.254073931</v>
      </c>
      <c r="E298" s="54">
        <f>IF(B298&lt;&gt;"",hddtohms(getlatitude(B298,C298,D298)),"")</f>
        <v>45.272440023730958</v>
      </c>
      <c r="F298" s="54">
        <f>IF(B298&lt;&gt;"",hddtohms(-GetLongitude(B298,C298,D298)),"")</f>
        <v>117.55169052345457</v>
      </c>
      <c r="G298" s="59">
        <f t="shared" si="5"/>
        <v>2685.9323786192272</v>
      </c>
    </row>
    <row r="299" spans="1:7" ht="15.75" thickBot="1" x14ac:dyDescent="0.3">
      <c r="A299" s="68">
        <v>200503</v>
      </c>
      <c r="B299" s="70">
        <v>-6884162.8437590357</v>
      </c>
      <c r="C299" s="70">
        <v>-12990029.079163594</v>
      </c>
      <c r="D299" s="70">
        <v>14845233.710738325</v>
      </c>
      <c r="E299" s="54">
        <f>IF(B299&lt;&gt;"",hddtohms(getlatitude(B299,C299,D299)),"")</f>
        <v>45.281633835225435</v>
      </c>
      <c r="F299" s="54">
        <f>IF(B299&lt;&gt;"",hddtohms(-GetLongitude(B299,C299,D299)),"")</f>
        <v>117.55180729312376</v>
      </c>
      <c r="G299" s="59">
        <f t="shared" si="5"/>
        <v>2769.1996624133553</v>
      </c>
    </row>
    <row r="300" spans="1:7" ht="15.75" thickBot="1" x14ac:dyDescent="0.3">
      <c r="A300" s="68">
        <v>200504</v>
      </c>
      <c r="B300" s="70">
        <v>-6871450.0433248952</v>
      </c>
      <c r="C300" s="70">
        <v>-12937628.223722912</v>
      </c>
      <c r="D300" s="70">
        <v>14898011.216058131</v>
      </c>
      <c r="E300" s="54">
        <f>IF(B300&lt;&gt;"",hddtohms(getlatitude(B300,C300,D300)),"")</f>
        <v>45.40293340244564</v>
      </c>
      <c r="F300" s="54">
        <f>IF(B300&lt;&gt;"",hddtohms(-GetLongitude(B300,C300,D300)),"")</f>
        <v>117.58254049461516</v>
      </c>
      <c r="G300" s="59">
        <f t="shared" si="5"/>
        <v>3886.5084781219975</v>
      </c>
    </row>
    <row r="301" spans="1:7" ht="15.75" thickBot="1" x14ac:dyDescent="0.3">
      <c r="A301" s="68">
        <v>200505</v>
      </c>
      <c r="B301" s="70">
        <v>-6869001.2592952466</v>
      </c>
      <c r="C301" s="70">
        <v>-12938670.529642535</v>
      </c>
      <c r="D301" s="70">
        <v>14897788.702023</v>
      </c>
      <c r="E301" s="54">
        <f>IF(B301&lt;&gt;"",hddtohms(getlatitude(B301,C301,D301)),"")</f>
        <v>45.402940847738407</v>
      </c>
      <c r="F301" s="54">
        <f>IF(B301&lt;&gt;"",hddtohms(-GetLongitude(B301,C301,D301)),"")</f>
        <v>117.5748069298733</v>
      </c>
      <c r="G301" s="59">
        <f t="shared" si="5"/>
        <v>3568.1006874416489</v>
      </c>
    </row>
    <row r="302" spans="1:7" ht="15.75" thickBot="1" x14ac:dyDescent="0.3">
      <c r="A302" s="68">
        <v>200506</v>
      </c>
      <c r="B302" s="70">
        <v>-6866592.8166433023</v>
      </c>
      <c r="C302" s="70">
        <v>-12939812.399623886</v>
      </c>
      <c r="D302" s="70">
        <v>14897692.366692923</v>
      </c>
      <c r="E302" s="54">
        <f>IF(B302&lt;&gt;"",hddtohms(getlatitude(B302,C302,D302)),"")</f>
        <v>45.402959522985924</v>
      </c>
      <c r="F302" s="54">
        <f>IF(B302&lt;&gt;"",hddtohms(-GetLongitude(B302,C302,D302)),"")</f>
        <v>117.57105771045384</v>
      </c>
      <c r="G302" s="59">
        <f t="shared" si="5"/>
        <v>3414.9596488606931</v>
      </c>
    </row>
    <row r="303" spans="1:7" ht="15.75" thickBot="1" x14ac:dyDescent="0.3">
      <c r="A303" s="68">
        <v>200507</v>
      </c>
      <c r="B303" s="70">
        <v>-6872336.2202992309</v>
      </c>
      <c r="C303" s="70">
        <v>-12939296.96688476</v>
      </c>
      <c r="D303" s="70">
        <v>14896153.962810889</v>
      </c>
      <c r="E303" s="54">
        <f>IF(B303&lt;&gt;"",hddtohms(getlatitude(B303,C303,D303)),"")</f>
        <v>45.40031826074906</v>
      </c>
      <c r="F303" s="54">
        <f>IF(B303&lt;&gt;"",hddtohms(-GetLongitude(B303,C303,D303)),"")</f>
        <v>117.58254033536728</v>
      </c>
      <c r="G303" s="59">
        <f t="shared" si="5"/>
        <v>3878.2376427886902</v>
      </c>
    </row>
    <row r="304" spans="1:7" ht="15.75" thickBot="1" x14ac:dyDescent="0.3">
      <c r="A304" s="68">
        <v>200508</v>
      </c>
      <c r="B304" s="70">
        <v>-6867457.8874158487</v>
      </c>
      <c r="C304" s="70">
        <v>-12941494.043693257</v>
      </c>
      <c r="D304" s="70">
        <v>14895817.224169571</v>
      </c>
      <c r="E304" s="54">
        <f>IF(B304&lt;&gt;"",hddtohms(getlatitude(B304,C304,D304)),"")</f>
        <v>45.400330921600862</v>
      </c>
      <c r="F304" s="54">
        <f>IF(B304&lt;&gt;"",hddtohms(-GetLongitude(B304,C304,D304)),"")</f>
        <v>117.57102375419706</v>
      </c>
      <c r="G304" s="59">
        <f t="shared" si="5"/>
        <v>3394.9391273674864</v>
      </c>
    </row>
    <row r="305" spans="1:7" ht="15.75" thickBot="1" x14ac:dyDescent="0.3">
      <c r="A305" s="68">
        <v>200509</v>
      </c>
      <c r="B305" s="70">
        <v>-6877885.698889629</v>
      </c>
      <c r="C305" s="70">
        <v>-12938528.482281495</v>
      </c>
      <c r="D305" s="70">
        <v>14894147.308204815</v>
      </c>
      <c r="E305" s="54">
        <f>IF(B305&lt;&gt;"",hddtohms(getlatitude(B305,C305,D305)),"")</f>
        <v>45.393574718801197</v>
      </c>
      <c r="F305" s="54">
        <f>IF(B305&lt;&gt;"",hddtohms(-GetLongitude(B305,C305,D305)),"")</f>
        <v>117.59394683465382</v>
      </c>
      <c r="G305" s="59">
        <f t="shared" si="5"/>
        <v>3788.5232067244378</v>
      </c>
    </row>
    <row r="306" spans="1:7" ht="15.75" thickBot="1" x14ac:dyDescent="0.3">
      <c r="A306" s="68">
        <v>200510</v>
      </c>
      <c r="B306" s="70">
        <v>-6873189.7996972837</v>
      </c>
      <c r="C306" s="70">
        <v>-12940936.751166787</v>
      </c>
      <c r="D306" s="70">
        <v>14894227.771921545</v>
      </c>
      <c r="E306" s="54">
        <f>IF(B306&lt;&gt;"",hddtohms(getlatitude(B306,C306,D306)),"")</f>
        <v>45.393684404969271</v>
      </c>
      <c r="F306" s="54">
        <f>IF(B306&lt;&gt;"",hddtohms(-GetLongitude(B306,C306,D306)),"")</f>
        <v>117.58251877210203</v>
      </c>
      <c r="G306" s="59">
        <f t="shared" si="5"/>
        <v>3792.4363475927566</v>
      </c>
    </row>
    <row r="307" spans="1:7" ht="15.75" thickBot="1" x14ac:dyDescent="0.3">
      <c r="A307" s="68">
        <v>200511</v>
      </c>
      <c r="B307" s="70">
        <v>-6870745.8345615724</v>
      </c>
      <c r="C307" s="70">
        <v>-12942037.237874255</v>
      </c>
      <c r="D307" s="70">
        <v>14894062.646554185</v>
      </c>
      <c r="E307" s="54">
        <f>IF(B307&lt;&gt;"",hddtohms(getlatitude(B307,C307,D307)),"")</f>
        <v>45.393693486265427</v>
      </c>
      <c r="F307" s="54">
        <f>IF(B307&lt;&gt;"",hddtohms(-GetLongitude(B307,C307,D307)),"")</f>
        <v>117.57475374748707</v>
      </c>
      <c r="G307" s="59">
        <f t="shared" si="5"/>
        <v>3552.5683976679902</v>
      </c>
    </row>
    <row r="308" spans="1:7" ht="15.75" thickBot="1" x14ac:dyDescent="0.3">
      <c r="A308" s="68">
        <v>200512</v>
      </c>
      <c r="B308" s="70">
        <v>-6868302.7552259527</v>
      </c>
      <c r="C308" s="70">
        <v>-12943137.612981223</v>
      </c>
      <c r="D308" s="70">
        <v>14893897.983585842</v>
      </c>
      <c r="E308" s="54">
        <f>IF(B308&lt;&gt;"",hddtohms(getlatitude(B308,C308,D308)),"")</f>
        <v>45.393702318566511</v>
      </c>
      <c r="F308" s="54">
        <f>IF(B308&lt;&gt;"",hddtohms(-GetLongitude(B308,C308,D308)),"")</f>
        <v>117.5709898085686</v>
      </c>
      <c r="G308" s="59">
        <f t="shared" si="5"/>
        <v>3313.5936834896311</v>
      </c>
    </row>
    <row r="309" spans="1:7" ht="15.75" thickBot="1" x14ac:dyDescent="0.3">
      <c r="A309" s="68">
        <v>200513</v>
      </c>
      <c r="B309" s="70">
        <v>-6874824.609370742</v>
      </c>
      <c r="C309" s="70">
        <v>-12944194.613665219</v>
      </c>
      <c r="D309" s="70">
        <v>14890240.400758712</v>
      </c>
      <c r="E309" s="54">
        <f>IF(B309&lt;&gt;"",hddtohms(getlatitude(B309,C309,D309)),"")</f>
        <v>45.384360948765945</v>
      </c>
      <c r="F309" s="54">
        <f>IF(B309&lt;&gt;"",hddtohms(-GetLongitude(B309,C309,D309)),"")</f>
        <v>117.58240006828842</v>
      </c>
      <c r="G309" s="59">
        <f t="shared" si="5"/>
        <v>3488.2083898727869</v>
      </c>
    </row>
    <row r="310" spans="1:7" ht="15.75" thickBot="1" x14ac:dyDescent="0.3">
      <c r="A310" s="68">
        <v>200514</v>
      </c>
      <c r="B310" s="70">
        <v>-6870068.5398599543</v>
      </c>
      <c r="C310" s="70">
        <v>-12946502.76789467</v>
      </c>
      <c r="D310" s="70">
        <v>14890146.47470478</v>
      </c>
      <c r="E310" s="54">
        <f>IF(B310&lt;&gt;"",hddtohms(getlatitude(B310,C310,D310)),"")</f>
        <v>45.384431258045105</v>
      </c>
      <c r="F310" s="54">
        <f>IF(B310&lt;&gt;"",hddtohms(-GetLongitude(B310,C310,D310)),"")</f>
        <v>117.57096501795448</v>
      </c>
      <c r="G310" s="59">
        <f t="shared" si="5"/>
        <v>3287.2073629076513</v>
      </c>
    </row>
    <row r="311" spans="1:7" ht="15.75" thickBot="1" x14ac:dyDescent="0.3">
      <c r="A311" s="68">
        <v>200515</v>
      </c>
      <c r="B311" s="70">
        <v>-6936314.5813382342</v>
      </c>
      <c r="C311" s="70">
        <v>-12992401.478904665</v>
      </c>
      <c r="D311" s="70">
        <v>14819280.398704365</v>
      </c>
      <c r="E311" s="54">
        <f>IF(B311&lt;&gt;"",hddtohms(getlatitude(B311,C311,D311)),"")</f>
        <v>45.220957903949788</v>
      </c>
      <c r="F311" s="54">
        <f>IF(B311&lt;&gt;"",hddtohms(-GetLongitude(B311,C311,D311)),"")</f>
        <v>118.05478714830683</v>
      </c>
      <c r="G311" s="59">
        <f t="shared" si="5"/>
        <v>2943.8374286727048</v>
      </c>
    </row>
    <row r="312" spans="1:7" ht="15.75" thickBot="1" x14ac:dyDescent="0.3">
      <c r="A312" s="68">
        <v>200516</v>
      </c>
      <c r="B312" s="70">
        <v>-6935513.1200058525</v>
      </c>
      <c r="C312" s="70">
        <v>-12990879.24056711</v>
      </c>
      <c r="D312" s="70">
        <v>14821311.348791152</v>
      </c>
      <c r="E312" s="54">
        <f>IF(B312&lt;&gt;"",hddtohms(getlatitude(B312,C312,D312)),"")</f>
        <v>45.223574913913168</v>
      </c>
      <c r="F312" s="54">
        <f>IF(B312&lt;&gt;"",hddtohms(-GetLongitude(B312,C312,D312)),"")</f>
        <v>118.05480101565007</v>
      </c>
      <c r="G312" s="59">
        <f t="shared" si="5"/>
        <v>3180.7578816915393</v>
      </c>
    </row>
    <row r="313" spans="1:7" ht="15.75" thickBot="1" x14ac:dyDescent="0.3">
      <c r="A313" s="68">
        <v>200517</v>
      </c>
      <c r="B313" s="70">
        <v>-6934712.0980770215</v>
      </c>
      <c r="C313" s="70">
        <v>-12989358.777429117</v>
      </c>
      <c r="D313" s="70">
        <v>14823344.853176421</v>
      </c>
      <c r="E313" s="54">
        <f>IF(B313&lt;&gt;"",hddtohms(getlatitude(B313,C313,D313)),"")</f>
        <v>45.230192386288422</v>
      </c>
      <c r="F313" s="54">
        <f>IF(B313&lt;&gt;"",hddtohms(-GetLongitude(B313,C313,D313)),"")</f>
        <v>118.05481425806671</v>
      </c>
      <c r="G313" s="59">
        <f t="shared" si="5"/>
        <v>3421.0781426383546</v>
      </c>
    </row>
    <row r="314" spans="1:7" ht="15.75" thickBot="1" x14ac:dyDescent="0.3">
      <c r="A314" s="68">
        <v>200518</v>
      </c>
      <c r="B314" s="70">
        <v>-6933887.0106458766</v>
      </c>
      <c r="C314" s="70">
        <v>-12987775.355516113</v>
      </c>
      <c r="D314" s="70">
        <v>14825309.445916923</v>
      </c>
      <c r="E314" s="54">
        <f>IF(B314&lt;&gt;"",hddtohms(getlatitude(B314,C314,D314)),"")</f>
        <v>45.232809019292951</v>
      </c>
      <c r="F314" s="54">
        <f>IF(B314&lt;&gt;"",hddtohms(-GetLongitude(B314,C314,D314)),"")</f>
        <v>118.05483930228175</v>
      </c>
      <c r="G314" s="59">
        <f t="shared" si="5"/>
        <v>3565.7128609729807</v>
      </c>
    </row>
    <row r="315" spans="1:7" ht="15.75" thickBot="1" x14ac:dyDescent="0.3">
      <c r="A315" s="68">
        <v>200519</v>
      </c>
      <c r="B315" s="70">
        <v>-6848798.7718224535</v>
      </c>
      <c r="C315" s="70">
        <v>-12940191.29498164</v>
      </c>
      <c r="D315" s="70">
        <v>14904659.346137192</v>
      </c>
      <c r="E315" s="54">
        <f>IF(B315&lt;&gt;"",hddtohms(getlatitude(B315,C315,D315)),"")</f>
        <v>45.421412471299689</v>
      </c>
      <c r="F315" s="54">
        <f>IF(B315&lt;&gt;"",hddtohms(-GetLongitude(B315,C315,D315)),"")</f>
        <v>117.53266340026394</v>
      </c>
      <c r="G315" s="59">
        <f t="shared" si="5"/>
        <v>2813.5925894893317</v>
      </c>
    </row>
    <row r="316" spans="1:7" ht="15.75" thickBot="1" x14ac:dyDescent="0.3">
      <c r="A316" s="68">
        <v>200520</v>
      </c>
      <c r="B316" s="70">
        <v>-6851306.7074384922</v>
      </c>
      <c r="C316" s="70">
        <v>-12973254.420162451</v>
      </c>
      <c r="D316" s="70">
        <v>14875344.848887438</v>
      </c>
      <c r="E316" s="54">
        <f>IF(B316&lt;&gt;"",hddtohms(getlatitude(B316,C316,D316)),"")</f>
        <v>45.351724837981848</v>
      </c>
      <c r="F316" s="54">
        <f>IF(B316&lt;&gt;"",hddtohms(-GetLongitude(B316,C316,D316)),"")</f>
        <v>117.50203524730856</v>
      </c>
      <c r="G316" s="59">
        <f t="shared" si="5"/>
        <v>3106.2295940159183</v>
      </c>
    </row>
    <row r="317" spans="1:7" ht="15.75" thickBot="1" x14ac:dyDescent="0.3">
      <c r="A317" s="68">
        <v>200521</v>
      </c>
      <c r="B317" s="70">
        <v>-6849627.7207566462</v>
      </c>
      <c r="C317" s="70">
        <v>-12969959.233455691</v>
      </c>
      <c r="D317" s="70">
        <v>14879025.269295456</v>
      </c>
      <c r="E317" s="54">
        <f>IF(B317&lt;&gt;"",hddtohms(getlatitude(B317,C317,D317)),"")</f>
        <v>45.360874720701716</v>
      </c>
      <c r="F317" s="54">
        <f>IF(B317&lt;&gt;"",hddtohms(-GetLongitude(B317,C317,D317)),"")</f>
        <v>117.50211139322469</v>
      </c>
      <c r="G317" s="59">
        <f t="shared" si="5"/>
        <v>3148.0880764651265</v>
      </c>
    </row>
    <row r="318" spans="1:7" ht="15.75" thickBot="1" x14ac:dyDescent="0.3">
      <c r="A318" s="68">
        <v>200522</v>
      </c>
      <c r="B318" s="70">
        <v>-6845541.8673809525</v>
      </c>
      <c r="C318" s="70">
        <v>-12967908.33664603</v>
      </c>
      <c r="D318" s="70">
        <v>14882907.596761419</v>
      </c>
      <c r="E318" s="54">
        <f>IF(B318&lt;&gt;"",hddtohms(getlatitude(B318,C318,D318)),"")</f>
        <v>45.370180529207524</v>
      </c>
      <c r="F318" s="54">
        <f>IF(B318&lt;&gt;"",hddtohms(-GetLongitude(B318,C318,D318)),"")</f>
        <v>117.49437651272764</v>
      </c>
      <c r="G318" s="59">
        <f t="shared" si="5"/>
        <v>3319.1329736632197</v>
      </c>
    </row>
    <row r="319" spans="1:7" ht="15.75" thickBot="1" x14ac:dyDescent="0.3">
      <c r="A319" s="68">
        <v>200523</v>
      </c>
      <c r="B319" s="70">
        <v>-6844646.8470398588</v>
      </c>
      <c r="C319" s="70">
        <v>-12966232.714598404</v>
      </c>
      <c r="D319" s="70">
        <v>14884801.273406899</v>
      </c>
      <c r="E319" s="54">
        <f>IF(B319&lt;&gt;"",hddtohms(getlatitude(B319,C319,D319)),"")</f>
        <v>45.372828115621999</v>
      </c>
      <c r="F319" s="54">
        <f>IF(B319&lt;&gt;"",hddtohms(-GetLongitude(B319,C319,D319)),"")</f>
        <v>117.49436346521094</v>
      </c>
      <c r="G319" s="59">
        <f t="shared" si="5"/>
        <v>3343.9708970705542</v>
      </c>
    </row>
    <row r="320" spans="1:7" ht="15.75" thickBot="1" x14ac:dyDescent="0.3">
      <c r="A320" s="68">
        <v>200524</v>
      </c>
      <c r="B320" s="70">
        <v>-6850474.5414952673</v>
      </c>
      <c r="C320" s="70">
        <v>-12971620.218956763</v>
      </c>
      <c r="D320" s="70">
        <v>14877227.275268914</v>
      </c>
      <c r="E320" s="54">
        <f>IF(B320&lt;&gt;"",hddtohms(getlatitude(B320,C320,D320)),"")</f>
        <v>45.354318178224055</v>
      </c>
      <c r="F320" s="54">
        <f>IF(B320&lt;&gt;"",hddtohms(-GetLongitude(B320,C320,D320)),"")</f>
        <v>117.5020736323202</v>
      </c>
      <c r="G320" s="59">
        <f t="shared" si="5"/>
        <v>3167.8364350564698</v>
      </c>
    </row>
    <row r="321" spans="1:7" ht="15.75" thickBot="1" x14ac:dyDescent="0.3">
      <c r="A321" s="68">
        <v>200525</v>
      </c>
      <c r="B321" s="70">
        <v>-6913341.7672969997</v>
      </c>
      <c r="C321" s="70">
        <v>-12983032.309162088</v>
      </c>
      <c r="D321" s="70">
        <v>14837688.222561687</v>
      </c>
      <c r="E321" s="54">
        <f>IF(B321&lt;&gt;"",hddtohms(getlatitude(B321,C321,D321)),"")</f>
        <v>45.263125292144103</v>
      </c>
      <c r="F321" s="54">
        <f>IF(B321&lt;&gt;"",hddtohms(-GetLongitude(B321,C321,D321)),"")</f>
        <v>118.02055626772967</v>
      </c>
      <c r="G321" s="59">
        <f t="shared" si="5"/>
        <v>2659.1873226255739</v>
      </c>
    </row>
    <row r="322" spans="1:7" ht="15.75" thickBot="1" x14ac:dyDescent="0.3">
      <c r="A322" s="68">
        <v>200526</v>
      </c>
      <c r="B322" s="70">
        <v>-6912456.9366165334</v>
      </c>
      <c r="C322" s="70">
        <v>-12981352.763503002</v>
      </c>
      <c r="D322" s="70">
        <v>14839547.255808841</v>
      </c>
      <c r="E322" s="54">
        <f>IF(B322&lt;&gt;"",hddtohms(getlatitude(B322,C322,D322)),"")</f>
        <v>45.265748197039457</v>
      </c>
      <c r="F322" s="54">
        <f>IF(B322&lt;&gt;"",hddtohms(-GetLongitude(B322,C322,D322)),"")</f>
        <v>118.02056804220655</v>
      </c>
      <c r="G322" s="59">
        <f t="shared" si="5"/>
        <v>2652.0532562319731</v>
      </c>
    </row>
    <row r="323" spans="1:7" ht="15.75" thickBot="1" x14ac:dyDescent="0.3">
      <c r="A323" s="68">
        <v>200527</v>
      </c>
      <c r="B323" s="70">
        <v>-6910988.0917945299</v>
      </c>
      <c r="C323" s="70">
        <v>-12984262.970995868</v>
      </c>
      <c r="D323" s="70">
        <v>14837701.205129782</v>
      </c>
      <c r="E323" s="54">
        <f>IF(B323&lt;&gt;"",hddtohms(getlatitude(B323,C323,D323)),"")</f>
        <v>45.263148176854301</v>
      </c>
      <c r="F323" s="54">
        <f>IF(B323&lt;&gt;"",hddtohms(-GetLongitude(B323,C323,D323)),"")</f>
        <v>118.01283184459423</v>
      </c>
      <c r="G323" s="59">
        <f t="shared" si="5"/>
        <v>2654.5801673349652</v>
      </c>
    </row>
    <row r="324" spans="1:7" ht="15.75" thickBot="1" x14ac:dyDescent="0.3">
      <c r="A324" s="68">
        <v>200528</v>
      </c>
      <c r="B324" s="70">
        <v>-6908643.7456204258</v>
      </c>
      <c r="C324" s="70">
        <v>-12985511.003321068</v>
      </c>
      <c r="D324" s="70">
        <v>14837734.217879724</v>
      </c>
      <c r="E324" s="54">
        <f>IF(B324&lt;&gt;"",hddtohms(getlatitude(B324,C324,D324)),"")</f>
        <v>45.263170728676513</v>
      </c>
      <c r="F324" s="54">
        <f>IF(B324&lt;&gt;"",hddtohms(-GetLongitude(B324,C324,D324)),"")</f>
        <v>118.00510752022062</v>
      </c>
      <c r="G324" s="59">
        <f t="shared" si="5"/>
        <v>2678.4159672943897</v>
      </c>
    </row>
    <row r="325" spans="1:7" ht="15.75" thickBot="1" x14ac:dyDescent="0.3">
      <c r="A325" s="68">
        <v>200529</v>
      </c>
      <c r="B325" s="70">
        <v>-6904009.956042191</v>
      </c>
      <c r="C325" s="70">
        <v>-12987985.53664083</v>
      </c>
      <c r="D325" s="70">
        <v>14837802.322529435</v>
      </c>
      <c r="E325" s="54">
        <f>IF(B325&lt;&gt;"",hddtohms(getlatitude(B325,C325,D325)),"")</f>
        <v>45.263211506948146</v>
      </c>
      <c r="F325" s="54">
        <f>IF(B325&lt;&gt;"",hddtohms(-GetLongitude(B325,C325,D325)),"")</f>
        <v>117.5937410275359</v>
      </c>
      <c r="G325" s="59">
        <f t="shared" si="5"/>
        <v>2733.3199092731065</v>
      </c>
    </row>
    <row r="326" spans="1:7" ht="15.75" thickBot="1" x14ac:dyDescent="0.3">
      <c r="A326" s="68">
        <v>200530</v>
      </c>
      <c r="B326" s="70">
        <v>-6899349.6894628573</v>
      </c>
      <c r="C326" s="70">
        <v>-12990454.317962676</v>
      </c>
      <c r="D326" s="70">
        <v>14837761.288639942</v>
      </c>
      <c r="E326" s="54">
        <f>IF(B326&lt;&gt;"",hddtohms(getlatitude(B326,C326,D326)),"")</f>
        <v>45.263187682752694</v>
      </c>
      <c r="F326" s="54">
        <f>IF(B326&lt;&gt;"",hddtohms(-GetLongitude(B326,C326,D326)),"")</f>
        <v>117.58234553732659</v>
      </c>
      <c r="G326" s="59">
        <f t="shared" si="5"/>
        <v>2699.4962826936771</v>
      </c>
    </row>
    <row r="327" spans="1:7" ht="15.75" thickBot="1" x14ac:dyDescent="0.3">
      <c r="A327" s="68">
        <v>200531</v>
      </c>
      <c r="B327" s="70">
        <v>-6843735.1215301082</v>
      </c>
      <c r="C327" s="70">
        <v>-12964524.876563581</v>
      </c>
      <c r="D327" s="70">
        <v>14886641.389190629</v>
      </c>
      <c r="E327" s="54">
        <f>IF(B327&lt;&gt;"",hddtohms(getlatitude(B327,C327,D327)),"")</f>
        <v>45.3754643287986</v>
      </c>
      <c r="F327" s="54">
        <f>IF(B327&lt;&gt;"",hddtohms(-GetLongitude(B327,C327,D327)),"")</f>
        <v>117.49435078891193</v>
      </c>
      <c r="G327" s="59">
        <f t="shared" si="5"/>
        <v>3305.4891233999551</v>
      </c>
    </row>
    <row r="328" spans="1:7" ht="15.75" thickBot="1" x14ac:dyDescent="0.3">
      <c r="A328" s="68">
        <v>200532</v>
      </c>
      <c r="B328" s="70">
        <v>-6841405.8289505914</v>
      </c>
      <c r="C328" s="70">
        <v>-12965712.056987533</v>
      </c>
      <c r="D328" s="70">
        <v>14886613.493055141</v>
      </c>
      <c r="E328" s="54">
        <f>IF(B328&lt;&gt;"",hddtohms(getlatitude(B328,C328,D328)),"")</f>
        <v>45.375471374585992</v>
      </c>
      <c r="F328" s="54">
        <f>IF(B328&lt;&gt;"",hddtohms(-GetLongitude(B328,C328,D328)),"")</f>
        <v>117.49067274542809</v>
      </c>
      <c r="G328" s="59">
        <f t="shared" si="5"/>
        <v>3259.4838725310219</v>
      </c>
    </row>
    <row r="329" spans="1:7" ht="15.75" thickBot="1" x14ac:dyDescent="0.3">
      <c r="A329" s="68">
        <v>200533</v>
      </c>
      <c r="B329" s="70">
        <v>-6834656.2879777132</v>
      </c>
      <c r="C329" s="70">
        <v>-12969578.78822195</v>
      </c>
      <c r="D329" s="70">
        <v>14886665.062925788</v>
      </c>
      <c r="E329" s="54">
        <f>IF(B329&lt;&gt;"",hddtohms(getlatitude(B329,C329,D329)),"")</f>
        <v>45.375314975637536</v>
      </c>
      <c r="F329" s="54">
        <f>IF(B329&lt;&gt;"",hddtohms(-GetLongitude(B329,C329,D329)),"")</f>
        <v>117.47173498333066</v>
      </c>
      <c r="G329" s="59">
        <f t="shared" si="5"/>
        <v>3486.6112653607433</v>
      </c>
    </row>
    <row r="330" spans="1:7" ht="15.75" thickBot="1" x14ac:dyDescent="0.3">
      <c r="A330" s="68">
        <v>200534</v>
      </c>
      <c r="B330" s="70">
        <v>-6836883.0618463652</v>
      </c>
      <c r="C330" s="70">
        <v>-12968307.004097603</v>
      </c>
      <c r="D330" s="70">
        <v>14886708.595769322</v>
      </c>
      <c r="E330" s="54">
        <f>IF(B330&lt;&gt;"",hddtohms(getlatitude(B330,C330,D330)),"")</f>
        <v>45.375406247742966</v>
      </c>
      <c r="F330" s="54">
        <f>IF(B330&lt;&gt;"",hddtohms(-GetLongitude(B330,C330,D330)),"")</f>
        <v>117.47534090443497</v>
      </c>
      <c r="G330" s="59">
        <f t="shared" si="5"/>
        <v>3457.0593621669013</v>
      </c>
    </row>
    <row r="331" spans="1:7" ht="15.75" thickBot="1" x14ac:dyDescent="0.3">
      <c r="A331" s="68">
        <v>200535</v>
      </c>
      <c r="B331" s="70">
        <v>-6843654.6175722992</v>
      </c>
      <c r="C331" s="70">
        <v>-12930354.465141552</v>
      </c>
      <c r="D331" s="70">
        <v>14915833.309415165</v>
      </c>
      <c r="E331" s="54">
        <f>IF(B331&lt;&gt;"",hddtohms(getlatitude(B331,C331,D331)),"")</f>
        <v>45.444957920550848</v>
      </c>
      <c r="F331" s="54">
        <f>IF(B331&lt;&gt;"",hddtohms(-GetLongitude(B331,C331,D331)),"")</f>
        <v>117.53274083698685</v>
      </c>
      <c r="G331" s="59">
        <f t="shared" si="5"/>
        <v>3064.9262671789511</v>
      </c>
    </row>
    <row r="332" spans="1:7" ht="15.75" thickBot="1" x14ac:dyDescent="0.3">
      <c r="A332" s="68">
        <v>200536</v>
      </c>
      <c r="B332" s="70">
        <v>-6844581.9825952733</v>
      </c>
      <c r="C332" s="70">
        <v>-12932082.121077167</v>
      </c>
      <c r="D332" s="70">
        <v>14914101.352179112</v>
      </c>
      <c r="E332" s="54">
        <f>IF(B332&lt;&gt;"",hddtohms(getlatitude(B332,C332,D332)),"")</f>
        <v>45.442378609727015</v>
      </c>
      <c r="F332" s="54">
        <f>IF(B332&lt;&gt;"",hddtohms(-GetLongitude(B332,C332,D332)),"")</f>
        <v>117.53275699429018</v>
      </c>
      <c r="G332" s="59">
        <f t="shared" si="5"/>
        <v>3192.8329319625718</v>
      </c>
    </row>
    <row r="333" spans="1:7" ht="15.75" thickBot="1" x14ac:dyDescent="0.3">
      <c r="A333" s="68">
        <v>200537</v>
      </c>
      <c r="B333" s="70">
        <v>-6850000.606424653</v>
      </c>
      <c r="C333" s="70">
        <v>-12931295.985505097</v>
      </c>
      <c r="D333" s="70">
        <v>14912312.062334131</v>
      </c>
      <c r="E333" s="54">
        <f>IF(B333&lt;&gt;"",hddtohms(getlatitude(B333,C333,D333)),"")</f>
        <v>45.435844582765213</v>
      </c>
      <c r="F333" s="54">
        <f>IF(B333&lt;&gt;"",hddtohms(-GetLongitude(B333,C333,D333)),"")</f>
        <v>117.54402587113763</v>
      </c>
      <c r="G333" s="59">
        <f t="shared" si="5"/>
        <v>3196.3138151331095</v>
      </c>
    </row>
    <row r="334" spans="1:7" ht="15.75" thickBot="1" x14ac:dyDescent="0.3">
      <c r="A334" s="68">
        <v>200538</v>
      </c>
      <c r="B334" s="70">
        <v>-6847721.2103166366</v>
      </c>
      <c r="C334" s="70">
        <v>-12932489.095990015</v>
      </c>
      <c r="D334" s="70">
        <v>14912266.663654951</v>
      </c>
      <c r="E334" s="54">
        <f>IF(B334&lt;&gt;"",hddtohms(getlatitude(B334,C334,D334)),"")</f>
        <v>45.435822098914187</v>
      </c>
      <c r="F334" s="54">
        <f>IF(B334&lt;&gt;"",hddtohms(-GetLongitude(B334,C334,D334)),"")</f>
        <v>117.54039950360917</v>
      </c>
      <c r="G334" s="59">
        <f t="shared" si="5"/>
        <v>3155.1186106736077</v>
      </c>
    </row>
    <row r="335" spans="1:7" ht="15.75" thickBot="1" x14ac:dyDescent="0.3">
      <c r="A335" s="68">
        <v>200539</v>
      </c>
      <c r="B335" s="70">
        <v>-6845382.4413244752</v>
      </c>
      <c r="C335" s="70">
        <v>-12933570.093129579</v>
      </c>
      <c r="D335" s="70">
        <v>14912091.164592402</v>
      </c>
      <c r="E335" s="54">
        <f>IF(B335&lt;&gt;"",hddtohms(getlatitude(B335,C335,D335)),"")</f>
        <v>45.435799330476208</v>
      </c>
      <c r="F335" s="54">
        <f>IF(B335&lt;&gt;"",hddtohms(-GetLongitude(B335,C335,D335)),"")</f>
        <v>117.5327730871971</v>
      </c>
      <c r="G335" s="59">
        <f t="shared" si="5"/>
        <v>2932.5232967561715</v>
      </c>
    </row>
    <row r="336" spans="1:7" ht="15.75" thickBot="1" x14ac:dyDescent="0.3">
      <c r="A336" s="68">
        <v>200540</v>
      </c>
      <c r="B336" s="70">
        <v>-6842968.0597045599</v>
      </c>
      <c r="C336" s="70">
        <v>-12934813.114693562</v>
      </c>
      <c r="D336" s="70">
        <v>14912057.574531749</v>
      </c>
      <c r="E336" s="54">
        <f>IF(B336&lt;&gt;"",hddtohms(getlatitude(B336,C336,D336)),"")</f>
        <v>45.435797777498408</v>
      </c>
      <c r="F336" s="54">
        <f>IF(B336&lt;&gt;"",hddtohms(-GetLongitude(B336,C336,D336)),"")</f>
        <v>117.52494559441003</v>
      </c>
      <c r="G336" s="59">
        <f t="shared" si="5"/>
        <v>2887.1493684597608</v>
      </c>
    </row>
    <row r="337" spans="1:7" ht="15.75" thickBot="1" x14ac:dyDescent="0.3">
      <c r="A337" s="68">
        <v>200541</v>
      </c>
      <c r="B337" s="70">
        <v>-6840573.1569456626</v>
      </c>
      <c r="C337" s="70">
        <v>-12936093.51423946</v>
      </c>
      <c r="D337" s="70">
        <v>14912066.86783267</v>
      </c>
      <c r="E337" s="54">
        <f>IF(B337&lt;&gt;"",hddtohms(getlatitude(B337,C337,D337)),"")</f>
        <v>45.435795622366271</v>
      </c>
      <c r="F337" s="54">
        <f>IF(B337&lt;&gt;"",hddtohms(-GetLongitude(B337,C337,D337)),"")</f>
        <v>117.52111772875408</v>
      </c>
      <c r="G337" s="59">
        <f t="shared" si="5"/>
        <v>2902.2553152152013</v>
      </c>
    </row>
    <row r="338" spans="1:7" ht="15.75" thickBot="1" x14ac:dyDescent="0.3">
      <c r="A338" s="68">
        <v>200542</v>
      </c>
      <c r="B338" s="70">
        <v>-6846235.8245452512</v>
      </c>
      <c r="C338" s="70">
        <v>-12935175.568830373</v>
      </c>
      <c r="D338" s="70">
        <v>14910212.836593853</v>
      </c>
      <c r="E338" s="54">
        <f>IF(B338&lt;&gt;"",hddtohms(getlatitude(B338,C338,D338)),"")</f>
        <v>45.433219948020508</v>
      </c>
      <c r="F338" s="54">
        <f>IF(B338&lt;&gt;"",hddtohms(-GetLongitude(B338,C338,D338)),"")</f>
        <v>117.53277763279016</v>
      </c>
      <c r="G338" s="59">
        <f t="shared" si="5"/>
        <v>2856.7359058321781</v>
      </c>
    </row>
    <row r="339" spans="1:7" ht="15.75" thickBot="1" x14ac:dyDescent="0.3">
      <c r="A339" s="68">
        <v>200543</v>
      </c>
      <c r="B339" s="70">
        <v>-6841469.6474690214</v>
      </c>
      <c r="C339" s="70">
        <v>-12937777.590996495</v>
      </c>
      <c r="D339" s="70">
        <v>14910252.78995939</v>
      </c>
      <c r="E339" s="54">
        <f>IF(B339&lt;&gt;"",hddtohms(getlatitude(B339,C339,D339)),"")</f>
        <v>45.433197159683502</v>
      </c>
      <c r="F339" s="54">
        <f>IF(B339&lt;&gt;"",hddtohms(-GetLongitude(B339,C339,D339)),"")</f>
        <v>117.52112514812234</v>
      </c>
      <c r="G339" s="59">
        <f t="shared" si="5"/>
        <v>2935.0449394339084</v>
      </c>
    </row>
    <row r="340" spans="1:7" ht="15.75" thickBot="1" x14ac:dyDescent="0.3">
      <c r="A340" s="68">
        <v>200544</v>
      </c>
      <c r="B340" s="70">
        <v>-6847108.0076969946</v>
      </c>
      <c r="C340" s="70">
        <v>-12936821.540607063</v>
      </c>
      <c r="D340" s="70">
        <v>14908343.854567556</v>
      </c>
      <c r="E340" s="54">
        <f>IF(B340&lt;&gt;"",hddtohms(getlatitude(B340,C340,D340)),"")</f>
        <v>45.430615475968679</v>
      </c>
      <c r="F340" s="54">
        <f>IF(B340&lt;&gt;"",hddtohms(-GetLongitude(B340,C340,D340)),"")</f>
        <v>117.53277889716952</v>
      </c>
      <c r="G340" s="59">
        <f t="shared" si="5"/>
        <v>2819.0958353114565</v>
      </c>
    </row>
    <row r="341" spans="1:7" ht="15.75" thickBot="1" x14ac:dyDescent="0.3">
      <c r="A341" s="68">
        <v>200545</v>
      </c>
      <c r="B341" s="70">
        <v>-6844805.4327525152</v>
      </c>
      <c r="C341" s="70">
        <v>-12938170.652684264</v>
      </c>
      <c r="D341" s="70">
        <v>14908452.674936732</v>
      </c>
      <c r="E341" s="54">
        <f>IF(B341&lt;&gt;"",hddtohms(getlatitude(B341,C341,D341)),"")</f>
        <v>45.430608840648574</v>
      </c>
      <c r="F341" s="54">
        <f>IF(B341&lt;&gt;"",hddtohms(-GetLongitude(B341,C341,D341)),"")</f>
        <v>117.52502172391456</v>
      </c>
      <c r="G341" s="59">
        <f t="shared" si="5"/>
        <v>2977.6528142938787</v>
      </c>
    </row>
    <row r="342" spans="1:7" ht="15.75" thickBot="1" x14ac:dyDescent="0.3">
      <c r="A342" s="68">
        <v>200546</v>
      </c>
      <c r="B342" s="70">
        <v>-6842313.7802297641</v>
      </c>
      <c r="C342" s="70">
        <v>-12939362.654001743</v>
      </c>
      <c r="D342" s="70">
        <v>14908323.850589022</v>
      </c>
      <c r="E342" s="54">
        <f>IF(B342&lt;&gt;"",hddtohms(getlatitude(B342,C342,D342)),"")</f>
        <v>45.430598693277851</v>
      </c>
      <c r="F342" s="54">
        <f>IF(B342&lt;&gt;"",hddtohms(-GetLongitude(B342,C342,D342)),"")</f>
        <v>117.52113256623817</v>
      </c>
      <c r="G342" s="59">
        <f t="shared" si="5"/>
        <v>2807.7348195280065</v>
      </c>
    </row>
    <row r="343" spans="1:7" ht="15.75" thickBot="1" x14ac:dyDescent="0.3">
      <c r="A343" s="68">
        <v>200547</v>
      </c>
      <c r="B343" s="70">
        <v>-6847938.3329218542</v>
      </c>
      <c r="C343" s="70">
        <v>-12938511.302803857</v>
      </c>
      <c r="D343" s="70">
        <v>14906505.787064806</v>
      </c>
      <c r="E343" s="54">
        <f>IF(B343&lt;&gt;"",hddtohms(getlatitude(B343,C343,D343)),"")</f>
        <v>45.424018787567462</v>
      </c>
      <c r="F343" s="54">
        <f>IF(B343&lt;&gt;"",hddtohms(-GetLongitude(B343,C343,D343)),"")</f>
        <v>117.53269917056934</v>
      </c>
      <c r="G343" s="59">
        <f t="shared" si="5"/>
        <v>2817.2715455226662</v>
      </c>
    </row>
    <row r="344" spans="1:7" ht="15.75" thickBot="1" x14ac:dyDescent="0.3">
      <c r="A344" s="68">
        <v>200548</v>
      </c>
      <c r="B344" s="70">
        <v>-6843178.3737089345</v>
      </c>
      <c r="C344" s="70">
        <v>-12940953.245394768</v>
      </c>
      <c r="D344" s="70">
        <v>14906416.69699114</v>
      </c>
      <c r="E344" s="54">
        <f>IF(B344&lt;&gt;"",hddtohms(getlatitude(B344,C344,D344)),"")</f>
        <v>45.424004996712185</v>
      </c>
      <c r="F344" s="54">
        <f>IF(B344&lt;&gt;"",hddtohms(-GetLongitude(B344,C344,D344)),"")</f>
        <v>117.52116182682157</v>
      </c>
      <c r="G344" s="59">
        <f t="shared" si="5"/>
        <v>2706.442569196257</v>
      </c>
    </row>
    <row r="345" spans="1:7" ht="15.75" thickBot="1" x14ac:dyDescent="0.3">
      <c r="A345" s="68">
        <v>200601</v>
      </c>
      <c r="B345" s="70">
        <v>-6940423.43527757</v>
      </c>
      <c r="C345" s="70">
        <v>-12989225.473438265</v>
      </c>
      <c r="D345" s="70">
        <v>14822087.796474282</v>
      </c>
      <c r="E345" s="54">
        <f>IF(B345&lt;&gt;"",hddtohms(getlatitude(B345,C345,D345)),"")</f>
        <v>45.223512901477619</v>
      </c>
      <c r="F345" s="54">
        <f>IF(B345&lt;&gt;"",hddtohms(-GetLongitude(B345,C345,D345)),"")</f>
        <v>118.06595866728581</v>
      </c>
      <c r="G345" s="59">
        <f t="shared" si="5"/>
        <v>4333.6765382172853</v>
      </c>
    </row>
    <row r="346" spans="1:7" ht="15.75" thickBot="1" x14ac:dyDescent="0.3">
      <c r="A346" s="68">
        <v>200602</v>
      </c>
      <c r="B346" s="70">
        <v>-6941221.30525338</v>
      </c>
      <c r="C346" s="70">
        <v>-12990707.691185722</v>
      </c>
      <c r="D346" s="70">
        <v>14820025.606707348</v>
      </c>
      <c r="E346" s="54">
        <f>IF(B346&lt;&gt;"",hddtohms(getlatitude(B346,C346,D346)),"")</f>
        <v>45.220900358253033</v>
      </c>
      <c r="F346" s="54">
        <f>IF(B346&lt;&gt;"",hddtohms(-GetLongitude(B346,C346,D346)),"")</f>
        <v>118.06596594115854</v>
      </c>
      <c r="G346" s="59">
        <f t="shared" si="5"/>
        <v>4048.5428908465983</v>
      </c>
    </row>
    <row r="347" spans="1:7" ht="15.75" thickBot="1" x14ac:dyDescent="0.3">
      <c r="A347" s="68">
        <v>200603</v>
      </c>
      <c r="B347" s="70">
        <v>-6929928.8977651848</v>
      </c>
      <c r="C347" s="70">
        <v>-13025451.307201182</v>
      </c>
      <c r="D347" s="70">
        <v>14792995.87669914</v>
      </c>
      <c r="E347" s="54">
        <f>IF(B347&lt;&gt;"",hddtohms(getlatitude(B347,C347,D347)),"")</f>
        <v>45.160348430206732</v>
      </c>
      <c r="F347" s="54">
        <f>IF(B347&lt;&gt;"",hddtohms(-GetLongitude(B347,C347,D347)),"")</f>
        <v>118.00515173949918</v>
      </c>
      <c r="G347" s="59">
        <f t="shared" si="5"/>
        <v>2651.6846450681132</v>
      </c>
    </row>
    <row r="348" spans="1:7" ht="15.75" thickBot="1" x14ac:dyDescent="0.3">
      <c r="A348" s="68">
        <v>200604</v>
      </c>
      <c r="B348" s="70">
        <v>-6927566.4994680798</v>
      </c>
      <c r="C348" s="70">
        <v>-13026702.248332666</v>
      </c>
      <c r="D348" s="70">
        <v>14792997.149176013</v>
      </c>
      <c r="E348" s="54">
        <f>IF(B348&lt;&gt;"",hddtohms(getlatitude(B348,C348,D348)),"")</f>
        <v>45.160352813021916</v>
      </c>
      <c r="F348" s="54">
        <f>IF(B348&lt;&gt;"",hddtohms(-GetLongitude(B348,C348,D348)),"")</f>
        <v>118.00141464819187</v>
      </c>
      <c r="G348" s="59">
        <f t="shared" si="5"/>
        <v>2649.077478375646</v>
      </c>
    </row>
    <row r="349" spans="1:7" ht="15.75" thickBot="1" x14ac:dyDescent="0.3">
      <c r="A349" s="68">
        <v>200605</v>
      </c>
      <c r="B349" s="70">
        <v>-6930828.6972217103</v>
      </c>
      <c r="C349" s="70">
        <v>-13027107.188156907</v>
      </c>
      <c r="D349" s="70">
        <v>14791133.766742375</v>
      </c>
      <c r="E349" s="54">
        <f>IF(B349&lt;&gt;"",hddtohms(getlatitude(B349,C349,D349)),"")</f>
        <v>45.153733057302922</v>
      </c>
      <c r="F349" s="54">
        <f>IF(B349&lt;&gt;"",hddtohms(-GetLongitude(B349,C349,D349)),"")</f>
        <v>118.00517496592477</v>
      </c>
      <c r="G349" s="59">
        <f t="shared" si="5"/>
        <v>2655.3030624171624</v>
      </c>
    </row>
    <row r="350" spans="1:7" ht="15.75" thickBot="1" x14ac:dyDescent="0.3">
      <c r="A350" s="68">
        <v>200606</v>
      </c>
      <c r="B350" s="70">
        <v>-6931736.0908027384</v>
      </c>
      <c r="C350" s="70">
        <v>-13028778.148305481</v>
      </c>
      <c r="D350" s="70">
        <v>14789288.756170424</v>
      </c>
      <c r="E350" s="54">
        <f>IF(B350&lt;&gt;"",hddtohms(getlatitude(B350,C350,D350)),"")</f>
        <v>45.151117730867007</v>
      </c>
      <c r="F350" s="54">
        <f>IF(B350&lt;&gt;"",hddtohms(-GetLongitude(B350,C350,D350)),"")</f>
        <v>118.00519765769897</v>
      </c>
      <c r="G350" s="59">
        <f t="shared" si="5"/>
        <v>2683.2844045979109</v>
      </c>
    </row>
    <row r="351" spans="1:7" ht="15.75" thickBot="1" x14ac:dyDescent="0.3">
      <c r="A351" s="68">
        <v>200607</v>
      </c>
      <c r="B351" s="70">
        <v>-6929370.3776019942</v>
      </c>
      <c r="C351" s="70">
        <v>-13030027.671239058</v>
      </c>
      <c r="D351" s="70">
        <v>14789286.194551932</v>
      </c>
      <c r="E351" s="54">
        <f>IF(B351&lt;&gt;"",hddtohms(getlatitude(B351,C351,D351)),"")</f>
        <v>45.151121421895304</v>
      </c>
      <c r="F351" s="54">
        <f>IF(B351&lt;&gt;"",hddtohms(-GetLongitude(B351,C351,D351)),"")</f>
        <v>118.00145836515793</v>
      </c>
      <c r="G351" s="59">
        <f t="shared" si="5"/>
        <v>2675.971621144774</v>
      </c>
    </row>
    <row r="352" spans="1:7" ht="15.75" thickBot="1" x14ac:dyDescent="0.3">
      <c r="A352" s="68">
        <v>200608</v>
      </c>
      <c r="B352" s="70">
        <v>-6927002.1755934171</v>
      </c>
      <c r="C352" s="70">
        <v>-13031272.049575103</v>
      </c>
      <c r="D352" s="70">
        <v>14789278.376838343</v>
      </c>
      <c r="E352" s="54">
        <f>IF(B352&lt;&gt;"",hddtohms(getlatitude(B352,C352,D352)),"")</f>
        <v>45.151125124133962</v>
      </c>
      <c r="F352" s="54">
        <f>IF(B352&lt;&gt;"",hddtohms(-GetLongitude(B352,C352,D352)),"")</f>
        <v>117.59371937224873</v>
      </c>
      <c r="G352" s="59">
        <f t="shared" si="5"/>
        <v>2661.2469665094795</v>
      </c>
    </row>
    <row r="353" spans="1:7" ht="15.75" thickBot="1" x14ac:dyDescent="0.3">
      <c r="A353" s="68">
        <v>200609</v>
      </c>
      <c r="B353" s="70">
        <v>-6933530.0510390308</v>
      </c>
      <c r="C353" s="70">
        <v>-13032175.491504578</v>
      </c>
      <c r="D353" s="70">
        <v>14785629.361427929</v>
      </c>
      <c r="E353" s="54">
        <f>IF(B353&lt;&gt;"",hddtohms(getlatitude(B353,C353,D353)),"")</f>
        <v>45.141880938831328</v>
      </c>
      <c r="F353" s="54">
        <f>IF(B353&lt;&gt;"",hddtohms(-GetLongitude(B353,C353,D353)),"")</f>
        <v>118.00518095837187</v>
      </c>
      <c r="G353" s="59">
        <f t="shared" si="5"/>
        <v>2789.5663371326173</v>
      </c>
    </row>
    <row r="354" spans="1:7" ht="15.75" thickBot="1" x14ac:dyDescent="0.3">
      <c r="A354" s="68">
        <v>200610</v>
      </c>
      <c r="B354" s="70">
        <v>-6936411.2829863438</v>
      </c>
      <c r="C354" s="70">
        <v>-13026273.759673242</v>
      </c>
      <c r="D354" s="70">
        <v>14789260.901372971</v>
      </c>
      <c r="E354" s="54">
        <f>IF(B354&lt;&gt;"",hddtohms(getlatitude(B354,C354,D354)),"")</f>
        <v>45.151108247960778</v>
      </c>
      <c r="F354" s="54">
        <f>IF(B354&lt;&gt;"",hddtohms(-GetLongitude(B354,C354,D354)),"")</f>
        <v>118.02061036678144</v>
      </c>
      <c r="G354" s="59">
        <f t="shared" si="5"/>
        <v>2653.5860192833588</v>
      </c>
    </row>
    <row r="355" spans="1:7" ht="15.75" thickBot="1" x14ac:dyDescent="0.3">
      <c r="A355" s="68">
        <v>200611</v>
      </c>
      <c r="B355" s="70">
        <v>-6937349.0279246625</v>
      </c>
      <c r="C355" s="70">
        <v>-13028049.119684327</v>
      </c>
      <c r="D355" s="70">
        <v>14787514.256523661</v>
      </c>
      <c r="E355" s="54">
        <f>IF(B355&lt;&gt;"",hddtohms(getlatitude(B355,C355,D355)),"")</f>
        <v>45.144486685402718</v>
      </c>
      <c r="F355" s="54">
        <f>IF(B355&lt;&gt;"",hddtohms(-GetLongitude(B355,C355,D355)),"")</f>
        <v>118.02060096340659</v>
      </c>
      <c r="G355" s="59">
        <f t="shared" si="5"/>
        <v>2826.6846845017553</v>
      </c>
    </row>
    <row r="356" spans="1:7" ht="15.75" thickBot="1" x14ac:dyDescent="0.3">
      <c r="A356" s="68">
        <v>200612</v>
      </c>
      <c r="B356" s="70">
        <v>-6972682.9253261201</v>
      </c>
      <c r="C356" s="70">
        <v>-12981294.455490831</v>
      </c>
      <c r="D356" s="70">
        <v>14811975.764780218</v>
      </c>
      <c r="E356" s="54">
        <f>IF(B356&lt;&gt;"",hddtohms(getlatitude(B356,C356,D356)),"")</f>
        <v>45.202709403154707</v>
      </c>
      <c r="F356" s="54">
        <f>IF(B356&lt;&gt;"",hddtohms(-GetLongitude(B356,C356,D356)),"")</f>
        <v>118.14301822049066</v>
      </c>
      <c r="G356" s="59">
        <f t="shared" si="5"/>
        <v>2930.7853743171981</v>
      </c>
    </row>
    <row r="357" spans="1:7" ht="15.75" thickBot="1" x14ac:dyDescent="0.3">
      <c r="A357" s="68">
        <v>200613</v>
      </c>
      <c r="B357" s="70">
        <v>-6972140.0432756413</v>
      </c>
      <c r="C357" s="70">
        <v>-12986070.167986067</v>
      </c>
      <c r="D357" s="70">
        <v>14808452.964626485</v>
      </c>
      <c r="E357" s="54">
        <f>IF(B357&lt;&gt;"",hddtohms(getlatitude(B357,C357,D357)),"")</f>
        <v>45.193491102602678</v>
      </c>
      <c r="F357" s="54">
        <f>IF(B357&lt;&gt;"",hddtohms(-GetLongitude(B357,C357,D357)),"")</f>
        <v>118.13518650026045</v>
      </c>
      <c r="G357" s="59">
        <f t="shared" si="5"/>
        <v>3202.4929529236051</v>
      </c>
    </row>
    <row r="358" spans="1:7" ht="15.75" thickBot="1" x14ac:dyDescent="0.3">
      <c r="A358" s="68">
        <v>200614</v>
      </c>
      <c r="B358" s="70">
        <v>-6974518.7610529717</v>
      </c>
      <c r="C358" s="70">
        <v>-12984665.11347327</v>
      </c>
      <c r="D358" s="70">
        <v>14808339.191094479</v>
      </c>
      <c r="E358" s="54">
        <f>IF(B358&lt;&gt;"",hddtohms(getlatitude(B358,C358,D358)),"")</f>
        <v>45.193491084514697</v>
      </c>
      <c r="F358" s="54">
        <f>IF(B358&lt;&gt;"",hddtohms(-GetLongitude(B358,C358,D358)),"")</f>
        <v>118.14304946520637</v>
      </c>
      <c r="G358" s="59">
        <f t="shared" si="5"/>
        <v>3042.5197211532632</v>
      </c>
    </row>
    <row r="359" spans="1:7" ht="15.75" thickBot="1" x14ac:dyDescent="0.3">
      <c r="A359" s="68">
        <v>200615</v>
      </c>
      <c r="B359" s="70">
        <v>-6919569.571985675</v>
      </c>
      <c r="C359" s="70">
        <v>-12994626.642911479</v>
      </c>
      <c r="D359" s="70">
        <v>14824724.445809906</v>
      </c>
      <c r="E359" s="54">
        <f>IF(B359&lt;&gt;"",hddtohms(getlatitude(B359,C359,D359)),"")</f>
        <v>45.232888771664499</v>
      </c>
      <c r="F359" s="54">
        <f>IF(B359&lt;&gt;"",hddtohms(-GetLongitude(B359,C359,D359)),"")</f>
        <v>118.02062296278494</v>
      </c>
      <c r="G359" s="59">
        <f t="shared" si="5"/>
        <v>2664.295342732883</v>
      </c>
    </row>
    <row r="360" spans="1:7" ht="15.75" thickBot="1" x14ac:dyDescent="0.3">
      <c r="A360" s="68">
        <v>200616</v>
      </c>
      <c r="B360" s="70">
        <v>-6922797.8787587965</v>
      </c>
      <c r="C360" s="70">
        <v>-12995059.937048305</v>
      </c>
      <c r="D360" s="70">
        <v>14822850.050707815</v>
      </c>
      <c r="E360" s="54">
        <f>IF(B360&lt;&gt;"",hddtohms(getlatitude(B360,C360,D360)),"")</f>
        <v>45.23025401677355</v>
      </c>
      <c r="F360" s="54">
        <f>IF(B360&lt;&gt;"",hddtohms(-GetLongitude(B360,C360,D360)),"")</f>
        <v>118.02432945480335</v>
      </c>
      <c r="G360" s="59">
        <f t="shared" ref="G360:G423" si="6">IF(B360&lt;&gt;"",GetHeight(B360,C360,D360),"")</f>
        <v>2664.3631859654997</v>
      </c>
    </row>
    <row r="361" spans="1:7" ht="15.75" thickBot="1" x14ac:dyDescent="0.3">
      <c r="A361" s="68">
        <v>200617</v>
      </c>
      <c r="B361" s="70">
        <v>-6921027.4565444635</v>
      </c>
      <c r="C361" s="70">
        <v>-12991723.217028892</v>
      </c>
      <c r="D361" s="70">
        <v>14826600.178389123</v>
      </c>
      <c r="E361" s="54">
        <f>IF(B361&lt;&gt;"",hddtohms(getlatitude(B361,C361,D361)),"")</f>
        <v>45.235508456239621</v>
      </c>
      <c r="F361" s="54">
        <f>IF(B361&lt;&gt;"",hddtohms(-GetLongitude(B361,C361,D361)),"")</f>
        <v>118.0243382763034</v>
      </c>
      <c r="G361" s="59">
        <f t="shared" si="6"/>
        <v>2681.4986304547092</v>
      </c>
    </row>
    <row r="362" spans="1:7" ht="15.75" thickBot="1" x14ac:dyDescent="0.3">
      <c r="A362" s="68">
        <v>200618</v>
      </c>
      <c r="B362" s="70">
        <v>-6935894.4591425722</v>
      </c>
      <c r="C362" s="70">
        <v>-13030926.470872087</v>
      </c>
      <c r="D362" s="70">
        <v>14785634.03684693</v>
      </c>
      <c r="E362" s="54">
        <f>IF(B362&lt;&gt;"",hddtohms(getlatitude(B362,C362,D362)),"")</f>
        <v>45.141878499646943</v>
      </c>
      <c r="F362" s="54">
        <f>IF(B362&lt;&gt;"",hddtohms(-GetLongitude(B362,C362,D362)),"")</f>
        <v>118.01291733412899</v>
      </c>
      <c r="G362" s="59">
        <f t="shared" si="6"/>
        <v>2798.6013536757509</v>
      </c>
    </row>
    <row r="363" spans="1:7" ht="15.75" thickBot="1" x14ac:dyDescent="0.3">
      <c r="A363" s="68">
        <v>200701</v>
      </c>
      <c r="B363" s="70">
        <v>-6904724.5597473541</v>
      </c>
      <c r="C363" s="70">
        <v>-13000372.212527381</v>
      </c>
      <c r="D363" s="70">
        <v>14826640.157009134</v>
      </c>
      <c r="E363" s="54">
        <f>IF(B363&lt;&gt;"",hddtohms(getlatitude(B363,C363,D363)),"")</f>
        <v>45.235550356321518</v>
      </c>
      <c r="F363" s="54">
        <f>IF(B363&lt;&gt;"",hddtohms(-GetLongitude(B363,C363,D363)),"")</f>
        <v>117.58247842927872</v>
      </c>
      <c r="G363" s="59">
        <f t="shared" si="6"/>
        <v>2695.7896591556455</v>
      </c>
    </row>
    <row r="364" spans="1:7" ht="15.75" thickBot="1" x14ac:dyDescent="0.3">
      <c r="A364" s="68">
        <v>200702</v>
      </c>
      <c r="B364" s="70">
        <v>-6893415.0727754422</v>
      </c>
      <c r="C364" s="70">
        <v>-12985007.815175096</v>
      </c>
      <c r="D364" s="70">
        <v>14845205.906231554</v>
      </c>
      <c r="E364" s="54">
        <f>IF(B364&lt;&gt;"",hddtohms(getlatitude(B364,C364,D364)),"")</f>
        <v>45.281685295082603</v>
      </c>
      <c r="F364" s="54">
        <f>IF(B364&lt;&gt;"",hddtohms(-GetLongitude(B364,C364,D364)),"")</f>
        <v>117.57457624314625</v>
      </c>
      <c r="G364" s="59">
        <f t="shared" si="6"/>
        <v>2678.9189027463835</v>
      </c>
    </row>
    <row r="365" spans="1:7" ht="15.75" thickBot="1" x14ac:dyDescent="0.3">
      <c r="A365" s="68">
        <v>200703</v>
      </c>
      <c r="B365" s="70">
        <v>-6896638.7364805285</v>
      </c>
      <c r="C365" s="70">
        <v>-12985448.016317321</v>
      </c>
      <c r="D365" s="70">
        <v>14843358.168424448</v>
      </c>
      <c r="E365" s="54">
        <f>IF(B365&lt;&gt;"",hddtohms(getlatitude(B365,C365,D365)),"")</f>
        <v>45.275068629203929</v>
      </c>
      <c r="F365" s="54">
        <f>IF(B365&lt;&gt;"",hddtohms(-GetLongitude(B365,C365,D365)),"")</f>
        <v>117.58228103723339</v>
      </c>
      <c r="G365" s="59">
        <f t="shared" si="6"/>
        <v>2694.6692069287128</v>
      </c>
    </row>
    <row r="366" spans="1:7" ht="15.75" thickBot="1" x14ac:dyDescent="0.3">
      <c r="A366" s="68">
        <v>200704</v>
      </c>
      <c r="B366" s="70">
        <v>-6900980.6323434077</v>
      </c>
      <c r="C366" s="70">
        <v>-12976673.485498089</v>
      </c>
      <c r="D366" s="70">
        <v>14848903.315729102</v>
      </c>
      <c r="E366" s="54">
        <f>IF(B366&lt;&gt;"",hddtohms(getlatitude(B366,C366,D366)),"")</f>
        <v>45.290926172006493</v>
      </c>
      <c r="F366" s="54">
        <f>IF(B366&lt;&gt;"",hddtohms(-GetLongitude(B366,C366,D366)),"")</f>
        <v>118.00143856159941</v>
      </c>
      <c r="G366" s="59">
        <f t="shared" si="6"/>
        <v>2643.625939938951</v>
      </c>
    </row>
    <row r="367" spans="1:7" ht="15.75" thickBot="1" x14ac:dyDescent="0.3">
      <c r="A367" s="68">
        <v>200705</v>
      </c>
      <c r="B367" s="70">
        <v>-6910436.5711288732</v>
      </c>
      <c r="C367" s="70">
        <v>-12971787.194634011</v>
      </c>
      <c r="D367" s="70">
        <v>14848917.143690253</v>
      </c>
      <c r="E367" s="54">
        <f>IF(B367&lt;&gt;"",hddtohms(getlatitude(B367,C367,D367)),"")</f>
        <v>45.290844548486533</v>
      </c>
      <c r="F367" s="54">
        <f>IF(B367&lt;&gt;"",hddtohms(-GetLongitude(B367,C367,D367)),"")</f>
        <v>118.02437487681975</v>
      </c>
      <c r="G367" s="59">
        <f t="shared" si="6"/>
        <v>2744.3130149437766</v>
      </c>
    </row>
    <row r="368" spans="1:7" ht="15.75" thickBot="1" x14ac:dyDescent="0.3">
      <c r="A368" s="68">
        <v>200706</v>
      </c>
      <c r="B368" s="70">
        <v>-6914575.6667132089</v>
      </c>
      <c r="C368" s="70">
        <v>-12974011.325787744</v>
      </c>
      <c r="D368" s="70">
        <v>14845248.285077374</v>
      </c>
      <c r="E368" s="54">
        <f>IF(B368&lt;&gt;"",hddtohms(getlatitude(B368,C368,D368)),"")</f>
        <v>45.281553620756704</v>
      </c>
      <c r="F368" s="54">
        <f>IF(B368&lt;&gt;"",hddtohms(-GetLongitude(B368,C368,D368)),"")</f>
        <v>118.03203299893677</v>
      </c>
      <c r="G368" s="59">
        <f t="shared" si="6"/>
        <v>2869.5764949073873</v>
      </c>
    </row>
    <row r="369" spans="1:7" ht="15.75" thickBot="1" x14ac:dyDescent="0.3">
      <c r="A369" s="68">
        <v>200707</v>
      </c>
      <c r="B369" s="70">
        <v>-6912184.7074197922</v>
      </c>
      <c r="C369" s="70">
        <v>-12975171.323660146</v>
      </c>
      <c r="D369" s="70">
        <v>14845205.304910673</v>
      </c>
      <c r="E369" s="54">
        <f>IF(B369&lt;&gt;"",hddtohms(getlatitude(B369,C369,D369)),"")</f>
        <v>45.281594669939338</v>
      </c>
      <c r="F369" s="54">
        <f>IF(B369&lt;&gt;"",hddtohms(-GetLongitude(B369,C369,D369)),"")</f>
        <v>118.02430716246958</v>
      </c>
      <c r="G369" s="59">
        <f t="shared" si="6"/>
        <v>2768.381745393599</v>
      </c>
    </row>
    <row r="370" spans="1:7" ht="15.75" thickBot="1" x14ac:dyDescent="0.3">
      <c r="A370" s="68">
        <v>200708</v>
      </c>
      <c r="B370" s="70">
        <v>-6915468.8852826022</v>
      </c>
      <c r="C370" s="70">
        <v>-12975690.084439969</v>
      </c>
      <c r="D370" s="70">
        <v>14843381.078724807</v>
      </c>
      <c r="E370" s="54">
        <f>IF(B370&lt;&gt;"",hddtohms(getlatitude(B370,C370,D370)),"")</f>
        <v>45.274922806965485</v>
      </c>
      <c r="F370" s="54">
        <f>IF(B370&lt;&gt;"",hddtohms(-GetLongitude(B370,C370,D370)),"")</f>
        <v>118.03203115962367</v>
      </c>
      <c r="G370" s="59">
        <f t="shared" si="6"/>
        <v>2872.1568436306752</v>
      </c>
    </row>
    <row r="371" spans="1:7" ht="15.75" thickBot="1" x14ac:dyDescent="0.3">
      <c r="A371" s="68">
        <v>200709</v>
      </c>
      <c r="B371" s="70">
        <v>-6922325.2812205637</v>
      </c>
      <c r="C371" s="70">
        <v>-12982970.191442747</v>
      </c>
      <c r="D371" s="70">
        <v>14834259.33866792</v>
      </c>
      <c r="E371" s="54">
        <f>IF(B371&lt;&gt;"",hddtohms(getlatitude(B371,C371,D371)),"")</f>
        <v>45.253817554877578</v>
      </c>
      <c r="F371" s="54">
        <f>IF(B371&lt;&gt;"",hddtohms(-GetLongitude(B371,C371,D371)),"")</f>
        <v>118.03571350833825</v>
      </c>
      <c r="G371" s="59">
        <f t="shared" si="6"/>
        <v>3142.2182450660002</v>
      </c>
    </row>
    <row r="372" spans="1:7" ht="15.75" thickBot="1" x14ac:dyDescent="0.3">
      <c r="A372" s="68">
        <v>200710</v>
      </c>
      <c r="B372" s="70">
        <v>-6924242.3721524682</v>
      </c>
      <c r="C372" s="70">
        <v>-12992182.922568757</v>
      </c>
      <c r="D372" s="70">
        <v>14824738.744591566</v>
      </c>
      <c r="E372" s="54">
        <f>IF(B372&lt;&gt;"",hddtohms(getlatitude(B372,C372,D372)),"")</f>
        <v>45.232870403325656</v>
      </c>
      <c r="F372" s="54">
        <f>IF(B372&lt;&gt;"",hddtohms(-GetLongitude(B372,C372,D372)),"")</f>
        <v>118.0320108003845</v>
      </c>
      <c r="G372" s="59">
        <f t="shared" si="6"/>
        <v>2702.734711606854</v>
      </c>
    </row>
    <row r="373" spans="1:7" ht="15.75" thickBot="1" x14ac:dyDescent="0.3">
      <c r="A373" s="68">
        <v>200711</v>
      </c>
      <c r="B373" s="70">
        <v>-6909795.8631321676</v>
      </c>
      <c r="C373" s="70">
        <v>-12976335.073630579</v>
      </c>
      <c r="D373" s="70">
        <v>14845166.33824005</v>
      </c>
      <c r="E373" s="54">
        <f>IF(B373&lt;&gt;"",hddtohms(getlatitude(B373,C373,D373)),"")</f>
        <v>45.281635130075607</v>
      </c>
      <c r="F373" s="54">
        <f>IF(B373&lt;&gt;"",hddtohms(-GetLongitude(B373,C373,D373)),"")</f>
        <v>118.02058142007459</v>
      </c>
      <c r="G373" s="59">
        <f t="shared" si="6"/>
        <v>2673.4042780291784</v>
      </c>
    </row>
    <row r="374" spans="1:7" ht="15.75" thickBot="1" x14ac:dyDescent="0.3">
      <c r="A374" s="68">
        <v>200712</v>
      </c>
      <c r="B374" s="70">
        <v>-6907463.6616833834</v>
      </c>
      <c r="C374" s="70">
        <v>-12977538.214254726</v>
      </c>
      <c r="D374" s="70">
        <v>14845157.945498627</v>
      </c>
      <c r="E374" s="54">
        <f>IF(B374&lt;&gt;"",hddtohms(getlatitude(B374,C374,D374)),"")</f>
        <v>45.281653218250248</v>
      </c>
      <c r="F374" s="54">
        <f>IF(B374&lt;&gt;"",hddtohms(-GetLongitude(B374,C374,D374)),"")</f>
        <v>118.01289981568937</v>
      </c>
      <c r="G374" s="59">
        <f t="shared" si="6"/>
        <v>2643.6070969035682</v>
      </c>
    </row>
    <row r="375" spans="1:7" ht="15.75" thickBot="1" x14ac:dyDescent="0.3">
      <c r="A375" s="68">
        <v>200713</v>
      </c>
      <c r="B375" s="70">
        <v>-6905139.4992588824</v>
      </c>
      <c r="C375" s="70">
        <v>-12978756.40117142</v>
      </c>
      <c r="D375" s="70">
        <v>14845166.592341617</v>
      </c>
      <c r="E375" s="54">
        <f>IF(B375&lt;&gt;"",hddtohms(getlatitude(B375,C375,D375)),"")</f>
        <v>45.281670767392619</v>
      </c>
      <c r="F375" s="54">
        <f>IF(B375&lt;&gt;"",hddtohms(-GetLongitude(B375,C375,D375)),"")</f>
        <v>118.00521823638486</v>
      </c>
      <c r="G375" s="59">
        <f t="shared" si="6"/>
        <v>2638.2489246471978</v>
      </c>
    </row>
    <row r="376" spans="1:7" ht="15.75" thickBot="1" x14ac:dyDescent="0.3">
      <c r="A376" s="68">
        <v>200714</v>
      </c>
      <c r="B376" s="70">
        <v>-6913950.5820022188</v>
      </c>
      <c r="C376" s="70">
        <v>-12978489.595984967</v>
      </c>
      <c r="D376" s="70">
        <v>14841433.8036435</v>
      </c>
      <c r="E376" s="54">
        <f>IF(B376&lt;&gt;"",hddtohms(getlatitude(B376,C376,D376)),"")</f>
        <v>45.272338503449554</v>
      </c>
      <c r="F376" s="54">
        <f>IF(B376&lt;&gt;"",hddtohms(-GetLongitude(B376,C376,D376)),"")</f>
        <v>118.02430487397615</v>
      </c>
      <c r="G376" s="59">
        <f t="shared" si="6"/>
        <v>2716.360884532678</v>
      </c>
    </row>
    <row r="377" spans="1:7" ht="15.75" thickBot="1" x14ac:dyDescent="0.3">
      <c r="A377" s="68">
        <v>200715</v>
      </c>
      <c r="B377" s="70">
        <v>-6912810.3967325892</v>
      </c>
      <c r="C377" s="70">
        <v>-12970625.655374886</v>
      </c>
      <c r="D377" s="70">
        <v>14848966.313171819</v>
      </c>
      <c r="E377" s="54">
        <f>IF(B377&lt;&gt;"",hddtohms(getlatitude(B377,C377,D377)),"")</f>
        <v>45.290814381229431</v>
      </c>
      <c r="F377" s="54">
        <f>IF(B377&lt;&gt;"",hddtohms(-GetLongitude(B377,C377,D377)),"")</f>
        <v>118.03208147623246</v>
      </c>
      <c r="G377" s="59">
        <f t="shared" si="6"/>
        <v>2843.3133787556581</v>
      </c>
    </row>
    <row r="378" spans="1:7" ht="15.75" thickBot="1" x14ac:dyDescent="0.3">
      <c r="A378" s="68">
        <v>200716</v>
      </c>
      <c r="B378" s="70">
        <v>-6910687.0571938287</v>
      </c>
      <c r="C378" s="70">
        <v>-12978009.941784449</v>
      </c>
      <c r="D378" s="70">
        <v>14843293.238891929</v>
      </c>
      <c r="E378" s="54">
        <f>IF(B378&lt;&gt;"",hddtohms(getlatitude(B378,C378,D378)),"")</f>
        <v>45.275003297303364</v>
      </c>
      <c r="F378" s="54">
        <f>IF(B378&lt;&gt;"",hddtohms(-GetLongitude(B378,C378,D378)),"")</f>
        <v>118.02058060284543</v>
      </c>
      <c r="G378" s="59">
        <f t="shared" si="6"/>
        <v>2668.6979342190025</v>
      </c>
    </row>
    <row r="379" spans="1:7" ht="15.75" thickBot="1" x14ac:dyDescent="0.3">
      <c r="A379" s="68">
        <v>200717</v>
      </c>
      <c r="B379" s="70">
        <v>-6911575.2740455</v>
      </c>
      <c r="C379" s="70">
        <v>-12979678.917441053</v>
      </c>
      <c r="D379" s="70">
        <v>14841413.025249885</v>
      </c>
      <c r="E379" s="54">
        <f>IF(B379&lt;&gt;"",hddtohms(getlatitude(B379,C379,D379)),"")</f>
        <v>45.272371177589328</v>
      </c>
      <c r="F379" s="54">
        <f>IF(B379&lt;&gt;"",hddtohms(-GetLongitude(B379,C379,D379)),"")</f>
        <v>118.02057998453628</v>
      </c>
      <c r="G379" s="59">
        <f t="shared" si="6"/>
        <v>2654.6314278007285</v>
      </c>
    </row>
    <row r="380" spans="1:7" ht="15.75" thickBot="1" x14ac:dyDescent="0.3">
      <c r="A380" s="68">
        <v>200718</v>
      </c>
      <c r="B380" s="70">
        <v>-6913408.5719687659</v>
      </c>
      <c r="C380" s="70">
        <v>-12966099.514902631</v>
      </c>
      <c r="D380" s="70">
        <v>14852728.683955919</v>
      </c>
      <c r="E380" s="54">
        <f>IF(B380&lt;&gt;"",hddtohms(getlatitude(B380,C380,D380)),"")</f>
        <v>45.30003161959727</v>
      </c>
      <c r="F380" s="54">
        <f>IF(B380&lt;&gt;"",hddtohms(-GetLongitude(B380,C380,D380)),"")</f>
        <v>118.03581072205152</v>
      </c>
      <c r="G380" s="59">
        <f t="shared" si="6"/>
        <v>2923.9043156618827</v>
      </c>
    </row>
    <row r="381" spans="1:7" ht="15.75" thickBot="1" x14ac:dyDescent="0.3">
      <c r="A381" s="68">
        <v>200719</v>
      </c>
      <c r="B381" s="70">
        <v>-6911034.8707597014</v>
      </c>
      <c r="C381" s="70">
        <v>-12967247.782466488</v>
      </c>
      <c r="D381" s="70">
        <v>14852683.463175172</v>
      </c>
      <c r="E381" s="54">
        <f>IF(B381&lt;&gt;"",hddtohms(getlatitude(B381,C381,D381)),"")</f>
        <v>45.300073084813917</v>
      </c>
      <c r="F381" s="54">
        <f>IF(B381&lt;&gt;"",hddtohms(-GetLongitude(B381,C381,D381)),"")</f>
        <v>118.03211212563454</v>
      </c>
      <c r="G381" s="59">
        <f t="shared" si="6"/>
        <v>2819.2253411208512</v>
      </c>
    </row>
    <row r="382" spans="1:7" ht="15.75" thickBot="1" x14ac:dyDescent="0.3">
      <c r="A382" s="68">
        <v>200720</v>
      </c>
      <c r="B382" s="70">
        <v>-6875295.1889615972</v>
      </c>
      <c r="C382" s="70">
        <v>-12956296.880241616</v>
      </c>
      <c r="D382" s="70">
        <v>14878669.029049389</v>
      </c>
      <c r="E382" s="54">
        <f>IF(B382&lt;&gt;"",hddtohms(getlatitude(B382,C382,D382)),"")</f>
        <v>45.36067508584118</v>
      </c>
      <c r="F382" s="54">
        <f>IF(B382&lt;&gt;"",hddtohms(-GetLongitude(B382,C382,D382)),"")</f>
        <v>117.57100153667501</v>
      </c>
      <c r="G382" s="59">
        <f t="shared" si="6"/>
        <v>2847.5330079910891</v>
      </c>
    </row>
    <row r="383" spans="1:7" ht="15.75" thickBot="1" x14ac:dyDescent="0.3">
      <c r="A383" s="68">
        <v>200721</v>
      </c>
      <c r="B383" s="70">
        <v>-6933073.1389065599</v>
      </c>
      <c r="C383" s="70">
        <v>-13008844.976702642</v>
      </c>
      <c r="D383" s="70">
        <v>14806081.799079774</v>
      </c>
      <c r="E383" s="54">
        <f>IF(B383&lt;&gt;"",hddtohms(getlatitude(B383,C383,D383)),"")</f>
        <v>45.190683415678102</v>
      </c>
      <c r="F383" s="54">
        <f>IF(B383&lt;&gt;"",hddtohms(-GetLongitude(B383,C383,D383)),"")</f>
        <v>118.031949861358</v>
      </c>
      <c r="G383" s="59">
        <f t="shared" si="6"/>
        <v>2680.2054875663252</v>
      </c>
    </row>
    <row r="384" spans="1:7" ht="15.75" thickBot="1" x14ac:dyDescent="0.3">
      <c r="A384" s="68">
        <v>200722</v>
      </c>
      <c r="B384" s="70">
        <v>-6872183.8804167099</v>
      </c>
      <c r="C384" s="70">
        <v>-13052311.264788363</v>
      </c>
      <c r="D384" s="70">
        <v>14797401.298802031</v>
      </c>
      <c r="E384" s="54">
        <f>IF(B384&lt;&gt;"",hddtohms(getlatitude(B384,C384,D384)),"")</f>
        <v>45.165704061689205</v>
      </c>
      <c r="F384" s="54">
        <f>IF(B384&lt;&gt;"",hddtohms(-GetLongitude(B384,C384,D384)),"")</f>
        <v>117.46022549029051</v>
      </c>
      <c r="G384" s="59">
        <f t="shared" si="6"/>
        <v>3478.8336280116073</v>
      </c>
    </row>
    <row r="385" spans="1:7" ht="15.75" thickBot="1" x14ac:dyDescent="0.3">
      <c r="A385" s="68">
        <v>200723</v>
      </c>
      <c r="B385" s="70">
        <v>-6873154.9185267799</v>
      </c>
      <c r="C385" s="70">
        <v>-13054231.488562122</v>
      </c>
      <c r="D385" s="70">
        <v>14795843.647837423</v>
      </c>
      <c r="E385" s="54">
        <f>IF(B385&lt;&gt;"",hddtohms(getlatitude(B385,C385,D385)),"")</f>
        <v>45.163113026708807</v>
      </c>
      <c r="F385" s="54">
        <f>IF(B385&lt;&gt;"",hddtohms(-GetLongitude(B385,C385,D385)),"")</f>
        <v>117.46017602961074</v>
      </c>
      <c r="G385" s="59">
        <f t="shared" si="6"/>
        <v>3885.9711442076059</v>
      </c>
    </row>
    <row r="386" spans="1:7" ht="15.75" thickBot="1" x14ac:dyDescent="0.3">
      <c r="A386" s="68">
        <v>200724</v>
      </c>
      <c r="B386" s="70">
        <v>-6928429.9132427843</v>
      </c>
      <c r="C386" s="70">
        <v>-13011318.95021409</v>
      </c>
      <c r="D386" s="70">
        <v>14806058.70896733</v>
      </c>
      <c r="E386" s="54">
        <f>IF(B386&lt;&gt;"",hddtohms(getlatitude(B386,C386,D386)),"")</f>
        <v>45.19066712306433</v>
      </c>
      <c r="F386" s="54">
        <f>IF(B386&lt;&gt;"",hddtohms(-GetLongitude(B386,C386,D386)),"")</f>
        <v>118.02058810469342</v>
      </c>
      <c r="G386" s="59">
        <f t="shared" si="6"/>
        <v>2664.0527628666387</v>
      </c>
    </row>
    <row r="387" spans="1:7" ht="15.75" thickBot="1" x14ac:dyDescent="0.3">
      <c r="A387" s="68">
        <v>200725</v>
      </c>
      <c r="B387" s="70">
        <v>-6908013.0558878146</v>
      </c>
      <c r="C387" s="70">
        <v>-12972991.246116981</v>
      </c>
      <c r="D387" s="70">
        <v>14848886.429543922</v>
      </c>
      <c r="E387" s="54">
        <f>IF(B387&lt;&gt;"",hddtohms(getlatitude(B387,C387,D387)),"")</f>
        <v>45.2908771806377</v>
      </c>
      <c r="F387" s="54">
        <f>IF(B387&lt;&gt;"",hddtohms(-GetLongitude(B387,C387,D387)),"")</f>
        <v>118.02057863850187</v>
      </c>
      <c r="G387" s="59">
        <f t="shared" si="6"/>
        <v>2668.7392975799685</v>
      </c>
    </row>
    <row r="388" spans="1:7" ht="15.75" thickBot="1" x14ac:dyDescent="0.3">
      <c r="A388" s="68">
        <v>200726</v>
      </c>
      <c r="B388" s="70">
        <v>-6908901.3749624481</v>
      </c>
      <c r="C388" s="70">
        <v>-12974654.941479694</v>
      </c>
      <c r="D388" s="70">
        <v>14847033.770893997</v>
      </c>
      <c r="E388" s="54">
        <f>IF(B388&lt;&gt;"",hddtohms(getlatitude(B388,C388,D388)),"")</f>
        <v>45.284267395856112</v>
      </c>
      <c r="F388" s="54">
        <f>IF(B388&lt;&gt;"",hddtohms(-GetLongitude(B388,C388,D388)),"")</f>
        <v>118.02058162929353</v>
      </c>
      <c r="G388" s="59">
        <f t="shared" si="6"/>
        <v>2670.0670132036284</v>
      </c>
    </row>
    <row r="389" spans="1:7" ht="15.75" thickBot="1" x14ac:dyDescent="0.3">
      <c r="A389" s="68">
        <v>200801</v>
      </c>
      <c r="B389" s="70">
        <v>-7003632.271407282</v>
      </c>
      <c r="C389" s="70">
        <v>-12948509.186148833</v>
      </c>
      <c r="D389" s="70">
        <v>14828054.402511103</v>
      </c>
      <c r="E389" s="54">
        <f>IF(B389&lt;&gt;"",hddtohms(getlatitude(B389,C389,D389)),"")</f>
        <v>45.235817855079759</v>
      </c>
      <c r="F389" s="54">
        <f>IF(B389&lt;&gt;"",hddtohms(-GetLongitude(B389,C389,D389)),"")</f>
        <v>118.24295737082153</v>
      </c>
      <c r="G389" s="59">
        <f t="shared" si="6"/>
        <v>4414.8101911408812</v>
      </c>
    </row>
    <row r="390" spans="1:7" ht="15.75" thickBot="1" x14ac:dyDescent="0.3">
      <c r="A390" s="68">
        <v>200802</v>
      </c>
      <c r="B390" s="70">
        <v>-7004526.9386839718</v>
      </c>
      <c r="C390" s="70">
        <v>-12950209.912791919</v>
      </c>
      <c r="D390" s="70">
        <v>14826179.58815592</v>
      </c>
      <c r="E390" s="54">
        <f>IF(B390&lt;&gt;"",hddtohms(getlatitude(B390,C390,D390)),"")</f>
        <v>45.233167902292692</v>
      </c>
      <c r="F390" s="54">
        <f>IF(B390&lt;&gt;"",hddtohms(-GetLongitude(B390,C390,D390)),"")</f>
        <v>118.24292628435647</v>
      </c>
      <c r="G390" s="59">
        <f t="shared" si="6"/>
        <v>4429.3217503807664</v>
      </c>
    </row>
    <row r="391" spans="1:7" ht="15.75" thickBot="1" x14ac:dyDescent="0.3">
      <c r="A391" s="68">
        <v>200803</v>
      </c>
      <c r="B391" s="70">
        <v>-7003020.9092407487</v>
      </c>
      <c r="C391" s="70">
        <v>-12953085.740902573</v>
      </c>
      <c r="D391" s="70">
        <v>14824220.463453937</v>
      </c>
      <c r="E391" s="54">
        <f>IF(B391&lt;&gt;"",hddtohms(getlatitude(B391,C391,D391)),"")</f>
        <v>45.230535586649587</v>
      </c>
      <c r="F391" s="54">
        <f>IF(B391&lt;&gt;"",hddtohms(-GetLongitude(B391,C391,D391)),"")</f>
        <v>118.23515419073014</v>
      </c>
      <c r="G391" s="59">
        <f t="shared" si="6"/>
        <v>4308.1090962496728</v>
      </c>
    </row>
    <row r="392" spans="1:7" ht="15.75" thickBot="1" x14ac:dyDescent="0.3">
      <c r="A392" s="68">
        <v>200804</v>
      </c>
      <c r="B392" s="70">
        <v>-7005408.6214223113</v>
      </c>
      <c r="C392" s="70">
        <v>-12951886.946146926</v>
      </c>
      <c r="D392" s="70">
        <v>14824277.722325664</v>
      </c>
      <c r="E392" s="54">
        <f>IF(B392&lt;&gt;"",hddtohms(getlatitude(B392,C392,D392)),"")</f>
        <v>45.23051817953467</v>
      </c>
      <c r="F392" s="54">
        <f>IF(B392&lt;&gt;"",hddtohms(-GetLongitude(B392,C392,D392)),"")</f>
        <v>118.24289499737759</v>
      </c>
      <c r="G392" s="59">
        <f t="shared" si="6"/>
        <v>4405.9463596112764</v>
      </c>
    </row>
    <row r="393" spans="1:7" ht="15.75" thickBot="1" x14ac:dyDescent="0.3">
      <c r="A393" s="68">
        <v>200805</v>
      </c>
      <c r="B393" s="70">
        <v>-7000572.1852631057</v>
      </c>
      <c r="C393" s="70">
        <v>-12954224.498823438</v>
      </c>
      <c r="D393" s="70">
        <v>14824190.148542564</v>
      </c>
      <c r="E393" s="54">
        <f>IF(B393&lt;&gt;"",hddtohms(getlatitude(B393,C393,D393)),"")</f>
        <v>45.230628828232916</v>
      </c>
      <c r="F393" s="54">
        <f>IF(B393&lt;&gt;"",hddtohms(-GetLongitude(B393,C393,D393)),"")</f>
        <v>118.23137813782968</v>
      </c>
      <c r="G393" s="59">
        <f t="shared" si="6"/>
        <v>4172.3233232387502</v>
      </c>
    </row>
    <row r="394" spans="1:7" ht="15.75" thickBot="1" x14ac:dyDescent="0.3">
      <c r="A394" s="68">
        <v>200806</v>
      </c>
      <c r="B394" s="70">
        <v>-7001307.5176871195</v>
      </c>
      <c r="C394" s="70">
        <v>-12949854.300445955</v>
      </c>
      <c r="D394" s="70">
        <v>14828184.025895838</v>
      </c>
      <c r="E394" s="54">
        <f>IF(B394&lt;&gt;"",hddtohms(getlatitude(B394,C394,D394)),"")</f>
        <v>45.235853312273122</v>
      </c>
      <c r="F394" s="54">
        <f>IF(B394&lt;&gt;"",hddtohms(-GetLongitude(B394,C394,D394)),"")</f>
        <v>118.23519569067442</v>
      </c>
      <c r="G394" s="59">
        <f t="shared" si="6"/>
        <v>4561.4367581519564</v>
      </c>
    </row>
    <row r="395" spans="1:7" ht="15.75" thickBot="1" x14ac:dyDescent="0.3">
      <c r="A395" s="68" t="s">
        <v>84</v>
      </c>
      <c r="B395" s="70">
        <v>-7001289.2656022459</v>
      </c>
      <c r="C395" s="70">
        <v>-12949858.03555849</v>
      </c>
      <c r="D395" s="70">
        <v>14828191.092610642</v>
      </c>
      <c r="E395" s="54">
        <f>IF(B395&lt;&gt;"",hddtohms(getlatitude(B395,C395,D395)),"")</f>
        <v>45.235862001757255</v>
      </c>
      <c r="F395" s="54">
        <f>IF(B395&lt;&gt;"",hddtohms(-GetLongitude(B395,C395,D395)),"")</f>
        <v>118.2351707055077</v>
      </c>
      <c r="G395" s="59">
        <f t="shared" si="6"/>
        <v>4562.6803784523108</v>
      </c>
    </row>
    <row r="396" spans="1:7" ht="15.75" thickBot="1" x14ac:dyDescent="0.3">
      <c r="A396" s="68">
        <v>200807</v>
      </c>
      <c r="B396" s="70">
        <v>-6871445.7016730951</v>
      </c>
      <c r="C396" s="70">
        <v>-13062011.444021089</v>
      </c>
      <c r="D396" s="70">
        <v>14790525.642180916</v>
      </c>
      <c r="E396" s="54">
        <f>IF(B396&lt;&gt;"",hddtohms(getlatitude(B396,C396,D396)),"")</f>
        <v>45.151148713982046</v>
      </c>
      <c r="F396" s="54">
        <f>IF(B396&lt;&gt;"",hddtohms(-GetLongitude(B396,C396,D396)),"")</f>
        <v>117.44499699380171</v>
      </c>
      <c r="G396" s="59">
        <f t="shared" si="6"/>
        <v>4393.7177931242441</v>
      </c>
    </row>
    <row r="397" spans="1:7" ht="15.75" thickBot="1" x14ac:dyDescent="0.3">
      <c r="A397" s="68">
        <v>200808</v>
      </c>
      <c r="B397" s="70">
        <v>-6992381.5729654934</v>
      </c>
      <c r="C397" s="70">
        <v>-12983947.527663438</v>
      </c>
      <c r="D397" s="70">
        <v>14800695.482651854</v>
      </c>
      <c r="E397" s="54">
        <f>IF(B397&lt;&gt;"",hddtohms(getlatitude(B397,C397,D397)),"")</f>
        <v>45.174689949796822</v>
      </c>
      <c r="F397" s="54">
        <f>IF(B397&lt;&gt;"",hddtohms(-GetLongitude(B397,C397,D397)),"")</f>
        <v>118.18153462383417</v>
      </c>
      <c r="G397" s="59">
        <f t="shared" si="6"/>
        <v>3114.2014136196813</v>
      </c>
    </row>
    <row r="398" spans="1:7" ht="15.75" thickBot="1" x14ac:dyDescent="0.3">
      <c r="A398" s="68">
        <v>200809</v>
      </c>
      <c r="B398" s="70">
        <v>-6991940.9145180909</v>
      </c>
      <c r="C398" s="70">
        <v>-12988759.947761564</v>
      </c>
      <c r="D398" s="70">
        <v>14797079.475022579</v>
      </c>
      <c r="E398" s="54">
        <f>IF(B398&lt;&gt;"",hddtohms(getlatitude(B398,C398,D398)),"")</f>
        <v>45.165352561890792</v>
      </c>
      <c r="F398" s="54">
        <f>IF(B398&lt;&gt;"",hddtohms(-GetLongitude(B398,C398,D398)),"")</f>
        <v>118.17380143922519</v>
      </c>
      <c r="G398" s="59">
        <f t="shared" si="6"/>
        <v>3378.514375361874</v>
      </c>
    </row>
    <row r="399" spans="1:7" ht="15.75" thickBot="1" x14ac:dyDescent="0.3">
      <c r="A399" s="68">
        <v>200810</v>
      </c>
      <c r="B399" s="70">
        <v>-6993863.8059363002</v>
      </c>
      <c r="C399" s="70">
        <v>-12992320.346039584</v>
      </c>
      <c r="D399" s="70">
        <v>14793534.236492882</v>
      </c>
      <c r="E399" s="54">
        <f>IF(B399&lt;&gt;"",hddtohms(getlatitude(B399,C399,D399)),"")</f>
        <v>45.160051762783603</v>
      </c>
      <c r="F399" s="54">
        <f>IF(B399&lt;&gt;"",hddtohms(-GetLongitude(B399,C399,D399)),"")</f>
        <v>118.17380919880334</v>
      </c>
      <c r="G399" s="59">
        <f t="shared" si="6"/>
        <v>3707.2465950381811</v>
      </c>
    </row>
    <row r="400" spans="1:7" ht="15.75" thickBot="1" x14ac:dyDescent="0.3">
      <c r="A400" s="68">
        <v>200811</v>
      </c>
      <c r="B400" s="70">
        <v>-6991483.9189380165</v>
      </c>
      <c r="C400" s="70">
        <v>-12993530.442182558</v>
      </c>
      <c r="D400" s="70">
        <v>14793454.174218895</v>
      </c>
      <c r="E400" s="54">
        <f>IF(B400&lt;&gt;"",hddtohms(getlatitude(B400,C400,D400)),"")</f>
        <v>45.160039819639714</v>
      </c>
      <c r="F400" s="54">
        <f>IF(B400&lt;&gt;"",hddtohms(-GetLongitude(B400,C400,D400)),"")</f>
        <v>118.17007795259889</v>
      </c>
      <c r="G400" s="59">
        <f t="shared" si="6"/>
        <v>3606.5314699357459</v>
      </c>
    </row>
    <row r="401" spans="1:7" ht="15.75" thickBot="1" x14ac:dyDescent="0.3">
      <c r="A401" s="68">
        <v>200812</v>
      </c>
      <c r="B401" s="70">
        <v>-6989576.3929756312</v>
      </c>
      <c r="C401" s="70">
        <v>-12989983.65479842</v>
      </c>
      <c r="D401" s="70">
        <v>14797052.495114846</v>
      </c>
      <c r="E401" s="54">
        <f>IF(B401&lt;&gt;"",hddtohms(getlatitude(B401,C401,D401)),"")</f>
        <v>45.165363999350198</v>
      </c>
      <c r="F401" s="54">
        <f>IF(B401&lt;&gt;"",hddtohms(-GetLongitude(B401,C401,D401)),"")</f>
        <v>118.17007907183275</v>
      </c>
      <c r="G401" s="59">
        <f t="shared" si="6"/>
        <v>3329.0722414428365</v>
      </c>
    </row>
    <row r="402" spans="1:7" ht="15.75" thickBot="1" x14ac:dyDescent="0.3">
      <c r="A402" s="68">
        <v>200813</v>
      </c>
      <c r="B402" s="70">
        <v>-6987660.7084733592</v>
      </c>
      <c r="C402" s="70">
        <v>-12986462.654118562</v>
      </c>
      <c r="D402" s="70">
        <v>14800692.031801503</v>
      </c>
      <c r="E402" s="54">
        <f>IF(B402&lt;&gt;"",hddtohms(getlatitude(B402,C402,D402)),"")</f>
        <v>45.174703706677214</v>
      </c>
      <c r="F402" s="54">
        <f>IF(B402&lt;&gt;"",hddtohms(-GetLongitude(B402,C402,D402)),"")</f>
        <v>118.17005305275214</v>
      </c>
      <c r="G402" s="59">
        <f t="shared" si="6"/>
        <v>3095.553983342521</v>
      </c>
    </row>
    <row r="403" spans="1:7" ht="15.75" thickBot="1" x14ac:dyDescent="0.3">
      <c r="A403" s="68">
        <v>200814</v>
      </c>
      <c r="B403" s="70">
        <v>-6988620.7417387925</v>
      </c>
      <c r="C403" s="70">
        <v>-12988201.084102042</v>
      </c>
      <c r="D403" s="70">
        <v>14798799.982682375</v>
      </c>
      <c r="E403" s="54">
        <f>IF(B403&lt;&gt;"",hddtohms(getlatitude(B403,C403,D403)),"")</f>
        <v>45.171996547035</v>
      </c>
      <c r="F403" s="54">
        <f>IF(B403&lt;&gt;"",hddtohms(-GetLongitude(B403,C403,D403)),"")</f>
        <v>118.17008338743472</v>
      </c>
      <c r="G403" s="59">
        <f t="shared" si="6"/>
        <v>3147.8276854029373</v>
      </c>
    </row>
    <row r="404" spans="1:7" ht="15.75" thickBot="1" x14ac:dyDescent="0.3">
      <c r="A404" s="68">
        <v>200815</v>
      </c>
      <c r="B404" s="70">
        <v>-6994411.8116824953</v>
      </c>
      <c r="C404" s="70">
        <v>-12987734.230626682</v>
      </c>
      <c r="D404" s="70">
        <v>14797333.343523776</v>
      </c>
      <c r="E404" s="54">
        <f>IF(B404&lt;&gt;"",hddtohms(getlatitude(B404,C404,D404)),"")</f>
        <v>45.165340726457082</v>
      </c>
      <c r="F404" s="54">
        <f>IF(B404&lt;&gt;"",hddtohms(-GetLongitude(B404,C404,D404)),"")</f>
        <v>118.18152347722504</v>
      </c>
      <c r="G404" s="59">
        <f t="shared" si="6"/>
        <v>3747.6597938125815</v>
      </c>
    </row>
    <row r="405" spans="1:7" ht="15.75" thickBot="1" x14ac:dyDescent="0.3">
      <c r="A405" s="68">
        <v>200816</v>
      </c>
      <c r="B405" s="70">
        <v>-6993402.2938417792</v>
      </c>
      <c r="C405" s="70">
        <v>-12985851.690889873</v>
      </c>
      <c r="D405" s="70">
        <v>14799026.945476692</v>
      </c>
      <c r="E405" s="54">
        <f>IF(B405&lt;&gt;"",hddtohms(getlatitude(B405,C405,D405)),"")</f>
        <v>45.172015461757951</v>
      </c>
      <c r="F405" s="54">
        <f>IF(B405&lt;&gt;"",hddtohms(-GetLongitude(B405,C405,D405)),"")</f>
        <v>118.18152877755486</v>
      </c>
      <c r="G405" s="59">
        <f t="shared" si="6"/>
        <v>3448.2268226462802</v>
      </c>
    </row>
    <row r="406" spans="1:7" ht="15.75" thickBot="1" x14ac:dyDescent="0.3">
      <c r="A406" s="68">
        <v>200901</v>
      </c>
      <c r="B406" s="70">
        <v>-6901127.8264993476</v>
      </c>
      <c r="C406" s="70">
        <v>-12993762.09989343</v>
      </c>
      <c r="D406" s="70">
        <v>14834057.184841484</v>
      </c>
      <c r="E406" s="54">
        <f>IF(B406&lt;&gt;"",hddtohms(getlatitude(B406,C406,D406)),"")</f>
        <v>45.25398061156455</v>
      </c>
      <c r="F406" s="54">
        <f>IF(B406&lt;&gt;"",hddtohms(-GetLongitude(B406,C406,D406)),"")</f>
        <v>117.58237196412256</v>
      </c>
      <c r="G406" s="59">
        <f t="shared" si="6"/>
        <v>2695.7074272051268</v>
      </c>
    </row>
    <row r="407" spans="1:7" ht="15.75" thickBot="1" x14ac:dyDescent="0.3">
      <c r="A407" s="68">
        <v>200902</v>
      </c>
      <c r="B407" s="70">
        <v>-6905786.821580234</v>
      </c>
      <c r="C407" s="70">
        <v>-12991319.201861504</v>
      </c>
      <c r="D407" s="70">
        <v>14834080.998433361</v>
      </c>
      <c r="E407" s="54">
        <f>IF(B407&lt;&gt;"",hddtohms(getlatitude(B407,C407,D407)),"")</f>
        <v>45.253976857037252</v>
      </c>
      <c r="F407" s="54">
        <f>IF(B407&lt;&gt;"",hddtohms(-GetLongitude(B407,C407,D407)),"")</f>
        <v>117.59374696036907</v>
      </c>
      <c r="G407" s="59">
        <f t="shared" si="6"/>
        <v>2732.8832921406756</v>
      </c>
    </row>
    <row r="408" spans="1:7" ht="15.75" thickBot="1" x14ac:dyDescent="0.3">
      <c r="A408" s="68">
        <v>200903</v>
      </c>
      <c r="B408" s="70">
        <v>-6910460.9225497404</v>
      </c>
      <c r="C408" s="70">
        <v>-12988839.286717016</v>
      </c>
      <c r="D408" s="70">
        <v>14834020.7885431</v>
      </c>
      <c r="E408" s="54">
        <f>IF(B408&lt;&gt;"",hddtohms(getlatitude(B408,C408,D408)),"")</f>
        <v>45.253931559955241</v>
      </c>
      <c r="F408" s="54">
        <f>IF(B408&lt;&gt;"",hddtohms(-GetLongitude(B408,C408,D408)),"")</f>
        <v>118.00516499820604</v>
      </c>
      <c r="G408" s="59">
        <f t="shared" si="6"/>
        <v>2693.5682169176634</v>
      </c>
    </row>
    <row r="409" spans="1:7" ht="15.75" thickBot="1" x14ac:dyDescent="0.3">
      <c r="A409" s="68">
        <v>200904</v>
      </c>
      <c r="B409" s="70">
        <v>-6902211.7536961986</v>
      </c>
      <c r="C409" s="70">
        <v>-12984648.958533594</v>
      </c>
      <c r="D409" s="70">
        <v>14841510.559550717</v>
      </c>
      <c r="E409" s="54">
        <f>IF(B409&lt;&gt;"",hddtohms(getlatitude(B409,C409,D409)),"")</f>
        <v>45.272445936757286</v>
      </c>
      <c r="F409" s="54">
        <f>IF(B409&lt;&gt;"",hddtohms(-GetLongitude(B409,C409,D409)),"")</f>
        <v>117.5937105825959</v>
      </c>
      <c r="G409" s="59">
        <f t="shared" si="6"/>
        <v>2716.9456943725691</v>
      </c>
    </row>
    <row r="410" spans="1:7" ht="15.75" thickBot="1" x14ac:dyDescent="0.3">
      <c r="A410" s="68">
        <v>200905</v>
      </c>
      <c r="B410" s="70">
        <v>-6907783.3780067386</v>
      </c>
      <c r="C410" s="70">
        <v>-12983814.106848296</v>
      </c>
      <c r="D410" s="70">
        <v>14839579.161510516</v>
      </c>
      <c r="E410" s="54">
        <f>IF(B410&lt;&gt;"",hddtohms(getlatitude(B410,C410,D410)),"")</f>
        <v>45.265786568373166</v>
      </c>
      <c r="F410" s="54">
        <f>IF(B410&lt;&gt;"",hddtohms(-GetLongitude(B410,C410,D410)),"")</f>
        <v>118.005160052113</v>
      </c>
      <c r="G410" s="59">
        <f t="shared" si="6"/>
        <v>2658.5597068385323</v>
      </c>
    </row>
    <row r="411" spans="1:7" ht="15.75" thickBot="1" x14ac:dyDescent="0.3">
      <c r="A411" s="68">
        <v>200906</v>
      </c>
      <c r="B411" s="70">
        <v>-6906889.6092215246</v>
      </c>
      <c r="C411" s="70">
        <v>-12982127.610997064</v>
      </c>
      <c r="D411" s="70">
        <v>14841435.322168352</v>
      </c>
      <c r="E411" s="54">
        <f>IF(B411&lt;&gt;"",hddtohms(getlatitude(B411,C411,D411)),"")</f>
        <v>45.272414754442302</v>
      </c>
      <c r="F411" s="54">
        <f>IF(B411&lt;&gt;"",hddtohms(-GetLongitude(B411,C411,D411)),"")</f>
        <v>118.00516438403564</v>
      </c>
      <c r="G411" s="59">
        <f t="shared" si="6"/>
        <v>2642.4703082591041</v>
      </c>
    </row>
    <row r="412" spans="1:7" ht="15.75" thickBot="1" x14ac:dyDescent="0.3">
      <c r="A412" s="68">
        <v>200907</v>
      </c>
      <c r="B412" s="70">
        <v>-6906014.0681394245</v>
      </c>
      <c r="C412" s="70">
        <v>-12980441.578234602</v>
      </c>
      <c r="D412" s="70">
        <v>14843300.296505731</v>
      </c>
      <c r="E412" s="54">
        <f>IF(B412&lt;&gt;"",hddtohms(getlatitude(B412,C412,D412)),"")</f>
        <v>45.275042731318557</v>
      </c>
      <c r="F412" s="54">
        <f>IF(B412&lt;&gt;"",hddtohms(-GetLongitude(B412,C412,D412)),"")</f>
        <v>118.00519098662112</v>
      </c>
      <c r="G412" s="59">
        <f t="shared" si="6"/>
        <v>2639.2939773578619</v>
      </c>
    </row>
    <row r="413" spans="1:7" ht="15.75" thickBot="1" x14ac:dyDescent="0.3">
      <c r="A413" s="68">
        <v>200908</v>
      </c>
      <c r="B413" s="70">
        <v>-6936343.689957168</v>
      </c>
      <c r="C413" s="70">
        <v>-13009246.741022438</v>
      </c>
      <c r="D413" s="70">
        <v>14804220.262438007</v>
      </c>
      <c r="E413" s="54">
        <f>IF(B413&lt;&gt;"",hddtohms(getlatitude(B413,C413,D413)),"")</f>
        <v>45.184062476509155</v>
      </c>
      <c r="F413" s="54">
        <f>IF(B413&lt;&gt;"",hddtohms(-GetLongitude(B413,C413,D413)),"")</f>
        <v>118.03572356503923</v>
      </c>
      <c r="G413" s="59">
        <f t="shared" si="6"/>
        <v>2687.8776748681339</v>
      </c>
    </row>
    <row r="414" spans="1:7" ht="15.75" thickBot="1" x14ac:dyDescent="0.3">
      <c r="A414" s="68">
        <v>200909</v>
      </c>
      <c r="B414" s="70">
        <v>-6941951.9269641768</v>
      </c>
      <c r="C414" s="70">
        <v>-13008550.044504801</v>
      </c>
      <c r="D414" s="70">
        <v>14802509.289770531</v>
      </c>
      <c r="E414" s="54">
        <f>IF(B414&lt;&gt;"",hddtohms(getlatitude(B414,C414,D414)),"")</f>
        <v>45.18145362198338</v>
      </c>
      <c r="F414" s="54">
        <f>IF(B414&lt;&gt;"",hddtohms(-GetLongitude(B414,C414,D414)),"")</f>
        <v>118.0511048349568</v>
      </c>
      <c r="G414" s="59">
        <f t="shared" si="6"/>
        <v>2895.5822340853574</v>
      </c>
    </row>
    <row r="415" spans="1:7" ht="15.75" thickBot="1" x14ac:dyDescent="0.3">
      <c r="A415" s="68">
        <v>200910</v>
      </c>
      <c r="B415" s="70">
        <v>-6942917.8313424168</v>
      </c>
      <c r="C415" s="70">
        <v>-13010331.84760204</v>
      </c>
      <c r="D415" s="70">
        <v>14800808.52617855</v>
      </c>
      <c r="E415" s="54">
        <f>IF(B415&lt;&gt;"",hddtohms(getlatitude(B415,C415,D415)),"")</f>
        <v>45.17485053698632</v>
      </c>
      <c r="F415" s="54">
        <f>IF(B415&lt;&gt;"",hddtohms(-GetLongitude(B415,C415,D415)),"")</f>
        <v>118.05112341067891</v>
      </c>
      <c r="G415" s="59">
        <f t="shared" si="6"/>
        <v>3112.2490781348224</v>
      </c>
    </row>
    <row r="416" spans="1:7" ht="15.75" thickBot="1" x14ac:dyDescent="0.3">
      <c r="A416" s="68">
        <v>200911</v>
      </c>
      <c r="B416" s="70">
        <v>-6938694.5438716263</v>
      </c>
      <c r="C416" s="70">
        <v>-13007995.981901143</v>
      </c>
      <c r="D416" s="70">
        <v>14804233.068367841</v>
      </c>
      <c r="E416" s="54">
        <f>IF(B416&lt;&gt;"",hddtohms(getlatitude(B416,C416,D416)),"")</f>
        <v>45.184069536927154</v>
      </c>
      <c r="F416" s="54">
        <f>IF(B416&lt;&gt;"",hddtohms(-GetLongitude(B416,C416,D416)),"")</f>
        <v>118.04344913537435</v>
      </c>
      <c r="G416" s="59">
        <f t="shared" si="6"/>
        <v>2698.8156357557855</v>
      </c>
    </row>
    <row r="417" spans="1:7" ht="15.75" thickBot="1" x14ac:dyDescent="0.3">
      <c r="A417" s="68">
        <v>200912</v>
      </c>
      <c r="B417" s="70">
        <v>-6974756.7223452674</v>
      </c>
      <c r="C417" s="70">
        <v>-13008745.016905326</v>
      </c>
      <c r="D417" s="70">
        <v>14788586.263611501</v>
      </c>
      <c r="E417" s="54">
        <f>IF(B417&lt;&gt;"",hddtohms(getlatitude(B417,C417,D417)),"")</f>
        <v>45.144808992146451</v>
      </c>
      <c r="F417" s="54">
        <f>IF(B417&lt;&gt;"",hddtohms(-GetLongitude(B417,C417,D417)),"")</f>
        <v>118.11541975483239</v>
      </c>
      <c r="G417" s="59">
        <f t="shared" si="6"/>
        <v>4012.5546255007994</v>
      </c>
    </row>
    <row r="418" spans="1:7" ht="15.75" thickBot="1" x14ac:dyDescent="0.3">
      <c r="A418" s="68">
        <v>200913</v>
      </c>
      <c r="B418" s="70">
        <v>-6982203.8975376766</v>
      </c>
      <c r="C418" s="70">
        <v>-13011501.333476624</v>
      </c>
      <c r="D418" s="70">
        <v>14783448.707775835</v>
      </c>
      <c r="E418" s="54">
        <f>IF(B418&lt;&gt;"",hddtohms(getlatitude(B418,C418,D418)),"")</f>
        <v>45.133068202315251</v>
      </c>
      <c r="F418" s="54">
        <f>IF(B418&lt;&gt;"",hddtohms(-GetLongitude(B418,C418,D418)),"")</f>
        <v>118.13076837670917</v>
      </c>
      <c r="G418" s="59">
        <f t="shared" si="6"/>
        <v>4554.1220826594326</v>
      </c>
    </row>
    <row r="419" spans="1:7" ht="15.75" thickBot="1" x14ac:dyDescent="0.3">
      <c r="A419" s="68">
        <v>200914</v>
      </c>
      <c r="B419" s="70">
        <v>-6979344.551261792</v>
      </c>
      <c r="C419" s="70">
        <v>-13006138.089861259</v>
      </c>
      <c r="D419" s="70">
        <v>14788533.551323108</v>
      </c>
      <c r="E419" s="54">
        <f>IF(B419&lt;&gt;"",hddtohms(getlatitude(B419,C419,D419)),"")</f>
        <v>45.144862589676073</v>
      </c>
      <c r="F419" s="54">
        <f>IF(B419&lt;&gt;"",hddtohms(-GetLongitude(B419,C419,D419)),"")</f>
        <v>118.1307913607121</v>
      </c>
      <c r="G419" s="59">
        <f t="shared" si="6"/>
        <v>3884.497043416548</v>
      </c>
    </row>
    <row r="420" spans="1:7" ht="15.75" thickBot="1" x14ac:dyDescent="0.3">
      <c r="A420" s="68">
        <v>200915</v>
      </c>
      <c r="B420" s="70">
        <v>-6979257.7672770498</v>
      </c>
      <c r="C420" s="70">
        <v>-13004658.373007342</v>
      </c>
      <c r="D420" s="70">
        <v>14789884.351325884</v>
      </c>
      <c r="E420" s="54">
        <f>IF(B420&lt;&gt;"",hddtohms(getlatitude(B420,C420,D420)),"")</f>
        <v>45.150744170653489</v>
      </c>
      <c r="F420" s="54">
        <f>IF(B420&lt;&gt;"",hddtohms(-GetLongitude(B420,C420,D420)),"")</f>
        <v>118.13166231098192</v>
      </c>
      <c r="G420" s="59">
        <f t="shared" si="6"/>
        <v>3896.9882011636619</v>
      </c>
    </row>
    <row r="421" spans="1:7" ht="15.75" thickBot="1" x14ac:dyDescent="0.3">
      <c r="A421" s="68">
        <v>200916</v>
      </c>
      <c r="B421" s="70">
        <v>-6978728.3390194355</v>
      </c>
      <c r="C421" s="70">
        <v>-13004862.9766961</v>
      </c>
      <c r="D421" s="70">
        <v>14789817.611024806</v>
      </c>
      <c r="E421" s="54">
        <f>IF(B421&lt;&gt;"",hddtohms(getlatitude(B421,C421,D421)),"")</f>
        <v>45.150746909530227</v>
      </c>
      <c r="F421" s="54">
        <f>IF(B421&lt;&gt;"",hddtohms(-GetLongitude(B421,C421,D421)),"")</f>
        <v>118.13087514603804</v>
      </c>
      <c r="G421" s="59">
        <f t="shared" si="6"/>
        <v>3800.2654332441143</v>
      </c>
    </row>
    <row r="422" spans="1:7" ht="15.75" thickBot="1" x14ac:dyDescent="0.3">
      <c r="A422" s="68">
        <v>200917</v>
      </c>
      <c r="B422" s="70">
        <v>-6975612.9960008878</v>
      </c>
      <c r="C422" s="70">
        <v>-13010510.705875183</v>
      </c>
      <c r="D422" s="70">
        <v>14786837.933643034</v>
      </c>
      <c r="E422" s="54">
        <f>IF(B422&lt;&gt;"",hddtohms(getlatitude(B422,C422,D422)),"")</f>
        <v>45.142219421456062</v>
      </c>
      <c r="F422" s="54">
        <f>IF(B422&lt;&gt;"",hddtohms(-GetLongitude(B422,C422,D422)),"")</f>
        <v>118.11530841672288</v>
      </c>
      <c r="G422" s="59">
        <f t="shared" si="6"/>
        <v>4151.6243575603294</v>
      </c>
    </row>
    <row r="423" spans="1:7" ht="15.75" thickBot="1" x14ac:dyDescent="0.3">
      <c r="A423" s="68">
        <v>200918</v>
      </c>
      <c r="B423" s="70">
        <v>-6973789.8281756612</v>
      </c>
      <c r="C423" s="70">
        <v>-13018358.364416067</v>
      </c>
      <c r="D423" s="70">
        <v>14781671.168338031</v>
      </c>
      <c r="E423" s="54">
        <f>IF(B423&lt;&gt;"",hddtohms(getlatitude(B423,C423,D423)),"")</f>
        <v>45.130383703756678</v>
      </c>
      <c r="F423" s="54">
        <f>IF(B423&lt;&gt;"",hddtohms(-GetLongitude(B423,C423,D423)),"")</f>
        <v>118.10388528028321</v>
      </c>
      <c r="G423" s="59">
        <f t="shared" si="6"/>
        <v>4748.5728570182946</v>
      </c>
    </row>
    <row r="424" spans="1:7" ht="15.75" thickBot="1" x14ac:dyDescent="0.3">
      <c r="A424" s="68">
        <v>200919</v>
      </c>
      <c r="B424" s="70">
        <v>-6972765.0405848175</v>
      </c>
      <c r="C424" s="70">
        <v>-13016501.162469504</v>
      </c>
      <c r="D424" s="70">
        <v>14783289.907325044</v>
      </c>
      <c r="E424" s="54">
        <f>IF(B424&lt;&gt;"",hddtohms(getlatitude(B424,C424,D424)),"")</f>
        <v>45.132995365733542</v>
      </c>
      <c r="F424" s="54">
        <f>IF(B424&lt;&gt;"",hddtohms(-GetLongitude(B424,C424,D424)),"")</f>
        <v>118.10384845793617</v>
      </c>
      <c r="G424" s="59">
        <f t="shared" ref="G424:G487" si="7">IF(B424&lt;&gt;"",GetHeight(B424,C424,D424),"")</f>
        <v>4403.6310616958526</v>
      </c>
    </row>
    <row r="425" spans="1:7" ht="15.75" thickBot="1" x14ac:dyDescent="0.3">
      <c r="A425" s="68">
        <v>200920</v>
      </c>
      <c r="B425" s="70">
        <v>-6971090.8363731457</v>
      </c>
      <c r="C425" s="70">
        <v>-13013013.174786715</v>
      </c>
      <c r="D425" s="70">
        <v>14786767.709723724</v>
      </c>
      <c r="E425" s="54">
        <f>IF(B425&lt;&gt;"",hddtohms(getlatitude(B425,C425,D425)),"")</f>
        <v>45.142121852478915</v>
      </c>
      <c r="F425" s="54">
        <f>IF(B425&lt;&gt;"",hddtohms(-GetLongitude(B425,C425,D425)),"")</f>
        <v>118.1040877188689</v>
      </c>
      <c r="G425" s="59">
        <f t="shared" si="7"/>
        <v>4150.7436206142356</v>
      </c>
    </row>
    <row r="426" spans="1:7" ht="15.75" thickBot="1" x14ac:dyDescent="0.3">
      <c r="A426" s="68">
        <v>200921</v>
      </c>
      <c r="B426" s="70">
        <v>-6977537.3219152493</v>
      </c>
      <c r="C426" s="70">
        <v>-13014064.552271457</v>
      </c>
      <c r="D426" s="70">
        <v>14783397.331180172</v>
      </c>
      <c r="E426" s="54">
        <f>IF(B426&lt;&gt;"",hddtohms(getlatitude(B426,C426,D426)),"")</f>
        <v>45.132995349374106</v>
      </c>
      <c r="F426" s="54">
        <f>IF(B426&lt;&gt;"",hddtohms(-GetLongitude(B426,C426,D426)),"")</f>
        <v>118.11533171277941</v>
      </c>
      <c r="G426" s="59">
        <f t="shared" si="7"/>
        <v>4554.9747253691203</v>
      </c>
    </row>
    <row r="427" spans="1:7" ht="15.75" thickBot="1" x14ac:dyDescent="0.3">
      <c r="A427" s="68">
        <v>200922</v>
      </c>
      <c r="B427" s="70">
        <v>-6984067.7370770825</v>
      </c>
      <c r="C427" s="70">
        <v>-13014965.595620111</v>
      </c>
      <c r="D427" s="70">
        <v>14779871.123629138</v>
      </c>
      <c r="E427" s="54">
        <f>IF(B427&lt;&gt;"",hddtohms(getlatitude(B427,C427,D427)),"")</f>
        <v>45.123824389349863</v>
      </c>
      <c r="F427" s="54">
        <f>IF(B427&lt;&gt;"",hddtohms(-GetLongitude(B427,C427,D427)),"")</f>
        <v>118.13077435030927</v>
      </c>
      <c r="G427" s="59">
        <f t="shared" si="7"/>
        <v>4785.8216616435275</v>
      </c>
    </row>
    <row r="428" spans="1:7" ht="15.75" thickBot="1" x14ac:dyDescent="0.3">
      <c r="A428" s="68">
        <v>200923</v>
      </c>
      <c r="B428" s="70">
        <v>-6970433.1041498045</v>
      </c>
      <c r="C428" s="70">
        <v>-13017814.63546529</v>
      </c>
      <c r="D428" s="70">
        <v>14783320.848352896</v>
      </c>
      <c r="E428" s="54">
        <f>IF(B428&lt;&gt;"",hddtohms(getlatitude(B428,C428,D428)),"")</f>
        <v>45.13297699889619</v>
      </c>
      <c r="F428" s="54">
        <f>IF(B428&lt;&gt;"",hddtohms(-GetLongitude(B428,C428,D428)),"")</f>
        <v>118.10011078777664</v>
      </c>
      <c r="G428" s="59">
        <f t="shared" si="7"/>
        <v>4465.6784415530165</v>
      </c>
    </row>
    <row r="429" spans="1:7" ht="15.75" thickBot="1" x14ac:dyDescent="0.3">
      <c r="A429" s="68">
        <v>200924</v>
      </c>
      <c r="B429" s="70">
        <v>-6968086.9551777905</v>
      </c>
      <c r="C429" s="70">
        <v>-13019082.872183286</v>
      </c>
      <c r="D429" s="70">
        <v>14783341.063305279</v>
      </c>
      <c r="E429" s="54">
        <f>IF(B429&lt;&gt;"",hddtohms(getlatitude(B429,C429,D429)),"")</f>
        <v>45.132983481962761</v>
      </c>
      <c r="F429" s="54">
        <f>IF(B429&lt;&gt;"",hddtohms(-GetLongitude(B429,C429,D429)),"")</f>
        <v>118.09238546050256</v>
      </c>
      <c r="G429" s="59">
        <f t="shared" si="7"/>
        <v>4487.6388171608633</v>
      </c>
    </row>
    <row r="430" spans="1:7" ht="15.75" thickBot="1" x14ac:dyDescent="0.3">
      <c r="A430" s="68">
        <v>200925</v>
      </c>
      <c r="B430" s="70">
        <v>-6966148.6203134619</v>
      </c>
      <c r="C430" s="70">
        <v>-13015514.835593512</v>
      </c>
      <c r="D430" s="70">
        <v>14786735.498498499</v>
      </c>
      <c r="E430" s="54">
        <f>IF(B430&lt;&gt;"",hddtohms(getlatitude(B430,C430,D430)),"")</f>
        <v>45.142188873881729</v>
      </c>
      <c r="F430" s="54">
        <f>IF(B430&lt;&gt;"",hddtohms(-GetLongitude(B430,C430,D430)),"")</f>
        <v>118.09235017136048</v>
      </c>
      <c r="G430" s="59">
        <f t="shared" si="7"/>
        <v>4038.0489970634553</v>
      </c>
    </row>
    <row r="431" spans="1:7" ht="15.75" thickBot="1" x14ac:dyDescent="0.3">
      <c r="A431" s="68">
        <v>200926</v>
      </c>
      <c r="B431" s="70">
        <v>-6880566.4716450889</v>
      </c>
      <c r="C431" s="70">
        <v>-13045510.111305097</v>
      </c>
      <c r="D431" s="70">
        <v>14798887.065952677</v>
      </c>
      <c r="E431" s="54">
        <f>IF(B431&lt;&gt;"",hddtohms(getlatitude(B431,C431,D431)),"")</f>
        <v>45.172215380145033</v>
      </c>
      <c r="F431" s="54">
        <f>IF(B431&lt;&gt;"",hddtohms(-GetLongitude(B431,C431,D431)),"")</f>
        <v>117.48302998293902</v>
      </c>
      <c r="G431" s="59">
        <f t="shared" si="7"/>
        <v>3050.9147429673667</v>
      </c>
    </row>
    <row r="432" spans="1:7" ht="15.75" thickBot="1" x14ac:dyDescent="0.3">
      <c r="A432" s="68">
        <v>200927</v>
      </c>
      <c r="B432" s="70">
        <v>-6965284.1475553866</v>
      </c>
      <c r="C432" s="70">
        <v>-13075506.192240288</v>
      </c>
      <c r="D432" s="70">
        <v>14734296.334945176</v>
      </c>
      <c r="E432" s="54">
        <f>IF(B432&lt;&gt;"",hddtohms(getlatitude(B432,C432,D432)),"")</f>
        <v>45.020929899913121</v>
      </c>
      <c r="F432" s="54">
        <f>IF(B432&lt;&gt;"",hddtohms(-GetLongitude(B432,C432,D432)),"")</f>
        <v>118.02387543035258</v>
      </c>
      <c r="G432" s="59">
        <f t="shared" si="7"/>
        <v>3911.7198633250227</v>
      </c>
    </row>
    <row r="433" spans="1:7" ht="15.75" thickBot="1" x14ac:dyDescent="0.3">
      <c r="A433" s="68">
        <v>200928</v>
      </c>
      <c r="B433" s="70">
        <v>-6963483.8110739756</v>
      </c>
      <c r="C433" s="70">
        <v>-13072180.0167409</v>
      </c>
      <c r="D433" s="70">
        <v>14738063.312048368</v>
      </c>
      <c r="E433" s="54">
        <f>IF(B433&lt;&gt;"",hddtohms(getlatitude(B433,C433,D433)),"")</f>
        <v>45.030199432444348</v>
      </c>
      <c r="F433" s="54">
        <f>IF(B433&lt;&gt;"",hddtohms(-GetLongitude(B433,C433,D433)),"")</f>
        <v>118.0238404099194</v>
      </c>
      <c r="G433" s="59">
        <f t="shared" si="7"/>
        <v>3905.0785054048119</v>
      </c>
    </row>
    <row r="434" spans="1:7" ht="15.75" thickBot="1" x14ac:dyDescent="0.3">
      <c r="A434" s="68">
        <v>200929</v>
      </c>
      <c r="B434" s="70">
        <v>-6876783.5840102173</v>
      </c>
      <c r="C434" s="70">
        <v>-13096418.415833265</v>
      </c>
      <c r="D434" s="70">
        <v>14756332.348507727</v>
      </c>
      <c r="E434" s="54">
        <f>IF(B434&lt;&gt;"",hddtohms(getlatitude(B434,C434,D434)),"")</f>
        <v>45.07229128691916</v>
      </c>
      <c r="F434" s="54">
        <f>IF(B434&lt;&gt;"",hddtohms(-GetLongitude(B434,C434,D434)),"")</f>
        <v>117.42124720574202</v>
      </c>
      <c r="G434" s="59">
        <f t="shared" si="7"/>
        <v>3351.6578093234311</v>
      </c>
    </row>
    <row r="435" spans="1:7" ht="15.75" thickBot="1" x14ac:dyDescent="0.3">
      <c r="A435" s="68">
        <v>200930</v>
      </c>
      <c r="B435" s="70">
        <v>-6878855.6702424251</v>
      </c>
      <c r="C435" s="70">
        <v>-13100263.446098419</v>
      </c>
      <c r="D435" s="70">
        <v>14753268.515935974</v>
      </c>
      <c r="E435" s="54">
        <f>IF(B435&lt;&gt;"",hddtohms(getlatitude(B435,C435,D435)),"")</f>
        <v>45.063102096730624</v>
      </c>
      <c r="F435" s="54">
        <f>IF(B435&lt;&gt;"",hddtohms(-GetLongitude(B435,C435,D435)),"")</f>
        <v>117.42131274684532</v>
      </c>
      <c r="G435" s="59">
        <f t="shared" si="7"/>
        <v>4262.9085763831299</v>
      </c>
    </row>
    <row r="436" spans="1:7" ht="15.75" thickBot="1" x14ac:dyDescent="0.3">
      <c r="A436" s="68">
        <v>200931</v>
      </c>
      <c r="B436" s="70">
        <v>-6876419.724538371</v>
      </c>
      <c r="C436" s="70">
        <v>-13101162.6765249</v>
      </c>
      <c r="D436" s="70">
        <v>14752867.980467828</v>
      </c>
      <c r="E436" s="54">
        <f>IF(B436&lt;&gt;"",hddtohms(getlatitude(B436,C436,D436)),"")</f>
        <v>45.063058091141336</v>
      </c>
      <c r="F436" s="54">
        <f>IF(B436&lt;&gt;"",hddtohms(-GetLongitude(B436,C436,D436)),"")</f>
        <v>117.41372342969809</v>
      </c>
      <c r="G436" s="59">
        <f t="shared" si="7"/>
        <v>3741.9453893814189</v>
      </c>
    </row>
    <row r="437" spans="1:7" ht="15.75" thickBot="1" x14ac:dyDescent="0.3">
      <c r="A437" s="68">
        <v>201001</v>
      </c>
      <c r="B437" s="70">
        <v>-6895162.0989155713</v>
      </c>
      <c r="C437" s="70">
        <v>-12988350.793711029</v>
      </c>
      <c r="D437" s="70">
        <v>14841470.419767227</v>
      </c>
      <c r="E437" s="54">
        <f>IF(B437&lt;&gt;"",hddtohms(getlatitude(B437,C437,D437)),"")</f>
        <v>45.272444910746586</v>
      </c>
      <c r="F437" s="54">
        <f>IF(B437&lt;&gt;"",hddtohms(-GetLongitude(B437,C437,D437)),"")</f>
        <v>117.57454195325397</v>
      </c>
      <c r="G437" s="59">
        <f t="shared" si="7"/>
        <v>2661.6495890408714</v>
      </c>
    </row>
    <row r="438" spans="1:7" ht="15.75" thickBot="1" x14ac:dyDescent="0.3">
      <c r="A438" s="68">
        <v>201002</v>
      </c>
      <c r="B438" s="70">
        <v>-6897518.5766505785</v>
      </c>
      <c r="C438" s="70">
        <v>-12987129.039477166</v>
      </c>
      <c r="D438" s="70">
        <v>14841485.683186093</v>
      </c>
      <c r="E438" s="54">
        <f>IF(B438&lt;&gt;"",hddtohms(getlatitude(B438,C438,D438)),"")</f>
        <v>45.272437143237418</v>
      </c>
      <c r="F438" s="54">
        <f>IF(B438&lt;&gt;"",hddtohms(-GetLongitude(B438,C438,D438)),"")</f>
        <v>117.58226498252024</v>
      </c>
      <c r="G438" s="59">
        <f t="shared" si="7"/>
        <v>2690.8093231440907</v>
      </c>
    </row>
    <row r="439" spans="1:7" ht="15.75" thickBot="1" x14ac:dyDescent="0.3">
      <c r="A439" s="68">
        <v>201003</v>
      </c>
      <c r="B439" s="70">
        <v>-6906739.1970955655</v>
      </c>
      <c r="C439" s="70">
        <v>-12958981.321456514</v>
      </c>
      <c r="D439" s="70">
        <v>14862070.002836561</v>
      </c>
      <c r="E439" s="54">
        <f>IF(B439&lt;&gt;"",hddtohms(getlatitude(B439,C439,D439)),"")</f>
        <v>45.321126361802712</v>
      </c>
      <c r="F439" s="54">
        <f>IF(B439&lt;&gt;"",hddtohms(-GetLongitude(B439,C439,D439)),"")</f>
        <v>118.03224851088359</v>
      </c>
      <c r="G439" s="59">
        <f t="shared" si="7"/>
        <v>2989.1192280715131</v>
      </c>
    </row>
    <row r="440" spans="1:7" ht="15.75" thickBot="1" x14ac:dyDescent="0.3">
      <c r="A440" s="68">
        <v>201004</v>
      </c>
      <c r="B440" s="70">
        <v>-6905822.7641416108</v>
      </c>
      <c r="C440" s="70">
        <v>-12957343.136804152</v>
      </c>
      <c r="D440" s="70">
        <v>14863916.777011311</v>
      </c>
      <c r="E440" s="54">
        <f>IF(B440&lt;&gt;"",hddtohms(getlatitude(B440,C440,D440)),"")</f>
        <v>45.323725466543692</v>
      </c>
      <c r="F440" s="54">
        <f>IF(B440&lt;&gt;"",hddtohms(-GetLongitude(B440,C440,D440)),"")</f>
        <v>118.03219479252918</v>
      </c>
      <c r="G440" s="59">
        <f t="shared" si="7"/>
        <v>2992.7706315691212</v>
      </c>
    </row>
    <row r="441" spans="1:7" ht="15.75" thickBot="1" x14ac:dyDescent="0.3">
      <c r="A441" s="68">
        <v>201005</v>
      </c>
      <c r="B441" s="70">
        <v>-6970121.515562606</v>
      </c>
      <c r="C441" s="70">
        <v>-13079017.263228772</v>
      </c>
      <c r="D441" s="70">
        <v>14728306.607474886</v>
      </c>
      <c r="E441" s="54">
        <f>IF(B441&lt;&gt;"",hddtohms(getlatitude(B441,C441,D441)),"")</f>
        <v>45.004998111411091</v>
      </c>
      <c r="F441" s="54">
        <f>IF(B441&lt;&gt;"",hddtohms(-GetLongitude(B441,C441,D441)),"")</f>
        <v>118.03151999149635</v>
      </c>
      <c r="G441" s="59">
        <f t="shared" si="7"/>
        <v>3472.3810736179548</v>
      </c>
    </row>
    <row r="442" spans="1:7" ht="15.75" thickBot="1" x14ac:dyDescent="0.3">
      <c r="A442" s="68">
        <v>201006</v>
      </c>
      <c r="B442" s="70">
        <v>-6971642.7310224073</v>
      </c>
      <c r="C442" s="70">
        <v>-13075972.014301293</v>
      </c>
      <c r="D442" s="70">
        <v>14730511.847812748</v>
      </c>
      <c r="E442" s="54">
        <f>IF(B442&lt;&gt;"",hddtohms(getlatitude(B442,C442,D442)),"")</f>
        <v>45.011913819625626</v>
      </c>
      <c r="F442" s="54">
        <f>IF(B442&lt;&gt;"",hddtohms(-GetLongitude(B442,C442,D442)),"")</f>
        <v>118.03538220841816</v>
      </c>
      <c r="G442" s="59">
        <f t="shared" si="7"/>
        <v>3638.4130122593033</v>
      </c>
    </row>
    <row r="443" spans="1:7" ht="15.75" thickBot="1" x14ac:dyDescent="0.3">
      <c r="A443" s="68">
        <v>201007</v>
      </c>
      <c r="B443" s="70">
        <v>-6918166.611636132</v>
      </c>
      <c r="C443" s="70">
        <v>-13014599.015648447</v>
      </c>
      <c r="D443" s="70">
        <v>14807938.26985565</v>
      </c>
      <c r="E443" s="54">
        <f>IF(B443&lt;&gt;"",hddtohms(getlatitude(B443,C443,D443)),"")</f>
        <v>45.193322921898258</v>
      </c>
      <c r="F443" s="54">
        <f>IF(B443&lt;&gt;"",hddtohms(-GetLongitude(B443,C443,D443)),"")</f>
        <v>117.59375308338129</v>
      </c>
      <c r="G443" s="59">
        <f t="shared" si="7"/>
        <v>2647.1500453391982</v>
      </c>
    </row>
    <row r="444" spans="1:7" ht="15.75" thickBot="1" x14ac:dyDescent="0.3">
      <c r="A444" s="68">
        <v>201008</v>
      </c>
      <c r="B444" s="70">
        <v>-6919944.1010598168</v>
      </c>
      <c r="C444" s="70">
        <v>-13017928.06656827</v>
      </c>
      <c r="D444" s="70">
        <v>14804205.571063299</v>
      </c>
      <c r="E444" s="54">
        <f>IF(B444&lt;&gt;"",hddtohms(getlatitude(B444,C444,D444)),"")</f>
        <v>45.184082911788593</v>
      </c>
      <c r="F444" s="54">
        <f>IF(B444&lt;&gt;"",hddtohms(-GetLongitude(B444,C444,D444)),"")</f>
        <v>117.59376280192392</v>
      </c>
      <c r="G444" s="59">
        <f t="shared" si="7"/>
        <v>2646.7361545614749</v>
      </c>
    </row>
    <row r="445" spans="1:7" ht="15.75" thickBot="1" x14ac:dyDescent="0.3">
      <c r="A445" s="68">
        <v>201009</v>
      </c>
      <c r="B445" s="70">
        <v>-6921707.5540918726</v>
      </c>
      <c r="C445" s="70">
        <v>-13021266.056094568</v>
      </c>
      <c r="D445" s="70">
        <v>14800470.617983755</v>
      </c>
      <c r="E445" s="54">
        <f>IF(B445&lt;&gt;"",hddtohms(getlatitude(B445,C445,D445)),"")</f>
        <v>45.174840407698774</v>
      </c>
      <c r="F445" s="54">
        <f>IF(B445&lt;&gt;"",hddtohms(-GetLongitude(B445,C445,D445)),"")</f>
        <v>117.59374931110945</v>
      </c>
      <c r="G445" s="59">
        <f t="shared" si="7"/>
        <v>2646.9860593604262</v>
      </c>
    </row>
    <row r="446" spans="1:7" ht="15.75" thickBot="1" x14ac:dyDescent="0.3">
      <c r="A446" s="68">
        <v>201010</v>
      </c>
      <c r="B446" s="70">
        <v>-6923454.8363284655</v>
      </c>
      <c r="C446" s="70">
        <v>-13024607.834230257</v>
      </c>
      <c r="D446" s="70">
        <v>14796732.408220232</v>
      </c>
      <c r="E446" s="54">
        <f>IF(B446&lt;&gt;"",hddtohms(getlatitude(B446,C446,D446)),"")</f>
        <v>45.165598606195644</v>
      </c>
      <c r="F446" s="54">
        <f>IF(B446&lt;&gt;"",hddtohms(-GetLongitude(B446,C446,D446)),"")</f>
        <v>117.59371337352484</v>
      </c>
      <c r="G446" s="59">
        <f t="shared" si="7"/>
        <v>2643.2848602604699</v>
      </c>
    </row>
    <row r="447" spans="1:7" ht="15.75" thickBot="1" x14ac:dyDescent="0.3">
      <c r="A447" s="68">
        <v>201011</v>
      </c>
      <c r="B447" s="70">
        <v>-6915885.6326135313</v>
      </c>
      <c r="C447" s="70">
        <v>-13032756.121181739</v>
      </c>
      <c r="D447" s="70">
        <v>14793117.565130841</v>
      </c>
      <c r="E447" s="54">
        <f>IF(B447&lt;&gt;"",hddtohms(getlatitude(B447,C447,D447)),"")</f>
        <v>45.160530184452476</v>
      </c>
      <c r="F447" s="54">
        <f>IF(B447&lt;&gt;"",hddtohms(-GetLongitude(B447,C447,D447)),"")</f>
        <v>117.57102269520502</v>
      </c>
      <c r="G447" s="59">
        <f t="shared" si="7"/>
        <v>2640.5812304930332</v>
      </c>
    </row>
    <row r="448" spans="1:7" ht="15.75" thickBot="1" x14ac:dyDescent="0.3">
      <c r="A448" s="68">
        <v>201012</v>
      </c>
      <c r="B448" s="70">
        <v>-6916799.9244466117</v>
      </c>
      <c r="C448" s="70">
        <v>-13034462.941202343</v>
      </c>
      <c r="D448" s="70">
        <v>14791199.66016922</v>
      </c>
      <c r="E448" s="54">
        <f>IF(B448&lt;&gt;"",hddtohms(getlatitude(B448,C448,D448)),"")</f>
        <v>45.153839737333151</v>
      </c>
      <c r="F448" s="54">
        <f>IF(B448&lt;&gt;"",hddtohms(-GetLongitude(B448,C448,D448)),"")</f>
        <v>117.57103326567517</v>
      </c>
      <c r="G448" s="59">
        <f t="shared" si="7"/>
        <v>2640.9844050761585</v>
      </c>
    </row>
    <row r="449" spans="1:7" ht="15.75" thickBot="1" x14ac:dyDescent="0.3">
      <c r="A449" s="68">
        <v>201013</v>
      </c>
      <c r="B449" s="70">
        <v>-6915361.1002786569</v>
      </c>
      <c r="C449" s="70">
        <v>-13037411.742051736</v>
      </c>
      <c r="D449" s="70">
        <v>14789288.352275303</v>
      </c>
      <c r="E449" s="54">
        <f>IF(B449&lt;&gt;"",hddtohms(getlatitude(B449,C449,D449)),"")</f>
        <v>45.151157860934362</v>
      </c>
      <c r="F449" s="54">
        <f>IF(B449&lt;&gt;"",hddtohms(-GetLongitude(B449,C449,D449)),"")</f>
        <v>117.56332501188746</v>
      </c>
      <c r="G449" s="59">
        <f t="shared" si="7"/>
        <v>2642.4229137572802</v>
      </c>
    </row>
    <row r="450" spans="1:7" ht="15.75" thickBot="1" x14ac:dyDescent="0.3">
      <c r="A450" s="68">
        <v>201014</v>
      </c>
      <c r="B450" s="70">
        <v>-6913014.2020722581</v>
      </c>
      <c r="C450" s="70">
        <v>-13038648.312378004</v>
      </c>
      <c r="D450" s="70">
        <v>14789295.266237786</v>
      </c>
      <c r="E450" s="54">
        <f>IF(B450&lt;&gt;"",hddtohms(getlatitude(B450,C450,D450)),"")</f>
        <v>45.151167628368128</v>
      </c>
      <c r="F450" s="54">
        <f>IF(B450&lt;&gt;"",hddtohms(-GetLongitude(B450,C450,D450)),"")</f>
        <v>117.55561740783861</v>
      </c>
      <c r="G450" s="59">
        <f t="shared" si="7"/>
        <v>2642.3507938692037</v>
      </c>
    </row>
    <row r="451" spans="1:7" ht="15.75" thickBot="1" x14ac:dyDescent="0.3">
      <c r="A451" s="68">
        <v>201015</v>
      </c>
      <c r="B451" s="70">
        <v>-6910667.0087706205</v>
      </c>
      <c r="C451" s="70">
        <v>-13039884.249805542</v>
      </c>
      <c r="D451" s="70">
        <v>14789307.463298999</v>
      </c>
      <c r="E451" s="54">
        <f>IF(B451&lt;&gt;"",hddtohms(getlatitude(B451,C451,D451)),"")</f>
        <v>45.151181222012845</v>
      </c>
      <c r="F451" s="54">
        <f>IF(B451&lt;&gt;"",hddtohms(-GetLongitude(B451,C451,D451)),"")</f>
        <v>117.5519098501442</v>
      </c>
      <c r="G451" s="59">
        <f t="shared" si="7"/>
        <v>2645.8755909647498</v>
      </c>
    </row>
    <row r="452" spans="1:7" ht="15.75" thickBot="1" x14ac:dyDescent="0.3">
      <c r="A452" s="68">
        <v>201016</v>
      </c>
      <c r="B452" s="70">
        <v>-6908317.7010638099</v>
      </c>
      <c r="C452" s="70">
        <v>-13041117.050034894</v>
      </c>
      <c r="D452" s="70">
        <v>14789315.851863965</v>
      </c>
      <c r="E452" s="54">
        <f>IF(B452&lt;&gt;"",hddtohms(getlatitude(B452,C452,D452)),"")</f>
        <v>45.151194472264407</v>
      </c>
      <c r="F452" s="54">
        <f>IF(B452&lt;&gt;"",hddtohms(-GetLongitude(B452,C452,D452)),"")</f>
        <v>117.54420173000241</v>
      </c>
      <c r="G452" s="59">
        <f t="shared" si="7"/>
        <v>2644.3828045716928</v>
      </c>
    </row>
    <row r="453" spans="1:7" ht="15.75" thickBot="1" x14ac:dyDescent="0.3">
      <c r="A453" s="68">
        <v>201017</v>
      </c>
      <c r="B453" s="70">
        <v>-6903635.5896414248</v>
      </c>
      <c r="C453" s="70">
        <v>-13043587.924179366</v>
      </c>
      <c r="D453" s="70">
        <v>14789325.167079428</v>
      </c>
      <c r="E453" s="54">
        <f>IF(B453&lt;&gt;"",hddtohms(getlatitude(B453,C453,D453)),"")</f>
        <v>45.151206102656779</v>
      </c>
      <c r="F453" s="54">
        <f>IF(B453&lt;&gt;"",hddtohms(-GetLongitude(B453,C453,D453)),"")</f>
        <v>117.53280241379881</v>
      </c>
      <c r="G453" s="59">
        <f t="shared" si="7"/>
        <v>2645.8211696648541</v>
      </c>
    </row>
    <row r="454" spans="1:7" ht="15.75" thickBot="1" x14ac:dyDescent="0.3">
      <c r="A454" s="68">
        <v>201018</v>
      </c>
      <c r="B454" s="70">
        <v>-6910148.0835411241</v>
      </c>
      <c r="C454" s="70">
        <v>-13044488.200995158</v>
      </c>
      <c r="D454" s="70">
        <v>14785522.397832667</v>
      </c>
      <c r="E454" s="54">
        <f>IF(B454&lt;&gt;"",hddtohms(getlatitude(B454,C454,D454)),"")</f>
        <v>45.141868742166722</v>
      </c>
      <c r="F454" s="54">
        <f>IF(B454&lt;&gt;"",hddtohms(-GetLongitude(B454,C454,D454)),"")</f>
        <v>117.5442567634053</v>
      </c>
      <c r="G454" s="59">
        <f t="shared" si="7"/>
        <v>2651.1752136492432</v>
      </c>
    </row>
    <row r="455" spans="1:7" ht="15.75" thickBot="1" x14ac:dyDescent="0.3">
      <c r="A455" s="68">
        <v>201019</v>
      </c>
      <c r="B455" s="70">
        <v>-6911958.6791415699</v>
      </c>
      <c r="C455" s="70">
        <v>-13047787.539102839</v>
      </c>
      <c r="D455" s="70">
        <v>14781797.546210745</v>
      </c>
      <c r="E455" s="54">
        <f>IF(B455&lt;&gt;"",hddtohms(getlatitude(B455,C455,D455)),"")</f>
        <v>45.13264166461078</v>
      </c>
      <c r="F455" s="54">
        <f>IF(B455&lt;&gt;"",hddtohms(-GetLongitude(B455,C455,D455)),"")</f>
        <v>117.54433430307601</v>
      </c>
      <c r="G455" s="59">
        <f t="shared" si="7"/>
        <v>2656.8386570910534</v>
      </c>
    </row>
    <row r="456" spans="1:7" ht="15.75" thickBot="1" x14ac:dyDescent="0.3">
      <c r="A456" s="68">
        <v>201020</v>
      </c>
      <c r="B456" s="70">
        <v>-6880781.5888018673</v>
      </c>
      <c r="C456" s="70">
        <v>-13034412.274029357</v>
      </c>
      <c r="D456" s="70">
        <v>14807946.125623245</v>
      </c>
      <c r="E456" s="54">
        <f>IF(B456&lt;&gt;"",hddtohms(getlatitude(B456,C456,D456)),"")</f>
        <v>45.193322616041208</v>
      </c>
      <c r="F456" s="54">
        <f>IF(B456&lt;&gt;"",hddtohms(-GetLongitude(B456,C456,D456)),"")</f>
        <v>117.49454161385718</v>
      </c>
      <c r="G456" s="59">
        <f t="shared" si="7"/>
        <v>2658.5034448345305</v>
      </c>
    </row>
    <row r="457" spans="1:7" ht="15.75" thickBot="1" x14ac:dyDescent="0.3">
      <c r="A457" s="68">
        <v>201021</v>
      </c>
      <c r="B457" s="70">
        <v>-6879044.4114268376</v>
      </c>
      <c r="C457" s="70">
        <v>-13031049.41638981</v>
      </c>
      <c r="D457" s="70">
        <v>14811662.835087216</v>
      </c>
      <c r="E457" s="54">
        <f>IF(B457&lt;&gt;"",hddtohms(getlatitude(B457,C457,D457)),"")</f>
        <v>45.202559268048297</v>
      </c>
      <c r="F457" s="54">
        <f>IF(B457&lt;&gt;"",hddtohms(-GetLongitude(B457,C457,D457)),"")</f>
        <v>117.49458872014894</v>
      </c>
      <c r="G457" s="59">
        <f t="shared" si="7"/>
        <v>2641.1312570004466</v>
      </c>
    </row>
    <row r="458" spans="1:7" ht="15.75" thickBot="1" x14ac:dyDescent="0.3">
      <c r="A458" s="68">
        <v>201022</v>
      </c>
      <c r="B458" s="70">
        <v>-6874313.4858876038</v>
      </c>
      <c r="C458" s="70">
        <v>-13079889.790387144</v>
      </c>
      <c r="D458" s="70">
        <v>14773785.463329431</v>
      </c>
      <c r="E458" s="54">
        <f>IF(B458&lt;&gt;"",hddtohms(getlatitude(B458,C458,D458)),"")</f>
        <v>45.111486349933955</v>
      </c>
      <c r="F458" s="54">
        <f>IF(B458&lt;&gt;"",hddtohms(-GetLongitude(B458,C458,D458)),"")</f>
        <v>117.43292074990403</v>
      </c>
      <c r="G458" s="59">
        <f t="shared" si="7"/>
        <v>4597.5582731396153</v>
      </c>
    </row>
    <row r="459" spans="1:7" ht="15.75" thickBot="1" x14ac:dyDescent="0.3">
      <c r="A459" s="68">
        <v>201023</v>
      </c>
      <c r="B459" s="70">
        <v>-6877620.3202162879</v>
      </c>
      <c r="C459" s="70">
        <v>-13079950.779925033</v>
      </c>
      <c r="D459" s="70">
        <v>14771534.526730828</v>
      </c>
      <c r="E459" s="54">
        <f>IF(B459&lt;&gt;"",hddtohms(getlatitude(B459,C459,D459)),"")</f>
        <v>45.10480495788304</v>
      </c>
      <c r="F459" s="54">
        <f>IF(B459&lt;&gt;"",hddtohms(-GetLongitude(B459,C459,D459)),"")</f>
        <v>117.44096680587313</v>
      </c>
      <c r="G459" s="59">
        <f t="shared" si="7"/>
        <v>4123.396829506506</v>
      </c>
    </row>
    <row r="460" spans="1:7" ht="15.75" thickBot="1" x14ac:dyDescent="0.3">
      <c r="A460" s="68">
        <v>201024</v>
      </c>
      <c r="B460" s="70">
        <v>-6879365.6012492282</v>
      </c>
      <c r="C460" s="70">
        <v>-13076645.987426752</v>
      </c>
      <c r="D460" s="70">
        <v>14773141.49778264</v>
      </c>
      <c r="E460" s="54">
        <f>IF(B460&lt;&gt;"",hddtohms(getlatitude(B460,C460,D460)),"")</f>
        <v>45.111402344119433</v>
      </c>
      <c r="F460" s="54">
        <f>IF(B460&lt;&gt;"",hddtohms(-GetLongitude(B460,C460,D460)),"")</f>
        <v>117.44527027656387</v>
      </c>
      <c r="G460" s="59">
        <f t="shared" si="7"/>
        <v>3774.3623649179463</v>
      </c>
    </row>
    <row r="461" spans="1:7" ht="15.75" thickBot="1" x14ac:dyDescent="0.3">
      <c r="A461" s="68">
        <v>201025</v>
      </c>
      <c r="B461" s="70">
        <v>-6878500.3366818884</v>
      </c>
      <c r="C461" s="70">
        <v>-13074949.829847647</v>
      </c>
      <c r="D461" s="70">
        <v>14774928.80073614</v>
      </c>
      <c r="E461" s="54">
        <f>IF(B461&lt;&gt;"",hddtohms(getlatitude(B461,C461,D461)),"")</f>
        <v>45.113979199913196</v>
      </c>
      <c r="F461" s="54">
        <f>IF(B461&lt;&gt;"",hddtohms(-GetLongitude(B461,C461,D461)),"")</f>
        <v>117.44530369994879</v>
      </c>
      <c r="G461" s="59">
        <f t="shared" si="7"/>
        <v>3700.566745318034</v>
      </c>
    </row>
    <row r="462" spans="1:7" ht="15.75" thickBot="1" x14ac:dyDescent="0.3">
      <c r="A462" s="68">
        <v>201026</v>
      </c>
      <c r="B462" s="70">
        <v>-6880250.7611388825</v>
      </c>
      <c r="C462" s="70">
        <v>-13078374.026883299</v>
      </c>
      <c r="D462" s="70">
        <v>14771361.070602523</v>
      </c>
      <c r="E462" s="54">
        <f>IF(B462&lt;&gt;"",hddtohms(getlatitude(B462,C462,D462)),"")</f>
        <v>45.104804044677998</v>
      </c>
      <c r="F462" s="54">
        <f>IF(B462&lt;&gt;"",hddtohms(-GetLongitude(B462,C462,D462)),"")</f>
        <v>117.4452407194985</v>
      </c>
      <c r="G462" s="59">
        <f t="shared" si="7"/>
        <v>3879.7791912080611</v>
      </c>
    </row>
    <row r="463" spans="1:7" ht="15.75" thickBot="1" x14ac:dyDescent="0.3">
      <c r="A463" s="68">
        <v>201101</v>
      </c>
      <c r="B463" s="70">
        <v>-6990438.4549895246</v>
      </c>
      <c r="C463" s="70">
        <v>-12946691.868194411</v>
      </c>
      <c r="D463" s="70">
        <v>14835391.029054942</v>
      </c>
      <c r="E463" s="54">
        <f>IF(B463&lt;&gt;"",hddtohms(getlatitude(B463,C463,D463)),"")</f>
        <v>45.254435281989203</v>
      </c>
      <c r="F463" s="54">
        <f>IF(B463&lt;&gt;"",hddtohms(-GetLongitude(B463,C463,D463)),"")</f>
        <v>118.21590049130296</v>
      </c>
      <c r="G463" s="59">
        <f t="shared" si="7"/>
        <v>4114.3412778407219</v>
      </c>
    </row>
    <row r="464" spans="1:7" ht="15.75" thickBot="1" x14ac:dyDescent="0.3">
      <c r="A464" s="68">
        <v>201102</v>
      </c>
      <c r="B464" s="70">
        <v>-6990024.5253550634</v>
      </c>
      <c r="C464" s="70">
        <v>-12951366.48720316</v>
      </c>
      <c r="D464" s="70">
        <v>14831688.155949747</v>
      </c>
      <c r="E464" s="54">
        <f>IF(B464&lt;&gt;"",hddtohms(getlatitude(B464,C464,D464)),"")</f>
        <v>45.245115854925942</v>
      </c>
      <c r="F464" s="54">
        <f>IF(B464&lt;&gt;"",hddtohms(-GetLongitude(B464,C464,D464)),"")</f>
        <v>118.21227732769574</v>
      </c>
      <c r="G464" s="59">
        <f t="shared" si="7"/>
        <v>4226.0248171875137</v>
      </c>
    </row>
    <row r="465" spans="1:7" ht="15.75" thickBot="1" x14ac:dyDescent="0.3">
      <c r="A465" s="68">
        <v>201103</v>
      </c>
      <c r="B465" s="70">
        <v>-6917797.7100649802</v>
      </c>
      <c r="C465" s="70">
        <v>-12991304.502285616</v>
      </c>
      <c r="D465" s="70">
        <v>14828457.14939568</v>
      </c>
      <c r="E465" s="54">
        <f>IF(B465&lt;&gt;"",hddtohms(getlatitude(B465,C465,D465)),"")</f>
        <v>45.24212255617951</v>
      </c>
      <c r="F465" s="54">
        <f>IF(B465&lt;&gt;"",hddtohms(-GetLongitude(B465,C465,D465)),"")</f>
        <v>118.02061945015039</v>
      </c>
      <c r="G465" s="59">
        <f t="shared" si="7"/>
        <v>2678.2619943380523</v>
      </c>
    </row>
    <row r="466" spans="1:7" ht="15.75" thickBot="1" x14ac:dyDescent="0.3">
      <c r="A466" s="68">
        <v>201104</v>
      </c>
      <c r="B466" s="70">
        <v>-6912211.2035307083</v>
      </c>
      <c r="C466" s="70">
        <v>-12992142.743274853</v>
      </c>
      <c r="D466" s="70">
        <v>14830356.740059692</v>
      </c>
      <c r="E466" s="54">
        <f>IF(B466&lt;&gt;"",hddtohms(getlatitude(B466,C466,D466)),"")</f>
        <v>45.244764105281078</v>
      </c>
      <c r="F466" s="54">
        <f>IF(B466&lt;&gt;"",hddtohms(-GetLongitude(B466,C466,D466)),"")</f>
        <v>118.00515601586179</v>
      </c>
      <c r="G466" s="59">
        <f t="shared" si="7"/>
        <v>2707.7939471143327</v>
      </c>
    </row>
    <row r="467" spans="1:7" ht="15.75" thickBot="1" x14ac:dyDescent="0.3">
      <c r="A467" s="68">
        <v>201105</v>
      </c>
      <c r="B467" s="70">
        <v>-6909214.5968986209</v>
      </c>
      <c r="C467" s="70">
        <v>-13008659.651002886</v>
      </c>
      <c r="D467" s="70">
        <v>14817288.529345531</v>
      </c>
      <c r="E467" s="54">
        <f>IF(B467&lt;&gt;"",hddtohms(getlatitude(B467,C467,D467)),"")</f>
        <v>45.214443293430023</v>
      </c>
      <c r="F467" s="54">
        <f>IF(B467&lt;&gt;"",hddtohms(-GetLongitude(B467,C467,D467)),"")</f>
        <v>117.58258779804133</v>
      </c>
      <c r="G467" s="59">
        <f t="shared" si="7"/>
        <v>2659.6869211752237</v>
      </c>
    </row>
    <row r="468" spans="1:7" ht="15.75" thickBot="1" x14ac:dyDescent="0.3">
      <c r="A468" s="68">
        <v>201106</v>
      </c>
      <c r="B468" s="70">
        <v>-6908329.4120512931</v>
      </c>
      <c r="C468" s="70">
        <v>-13006994.444543477</v>
      </c>
      <c r="D468" s="70">
        <v>14819171.539883144</v>
      </c>
      <c r="E468" s="54">
        <f>IF(B468&lt;&gt;"",hddtohms(getlatitude(B468,C468,D468)),"")</f>
        <v>45.221074077224948</v>
      </c>
      <c r="F468" s="54">
        <f>IF(B468&lt;&gt;"",hddtohms(-GetLongitude(B468,C468,D468)),"")</f>
        <v>117.58258686627752</v>
      </c>
      <c r="G468" s="59">
        <f t="shared" si="7"/>
        <v>2674.6962048735422</v>
      </c>
    </row>
    <row r="469" spans="1:7" ht="15.75" thickBot="1" x14ac:dyDescent="0.3">
      <c r="A469" s="68">
        <v>201107</v>
      </c>
      <c r="B469" s="70">
        <v>-6902938.3909097323</v>
      </c>
      <c r="C469" s="70">
        <v>-12997038.529012691</v>
      </c>
      <c r="D469" s="70">
        <v>14830358.907515008</v>
      </c>
      <c r="E469" s="54">
        <f>IF(B469&lt;&gt;"",hddtohms(getlatitude(B469,C469,D469)),"")</f>
        <v>45.244786336762338</v>
      </c>
      <c r="F469" s="54">
        <f>IF(B469&lt;&gt;"",hddtohms(-GetLongitude(B469,C469,D469)),"")</f>
        <v>117.58245912971707</v>
      </c>
      <c r="G469" s="59">
        <f t="shared" si="7"/>
        <v>2688.6394316421865</v>
      </c>
    </row>
    <row r="470" spans="1:7" ht="15.75" thickBot="1" x14ac:dyDescent="0.3">
      <c r="A470" s="68">
        <v>201108</v>
      </c>
      <c r="B470" s="70">
        <v>-6902028.5824616021</v>
      </c>
      <c r="C470" s="70">
        <v>-12995392.053160688</v>
      </c>
      <c r="D470" s="70">
        <v>14832219.762780298</v>
      </c>
      <c r="E470" s="54">
        <f>IF(B470&lt;&gt;"",hddtohms(getlatitude(B470,C470,D470)),"")</f>
        <v>45.251398217580267</v>
      </c>
      <c r="F470" s="54">
        <f>IF(B470&lt;&gt;"",hddtohms(-GetLongitude(B470,C470,D470)),"")</f>
        <v>117.58241538092739</v>
      </c>
      <c r="G470" s="59">
        <f t="shared" si="7"/>
        <v>2693.7419490769862</v>
      </c>
    </row>
    <row r="471" spans="1:7" ht="15.75" thickBot="1" x14ac:dyDescent="0.3">
      <c r="A471" s="68">
        <v>201109</v>
      </c>
      <c r="B471" s="70">
        <v>-6915493.4173489846</v>
      </c>
      <c r="C471" s="70">
        <v>-13009597.950276077</v>
      </c>
      <c r="D471" s="70">
        <v>14813538.705801692</v>
      </c>
      <c r="E471" s="54">
        <f>IF(B471&lt;&gt;"",hddtohms(getlatitude(B471,C471,D471)),"")</f>
        <v>45.205190811684545</v>
      </c>
      <c r="F471" s="54">
        <f>IF(B471&lt;&gt;"",hddtohms(-GetLongitude(B471,C471,D471)),"")</f>
        <v>117.59373481335882</v>
      </c>
      <c r="G471" s="59">
        <f t="shared" si="7"/>
        <v>2644.3430112631613</v>
      </c>
    </row>
    <row r="472" spans="1:7" ht="15.75" thickBot="1" x14ac:dyDescent="0.3">
      <c r="A472" s="68">
        <v>201110</v>
      </c>
      <c r="B472" s="70">
        <v>-6916388.7052096063</v>
      </c>
      <c r="C472" s="70">
        <v>-13011269.32602868</v>
      </c>
      <c r="D472" s="70">
        <v>14811668.346349329</v>
      </c>
      <c r="E472" s="54">
        <f>IF(B472&lt;&gt;"",hddtohms(getlatitude(B472,C472,D472)),"")</f>
        <v>45.202561631924986</v>
      </c>
      <c r="F472" s="54">
        <f>IF(B472&lt;&gt;"",hddtohms(-GetLongitude(B472,C472,D472)),"")</f>
        <v>117.59374326408175</v>
      </c>
      <c r="G472" s="59">
        <f t="shared" si="7"/>
        <v>2646.5131809606755</v>
      </c>
    </row>
    <row r="473" spans="1:7" ht="15.75" thickBot="1" x14ac:dyDescent="0.3">
      <c r="A473" s="68">
        <v>201201</v>
      </c>
      <c r="B473" s="70">
        <v>-6939743.3563004071</v>
      </c>
      <c r="C473" s="70">
        <v>-13055153.761552243</v>
      </c>
      <c r="D473" s="70">
        <v>14763912.635668632</v>
      </c>
      <c r="E473" s="54">
        <f>IF(B473&lt;&gt;"",hddtohms(getlatitude(B473,C473,D473)),"")</f>
        <v>45.090520194425658</v>
      </c>
      <c r="F473" s="54">
        <f>IF(B473&lt;&gt;"",hddtohms(-GetLongitude(B473,C473,D473)),"")</f>
        <v>117.59377657527062</v>
      </c>
      <c r="G473" s="59">
        <f t="shared" si="7"/>
        <v>3733.9616747856908</v>
      </c>
    </row>
    <row r="474" spans="1:7" ht="15.75" thickBot="1" x14ac:dyDescent="0.3">
      <c r="A474" s="68">
        <v>201202</v>
      </c>
      <c r="B474" s="70">
        <v>-6941566.9494142523</v>
      </c>
      <c r="C474" s="70">
        <v>-13058582.356932271</v>
      </c>
      <c r="D474" s="70">
        <v>14760320.895671131</v>
      </c>
      <c r="E474" s="54">
        <f>IF(B474&lt;&gt;"",hddtohms(getlatitude(B474,C474,D474)),"")</f>
        <v>45.08130183626276</v>
      </c>
      <c r="F474" s="54">
        <f>IF(B474&lt;&gt;"",hddtohms(-GetLongitude(B474,C474,D474)),"")</f>
        <v>117.59377786919744</v>
      </c>
      <c r="G474" s="59">
        <f t="shared" si="7"/>
        <v>3926.8896648733626</v>
      </c>
    </row>
    <row r="475" spans="1:7" ht="15.75" thickBot="1" x14ac:dyDescent="0.3">
      <c r="A475" s="68">
        <v>201203</v>
      </c>
      <c r="B475" s="70">
        <v>-6938430.8894428853</v>
      </c>
      <c r="C475" s="70">
        <v>-13064033.978213033</v>
      </c>
      <c r="D475" s="70">
        <v>14756280.948174471</v>
      </c>
      <c r="E475" s="54">
        <f>IF(B475&lt;&gt;"",hddtohms(getlatitude(B475,C475,D475)),"")</f>
        <v>45.072149570299452</v>
      </c>
      <c r="F475" s="54">
        <f>IF(B475&lt;&gt;"",hddtohms(-GetLongitude(B475,C475,D475)),"")</f>
        <v>117.58234845119466</v>
      </c>
      <c r="G475" s="59">
        <f t="shared" si="7"/>
        <v>3422.0638952010377</v>
      </c>
    </row>
    <row r="476" spans="1:7" ht="15.75" thickBot="1" x14ac:dyDescent="0.3">
      <c r="A476" s="68">
        <v>201204</v>
      </c>
      <c r="B476" s="70">
        <v>-6946723.5562449638</v>
      </c>
      <c r="C476" s="70">
        <v>-13068315.022555044</v>
      </c>
      <c r="D476" s="70">
        <v>14748894.491677489</v>
      </c>
      <c r="E476" s="54">
        <f>IF(B476&lt;&gt;"",hddtohms(getlatitude(B476,C476,D476)),"")</f>
        <v>45.053638040278642</v>
      </c>
      <c r="F476" s="54">
        <f>IF(B476&lt;&gt;"",hddtohms(-GetLongitude(B476,C476,D476)),"")</f>
        <v>117.59375695055597</v>
      </c>
      <c r="G476" s="59">
        <f t="shared" si="7"/>
        <v>3603.5968709493573</v>
      </c>
    </row>
    <row r="477" spans="1:7" ht="15.75" thickBot="1" x14ac:dyDescent="0.3">
      <c r="A477" s="68">
        <v>201205</v>
      </c>
      <c r="B477" s="70">
        <v>-6948508.4369605975</v>
      </c>
      <c r="C477" s="70">
        <v>-13071697.548262769</v>
      </c>
      <c r="D477" s="70">
        <v>14745221.309650529</v>
      </c>
      <c r="E477" s="54">
        <f>IF(B477&lt;&gt;"",hddtohms(getlatitude(B477,C477,D477)),"")</f>
        <v>45.044404157342633</v>
      </c>
      <c r="F477" s="54">
        <f>IF(B477&lt;&gt;"",hddtohms(-GetLongitude(B477,C477,D477)),"")</f>
        <v>117.59374074950327</v>
      </c>
      <c r="G477" s="59">
        <f t="shared" si="7"/>
        <v>3702.6530575631132</v>
      </c>
    </row>
    <row r="478" spans="1:7" ht="15.75" thickBot="1" x14ac:dyDescent="0.3">
      <c r="A478" s="68">
        <v>201206</v>
      </c>
      <c r="B478" s="70">
        <v>-6934967.4648559354</v>
      </c>
      <c r="C478" s="70">
        <v>-13057520.294380382</v>
      </c>
      <c r="D478" s="70">
        <v>14763839.366717778</v>
      </c>
      <c r="E478" s="54">
        <f>IF(B478&lt;&gt;"",hddtohms(getlatitude(B478,C478,D478)),"")</f>
        <v>45.090574927664342</v>
      </c>
      <c r="F478" s="54">
        <f>IF(B478&lt;&gt;"",hddtohms(-GetLongitude(B478,C478,D478)),"")</f>
        <v>117.58234358921345</v>
      </c>
      <c r="G478" s="59">
        <f t="shared" si="7"/>
        <v>3575.4645118890094</v>
      </c>
    </row>
    <row r="479" spans="1:7" ht="15.75" thickBot="1" x14ac:dyDescent="0.3">
      <c r="A479" s="68">
        <v>201207</v>
      </c>
      <c r="B479" s="70">
        <v>-6938242.0124904606</v>
      </c>
      <c r="C479" s="70">
        <v>-13041037.302861916</v>
      </c>
      <c r="D479" s="70">
        <v>14776976.281436235</v>
      </c>
      <c r="E479" s="54">
        <f>IF(B479&lt;&gt;"",hddtohms(getlatitude(B479,C479,D479)),"")</f>
        <v>45.120831159741769</v>
      </c>
      <c r="F479" s="54">
        <f>IF(B479&lt;&gt;"",hddtohms(-GetLongitude(B479,C479,D479)),"")</f>
        <v>118.00517750326362</v>
      </c>
      <c r="G479" s="59">
        <f t="shared" si="7"/>
        <v>3717.0442678865493</v>
      </c>
    </row>
    <row r="480" spans="1:7" ht="15.75" thickBot="1" x14ac:dyDescent="0.3">
      <c r="A480" s="68">
        <v>201208</v>
      </c>
      <c r="B480" s="70">
        <v>-6937472.1390525261</v>
      </c>
      <c r="C480" s="70">
        <v>-13039515.020703407</v>
      </c>
      <c r="D480" s="70">
        <v>14779011.77969108</v>
      </c>
      <c r="E480" s="54">
        <f>IF(B480&lt;&gt;"",hddtohms(getlatitude(B480,C480,D480)),"")</f>
        <v>45.123441625659346</v>
      </c>
      <c r="F480" s="54">
        <f>IF(B480&lt;&gt;"",hddtohms(-GetLongitude(B480,C480,D480)),"")</f>
        <v>118.0052268532326</v>
      </c>
      <c r="G480" s="59">
        <f t="shared" si="7"/>
        <v>3959.8802990960867</v>
      </c>
    </row>
    <row r="481" spans="1:7" ht="15.75" thickBot="1" x14ac:dyDescent="0.3">
      <c r="A481" s="68">
        <v>201209</v>
      </c>
      <c r="B481" s="70">
        <v>-6929303.9392136708</v>
      </c>
      <c r="C481" s="70">
        <v>-13013000.934377352</v>
      </c>
      <c r="D481" s="70">
        <v>14804184.516734971</v>
      </c>
      <c r="E481" s="54">
        <f>IF(B481&lt;&gt;"",hddtohms(getlatitude(B481,C481,D481)),"")</f>
        <v>45.18403571211401</v>
      </c>
      <c r="F481" s="54">
        <f>IF(B481&lt;&gt;"",hddtohms(-GetLongitude(B481,C481,D481)),"")</f>
        <v>118.02056140837914</v>
      </c>
      <c r="G481" s="59">
        <f t="shared" si="7"/>
        <v>2664.4167920355558</v>
      </c>
    </row>
    <row r="482" spans="1:7" ht="15.75" thickBot="1" x14ac:dyDescent="0.3">
      <c r="A482" s="68">
        <v>201301</v>
      </c>
      <c r="B482" s="70">
        <v>-6922845.9561689058</v>
      </c>
      <c r="C482" s="70">
        <v>-13012124.674108988</v>
      </c>
      <c r="D482" s="70">
        <v>14807941.272139562</v>
      </c>
      <c r="E482" s="54">
        <f>IF(B482&lt;&gt;"",hddtohms(getlatitude(B482,C482,D482)),"")</f>
        <v>45.193316245245775</v>
      </c>
      <c r="F482" s="54">
        <f>IF(B482&lt;&gt;"",hddtohms(-GetLongitude(B482,C482,D482)),"")</f>
        <v>118.00516066575256</v>
      </c>
      <c r="G482" s="59">
        <f t="shared" si="7"/>
        <v>2658.0587833405352</v>
      </c>
    </row>
    <row r="483" spans="1:7" ht="15.75" thickBot="1" x14ac:dyDescent="0.3">
      <c r="A483" s="68">
        <v>201302</v>
      </c>
      <c r="B483" s="70">
        <v>-6923735.8042291887</v>
      </c>
      <c r="C483" s="70">
        <v>-13013789.451967826</v>
      </c>
      <c r="D483" s="70">
        <v>14806073.489692729</v>
      </c>
      <c r="E483" s="54">
        <f>IF(B483&lt;&gt;"",hddtohms(getlatitude(B483,C483,D483)),"")</f>
        <v>45.190694727540844</v>
      </c>
      <c r="F483" s="54">
        <f>IF(B483&lt;&gt;"",hddtohms(-GetLongitude(B483,C483,D483)),"")</f>
        <v>118.00516577452362</v>
      </c>
      <c r="G483" s="59">
        <f t="shared" si="7"/>
        <v>2657.1870779476194</v>
      </c>
    </row>
    <row r="484" spans="1:7" ht="15.75" thickBot="1" x14ac:dyDescent="0.3">
      <c r="A484" s="68">
        <v>201303</v>
      </c>
      <c r="B484" s="70">
        <v>-6924624.9098872812</v>
      </c>
      <c r="C484" s="70">
        <v>-13015452.827727366</v>
      </c>
      <c r="D484" s="70">
        <v>14804204.19444732</v>
      </c>
      <c r="E484" s="54">
        <f>IF(B484&lt;&gt;"",hddtohms(getlatitude(B484,C484,D484)),"")</f>
        <v>45.184073269515231</v>
      </c>
      <c r="F484" s="54">
        <f>IF(B484&lt;&gt;"",hddtohms(-GetLongitude(B484,C484,D484)),"")</f>
        <v>118.00517088638129</v>
      </c>
      <c r="G484" s="59">
        <f t="shared" si="7"/>
        <v>2654.4616481346893</v>
      </c>
    </row>
    <row r="485" spans="1:7" ht="15.75" thickBot="1" x14ac:dyDescent="0.3">
      <c r="A485" s="68">
        <v>201304</v>
      </c>
      <c r="B485" s="70">
        <v>-6925510.1423498336</v>
      </c>
      <c r="C485" s="70">
        <v>-13017129.912084216</v>
      </c>
      <c r="D485" s="70">
        <v>14802328.505005408</v>
      </c>
      <c r="E485" s="54">
        <f>IF(B485&lt;&gt;"",hddtohms(getlatitude(B485,C485,D485)),"")</f>
        <v>45.181440151649497</v>
      </c>
      <c r="F485" s="54">
        <f>IF(B485&lt;&gt;"",hddtohms(-GetLongitude(B485,C485,D485)),"")</f>
        <v>118.00516220627594</v>
      </c>
      <c r="G485" s="59">
        <f t="shared" si="7"/>
        <v>2654.7610015889713</v>
      </c>
    </row>
    <row r="486" spans="1:7" ht="15.75" thickBot="1" x14ac:dyDescent="0.3">
      <c r="A486" s="68">
        <v>201305</v>
      </c>
      <c r="B486" s="70">
        <v>-6928140.4625521079</v>
      </c>
      <c r="C486" s="70">
        <v>-13022138.338683175</v>
      </c>
      <c r="D486" s="70">
        <v>14796724.554800687</v>
      </c>
      <c r="E486" s="54">
        <f>IF(B486&lt;&gt;"",hddtohms(getlatitude(B486,C486,D486)),"")</f>
        <v>45.165579334177757</v>
      </c>
      <c r="F486" s="54">
        <f>IF(B486&lt;&gt;"",hddtohms(-GetLongitude(B486,C486,D486)),"")</f>
        <v>118.00511984315287</v>
      </c>
      <c r="G486" s="59">
        <f t="shared" si="7"/>
        <v>2651.5634015777305</v>
      </c>
    </row>
    <row r="487" spans="1:7" ht="15.75" thickBot="1" x14ac:dyDescent="0.3">
      <c r="A487" s="68">
        <v>201306</v>
      </c>
      <c r="B487" s="70">
        <v>-6923455.5147305671</v>
      </c>
      <c r="C487" s="70">
        <v>-13024609.124829628</v>
      </c>
      <c r="D487" s="70">
        <v>14796733.885618901</v>
      </c>
      <c r="E487" s="54">
        <f>IF(B487&lt;&gt;"",hddtohms(getlatitude(B487,C487,D487)),"")</f>
        <v>45.165598609627835</v>
      </c>
      <c r="F487" s="54">
        <f>IF(B487&lt;&gt;"",hddtohms(-GetLongitude(B487,C487,D487)),"")</f>
        <v>117.59371336409347</v>
      </c>
      <c r="G487" s="59">
        <f t="shared" si="7"/>
        <v>2645.3605591158812</v>
      </c>
    </row>
    <row r="488" spans="1:7" ht="15.75" thickBot="1" x14ac:dyDescent="0.3">
      <c r="A488" s="68">
        <v>201401</v>
      </c>
      <c r="B488" s="70">
        <v>-6919914.6433612574</v>
      </c>
      <c r="C488" s="70">
        <v>-12984045.451335939</v>
      </c>
      <c r="D488" s="70">
        <v>14834098.570871131</v>
      </c>
      <c r="E488" s="54">
        <f>IF(B488&lt;&gt;"",hddtohms(getlatitude(B488,C488,D488)),"")</f>
        <v>45.253836352926776</v>
      </c>
      <c r="F488" s="54">
        <f>IF(B488&lt;&gt;"",hddtohms(-GetLongitude(B488,C488,D488)),"")</f>
        <v>118.03202214928875</v>
      </c>
      <c r="G488" s="59">
        <f t="shared" ref="G488:G551" si="8">IF(B488&lt;&gt;"",GetHeight(B488,C488,D488),"")</f>
        <v>2897.7742459919118</v>
      </c>
    </row>
    <row r="489" spans="1:7" ht="15.75" thickBot="1" x14ac:dyDescent="0.3">
      <c r="A489" s="68">
        <v>201402</v>
      </c>
      <c r="B489" s="70">
        <v>-6924881.6664317632</v>
      </c>
      <c r="C489" s="70">
        <v>-12982171.785514673</v>
      </c>
      <c r="D489" s="70">
        <v>14834738.16307855</v>
      </c>
      <c r="E489" s="54">
        <f>IF(B489&lt;&gt;"",hddtohms(getlatitude(B489,C489,D489)),"")</f>
        <v>45.253798762562511</v>
      </c>
      <c r="F489" s="54">
        <f>IF(B489&lt;&gt;"",hddtohms(-GetLongitude(B489,C489,D489)),"")</f>
        <v>118.04340238634141</v>
      </c>
      <c r="G489" s="59">
        <f t="shared" si="8"/>
        <v>3833.140267927718</v>
      </c>
    </row>
    <row r="490" spans="1:7" ht="15.75" thickBot="1" x14ac:dyDescent="0.3">
      <c r="A490" s="68">
        <v>201403</v>
      </c>
      <c r="B490" s="70">
        <v>-6879284.5206249775</v>
      </c>
      <c r="C490" s="70">
        <v>-13020232.552852195</v>
      </c>
      <c r="D490" s="70">
        <v>14820986.886804288</v>
      </c>
      <c r="E490" s="54">
        <f>IF(B490&lt;&gt;"",hddtohms(getlatitude(B490,C490,D490)),"")</f>
        <v>45.223666595884218</v>
      </c>
      <c r="F490" s="54">
        <f>IF(B490&lt;&gt;"",hddtohms(-GetLongitude(B490,C490,D490)),"")</f>
        <v>117.5059593181994</v>
      </c>
      <c r="G490" s="59">
        <f t="shared" si="8"/>
        <v>2633.2262238386629</v>
      </c>
    </row>
    <row r="491" spans="1:7" ht="15.75" thickBot="1" x14ac:dyDescent="0.3">
      <c r="A491" s="68">
        <v>201404</v>
      </c>
      <c r="B491" s="70">
        <v>-6880158.0961020784</v>
      </c>
      <c r="C491" s="70">
        <v>-13021904.673321048</v>
      </c>
      <c r="D491" s="70">
        <v>14819125.99706981</v>
      </c>
      <c r="E491" s="54">
        <f>IF(B491&lt;&gt;"",hddtohms(getlatitude(B491,C491,D491)),"")</f>
        <v>45.221050672894457</v>
      </c>
      <c r="F491" s="54">
        <f>IF(B491&lt;&gt;"",hddtohms(-GetLongitude(B491,C491,D491)),"")</f>
        <v>117.50594706506263</v>
      </c>
      <c r="G491" s="59">
        <f t="shared" si="8"/>
        <v>2634.1048143300632</v>
      </c>
    </row>
    <row r="492" spans="1:7" ht="15.75" thickBot="1" x14ac:dyDescent="0.3">
      <c r="A492" s="68">
        <v>201405</v>
      </c>
      <c r="B492" s="70">
        <v>-6877274.0385152157</v>
      </c>
      <c r="C492" s="70">
        <v>-13027725.408865351</v>
      </c>
      <c r="D492" s="70">
        <v>14815406.742468338</v>
      </c>
      <c r="E492" s="54">
        <f>IF(B492&lt;&gt;"",hddtohms(getlatitude(B492,C492,D492)),"")</f>
        <v>45.211801536099337</v>
      </c>
      <c r="F492" s="54">
        <f>IF(B492&lt;&gt;"",hddtohms(-GetLongitude(B492,C492,D492)),"")</f>
        <v>117.49456935292702</v>
      </c>
      <c r="G492" s="59">
        <f t="shared" si="8"/>
        <v>2657.7094282682101</v>
      </c>
    </row>
    <row r="493" spans="1:7" ht="15.75" thickBot="1" x14ac:dyDescent="0.3">
      <c r="A493" s="68">
        <v>201406</v>
      </c>
      <c r="B493" s="70">
        <v>-6875500.1894974597</v>
      </c>
      <c r="C493" s="70">
        <v>-13024461.941732969</v>
      </c>
      <c r="D493" s="70">
        <v>14819203.58952626</v>
      </c>
      <c r="E493" s="54">
        <f>IF(B493&lt;&gt;"",hddtohms(getlatitude(B493,C493,D493)),"")</f>
        <v>45.22104402473262</v>
      </c>
      <c r="F493" s="54">
        <f>IF(B493&lt;&gt;"",hddtohms(-GetLongitude(B493,C493,D493)),"")</f>
        <v>117.4945060884572</v>
      </c>
      <c r="G493" s="59">
        <f t="shared" si="8"/>
        <v>2749.7843044610563</v>
      </c>
    </row>
    <row r="494" spans="1:7" ht="15.75" thickBot="1" x14ac:dyDescent="0.3">
      <c r="A494" s="68">
        <v>201407</v>
      </c>
      <c r="B494" s="70">
        <v>-6909332.6853337148</v>
      </c>
      <c r="C494" s="70">
        <v>-12997969.473711342</v>
      </c>
      <c r="D494" s="70">
        <v>14826624.535555951</v>
      </c>
      <c r="E494" s="54">
        <f>IF(B494&lt;&gt;"",hddtohms(getlatitude(B494,C494,D494)),"")</f>
        <v>45.235511125011413</v>
      </c>
      <c r="F494" s="54">
        <f>IF(B494&lt;&gt;"",hddtohms(-GetLongitude(B494,C494,D494)),"")</f>
        <v>117.59376030227779</v>
      </c>
      <c r="G494" s="59">
        <f t="shared" si="8"/>
        <v>2713.0415929970241</v>
      </c>
    </row>
    <row r="495" spans="1:7" ht="15.75" thickBot="1" x14ac:dyDescent="0.3">
      <c r="A495" s="68">
        <v>201408</v>
      </c>
      <c r="B495" s="70">
        <v>-6874673.5714484043</v>
      </c>
      <c r="C495" s="70">
        <v>-13022859.42752612</v>
      </c>
      <c r="D495" s="70">
        <v>14821162.731773086</v>
      </c>
      <c r="E495" s="54">
        <f>IF(B495&lt;&gt;"",hddtohms(getlatitude(B495,C495,D495)),"")</f>
        <v>45.223669414420556</v>
      </c>
      <c r="F495" s="54">
        <f>IF(B495&lt;&gt;"",hddtohms(-GetLongitude(B495,C495,D495)),"")</f>
        <v>117.49453003872705</v>
      </c>
      <c r="G495" s="59">
        <f t="shared" si="8"/>
        <v>2877.4710600660728</v>
      </c>
    </row>
    <row r="496" spans="1:7" ht="15.75" thickBot="1" x14ac:dyDescent="0.3">
      <c r="A496" s="68">
        <v>201409</v>
      </c>
      <c r="B496" s="70">
        <v>-6937613.2062519239</v>
      </c>
      <c r="C496" s="70">
        <v>-13017259.657224596</v>
      </c>
      <c r="D496" s="70">
        <v>14796856.771907184</v>
      </c>
      <c r="E496" s="54">
        <f>IF(B496&lt;&gt;"",hddtohms(getlatitude(B496,C496,D496)),"")</f>
        <v>45.165568717440209</v>
      </c>
      <c r="F496" s="54">
        <f>IF(B496&lt;&gt;"",hddtohms(-GetLongitude(B496,C496,D496)),"")</f>
        <v>118.03201829773093</v>
      </c>
      <c r="G496" s="59">
        <f t="shared" si="8"/>
        <v>2848.2817133538156</v>
      </c>
    </row>
    <row r="497" spans="1:7" ht="15.75" thickBot="1" x14ac:dyDescent="0.3">
      <c r="A497" s="68">
        <v>201410</v>
      </c>
      <c r="B497" s="70">
        <v>-6941951.8146644849</v>
      </c>
      <c r="C497" s="70">
        <v>-13008550.0991049</v>
      </c>
      <c r="D497" s="70">
        <v>14802509.533570554</v>
      </c>
      <c r="E497" s="54">
        <f>IF(B497&lt;&gt;"",hddtohms(getlatitude(B497,C497,D497)),"")</f>
        <v>45.181453794558898</v>
      </c>
      <c r="F497" s="54">
        <f>IF(B497&lt;&gt;"",hddtohms(-GetLongitude(B497,C497,D497)),"")</f>
        <v>118.05110466040242</v>
      </c>
      <c r="G497" s="59">
        <f t="shared" si="8"/>
        <v>2895.7522329209205</v>
      </c>
    </row>
    <row r="498" spans="1:7" ht="15.75" thickBot="1" x14ac:dyDescent="0.3">
      <c r="A498" s="68">
        <v>201411</v>
      </c>
      <c r="B498" s="70">
        <v>-6934559.461178204</v>
      </c>
      <c r="C498" s="70">
        <v>-13005939.199605221</v>
      </c>
      <c r="D498" s="70">
        <v>14807981.749824297</v>
      </c>
      <c r="E498" s="54">
        <f>IF(B498&lt;&gt;"",hddtohms(getlatitude(B498,C498,D498)),"")</f>
        <v>45.193311363272848</v>
      </c>
      <c r="F498" s="54">
        <f>IF(B498&lt;&gt;"",hddtohms(-GetLongitude(B498,C498,D498)),"")</f>
        <v>118.03569800918882</v>
      </c>
      <c r="G498" s="59">
        <f t="shared" si="8"/>
        <v>2719.8694700619853</v>
      </c>
    </row>
    <row r="499" spans="1:7" ht="15.75" thickBot="1" x14ac:dyDescent="0.3">
      <c r="A499" s="68">
        <v>201412</v>
      </c>
      <c r="B499" s="70">
        <v>-6932211.8531291913</v>
      </c>
      <c r="C499" s="70">
        <v>-13007166.265328793</v>
      </c>
      <c r="D499" s="70">
        <v>14807951.09530082</v>
      </c>
      <c r="E499" s="54">
        <f>IF(B499&lt;&gt;"",hddtohms(getlatitude(B499,C499,D499)),"")</f>
        <v>45.193305184229672</v>
      </c>
      <c r="F499" s="54">
        <f>IF(B499&lt;&gt;"",hddtohms(-GetLongitude(B499,C499,D499)),"")</f>
        <v>118.03199109116396</v>
      </c>
      <c r="G499" s="59">
        <f t="shared" si="8"/>
        <v>2682.9503583084334</v>
      </c>
    </row>
    <row r="500" spans="1:7" ht="15.75" thickBot="1" x14ac:dyDescent="0.3">
      <c r="A500" s="68">
        <v>201413</v>
      </c>
      <c r="B500" s="70">
        <v>-6929887.5906988932</v>
      </c>
      <c r="C500" s="70">
        <v>-13008399.869337922</v>
      </c>
      <c r="D500" s="70">
        <v>14807942.739446713</v>
      </c>
      <c r="E500" s="54">
        <f>IF(B500&lt;&gt;"",hddtohms(getlatitude(B500,C500,D500)),"")</f>
        <v>45.193302391290835</v>
      </c>
      <c r="F500" s="54">
        <f>IF(B500&lt;&gt;"",hddtohms(-GetLongitude(B500,C500,D500)),"")</f>
        <v>118.02430869486005</v>
      </c>
      <c r="G500" s="59">
        <f t="shared" si="8"/>
        <v>2673.9972265099768</v>
      </c>
    </row>
    <row r="501" spans="1:7" ht="15.75" thickBot="1" x14ac:dyDescent="0.3">
      <c r="A501" s="68">
        <v>201414</v>
      </c>
      <c r="B501" s="70">
        <v>-6927256.8713905932</v>
      </c>
      <c r="C501" s="70">
        <v>-13020478.709717939</v>
      </c>
      <c r="D501" s="70">
        <v>14798589.433241539</v>
      </c>
      <c r="E501" s="54">
        <f>IF(B501&lt;&gt;"",hddtohms(getlatitude(B501,C501,D501)),"")</f>
        <v>45.172193601797581</v>
      </c>
      <c r="F501" s="54">
        <f>IF(B501&lt;&gt;"",hddtohms(-GetLongitude(B501,C501,D501)),"")</f>
        <v>118.00511907480609</v>
      </c>
      <c r="G501" s="59">
        <f t="shared" si="8"/>
        <v>2653.9482661697657</v>
      </c>
    </row>
    <row r="502" spans="1:7" ht="15.75" thickBot="1" x14ac:dyDescent="0.3">
      <c r="A502" s="68">
        <v>201415</v>
      </c>
      <c r="B502" s="70">
        <v>-6929929.6043657688</v>
      </c>
      <c r="C502" s="70">
        <v>-13025451.721100654</v>
      </c>
      <c r="D502" s="70">
        <v>14792996.416298222</v>
      </c>
      <c r="E502" s="54">
        <f>IF(B502&lt;&gt;"",hddtohms(getlatitude(B502,C502,D502)),"")</f>
        <v>45.160348316099785</v>
      </c>
      <c r="F502" s="54">
        <f>IF(B502&lt;&gt;"",hddtohms(-GetLongitude(B502,C502,D502)),"")</f>
        <v>118.00515233980803</v>
      </c>
      <c r="G502" s="59">
        <f t="shared" si="8"/>
        <v>2652.5587257504867</v>
      </c>
    </row>
    <row r="503" spans="1:7" ht="15.75" thickBot="1" x14ac:dyDescent="0.3">
      <c r="A503" s="68">
        <v>201416</v>
      </c>
      <c r="B503" s="70">
        <v>-6928934.4955287911</v>
      </c>
      <c r="C503" s="70">
        <v>-12989790.559110276</v>
      </c>
      <c r="D503" s="70">
        <v>14824836.136220032</v>
      </c>
      <c r="E503" s="54">
        <f>IF(B503&lt;&gt;"",hddtohms(getlatitude(B503,C503,D503)),"")</f>
        <v>45.2328700749907</v>
      </c>
      <c r="F503" s="54">
        <f>IF(B503&lt;&gt;"",hddtohms(-GetLongitude(B503,C503,D503)),"")</f>
        <v>118.04338861914697</v>
      </c>
      <c r="G503" s="59">
        <f t="shared" si="8"/>
        <v>2839.8642698053754</v>
      </c>
    </row>
    <row r="504" spans="1:7" ht="15.75" thickBot="1" x14ac:dyDescent="0.3">
      <c r="A504" s="68">
        <v>201417</v>
      </c>
      <c r="B504" s="70">
        <v>-6933390.0995636098</v>
      </c>
      <c r="C504" s="70">
        <v>-13015107.96219225</v>
      </c>
      <c r="D504" s="70">
        <v>14800442.682515385</v>
      </c>
      <c r="E504" s="54">
        <f>IF(B504&lt;&gt;"",hddtohms(getlatitude(B504,C504,D504)),"")</f>
        <v>45.174784648165733</v>
      </c>
      <c r="F504" s="54">
        <f>IF(B504&lt;&gt;"",hddtohms(-GetLongitude(B504,C504,D504)),"")</f>
        <v>118.02422098089541</v>
      </c>
      <c r="G504" s="59">
        <f t="shared" si="8"/>
        <v>2663.5833713444426</v>
      </c>
    </row>
    <row r="505" spans="1:7" ht="15.75" thickBot="1" x14ac:dyDescent="0.3">
      <c r="A505" s="68">
        <v>201418</v>
      </c>
      <c r="B505" s="70">
        <v>-6865013.6740961252</v>
      </c>
      <c r="C505" s="70">
        <v>-12959461.581210226</v>
      </c>
      <c r="D505" s="70">
        <v>14880460.382201951</v>
      </c>
      <c r="E505" s="54">
        <f>IF(B505&lt;&gt;"",hddtohms(getlatitude(B505,C505,D505)),"")</f>
        <v>45.363337049152754</v>
      </c>
      <c r="F505" s="54">
        <f>IF(B505&lt;&gt;"",hddtohms(-GetLongitude(B505,C505,D505)),"")</f>
        <v>117.54414159754214</v>
      </c>
      <c r="G505" s="59">
        <f t="shared" si="8"/>
        <v>2714.2771761975891</v>
      </c>
    </row>
    <row r="506" spans="1:7" ht="15.75" thickBot="1" x14ac:dyDescent="0.3">
      <c r="A506" s="68">
        <v>201419</v>
      </c>
      <c r="B506" s="70">
        <v>-6865906.6865593735</v>
      </c>
      <c r="C506" s="70">
        <v>-12961140.472261483</v>
      </c>
      <c r="D506" s="70">
        <v>14878586.655051611</v>
      </c>
      <c r="E506" s="54">
        <f>IF(B506&lt;&gt;"",hddtohms(getlatitude(B506,C506,D506)),"")</f>
        <v>45.360701764807878</v>
      </c>
      <c r="F506" s="54">
        <f>IF(B506&lt;&gt;"",hddtohms(-GetLongitude(B506,C506,D506)),"")</f>
        <v>117.54414613803526</v>
      </c>
      <c r="G506" s="59">
        <f t="shared" si="8"/>
        <v>2705.7785905408673</v>
      </c>
    </row>
    <row r="507" spans="1:7" ht="15.75" thickBot="1" x14ac:dyDescent="0.3">
      <c r="A507" s="68">
        <v>201420</v>
      </c>
      <c r="B507" s="70">
        <v>-6864204.4387908699</v>
      </c>
      <c r="C507" s="70">
        <v>-12957944.543379972</v>
      </c>
      <c r="D507" s="70">
        <v>14882513.178988539</v>
      </c>
      <c r="E507" s="54">
        <f>IF(B507&lt;&gt;"",hddtohms(getlatitude(B507,C507,D507)),"")</f>
        <v>45.365967399925715</v>
      </c>
      <c r="F507" s="54">
        <f>IF(B507&lt;&gt;"",hddtohms(-GetLongitude(B507,C507,D507)),"")</f>
        <v>117.54413461800198</v>
      </c>
      <c r="G507" s="59">
        <f t="shared" si="8"/>
        <v>2978.5636850630217</v>
      </c>
    </row>
    <row r="508" spans="1:7" ht="15.75" thickBot="1" x14ac:dyDescent="0.3">
      <c r="A508" s="68">
        <v>201421</v>
      </c>
      <c r="B508" s="70">
        <v>-6952618.1027965741</v>
      </c>
      <c r="C508" s="70">
        <v>-13079791.607743174</v>
      </c>
      <c r="D508" s="70">
        <v>14735764.352919297</v>
      </c>
      <c r="E508" s="54">
        <f>IF(B508&lt;&gt;"",hddtohms(getlatitude(B508,C508,D508)),"")</f>
        <v>45.023467531829304</v>
      </c>
      <c r="F508" s="54">
        <f>IF(B508&lt;&gt;"",hddtohms(-GetLongitude(B508,C508,D508)),"")</f>
        <v>117.5935035873423</v>
      </c>
      <c r="G508" s="59">
        <f t="shared" si="8"/>
        <v>3419.3544486584269</v>
      </c>
    </row>
    <row r="509" spans="1:7" ht="15.75" thickBot="1" x14ac:dyDescent="0.3">
      <c r="A509" s="68">
        <v>201422</v>
      </c>
      <c r="B509" s="70">
        <v>-6956157.5346471155</v>
      </c>
      <c r="C509" s="70">
        <v>-13086414.204408515</v>
      </c>
      <c r="D509" s="70">
        <v>14728322.448348075</v>
      </c>
      <c r="E509" s="54">
        <f>IF(B509&lt;&gt;"",hddtohms(getlatitude(B509,C509,D509)),"")</f>
        <v>45.005030888756423</v>
      </c>
      <c r="F509" s="54">
        <f>IF(B509&lt;&gt;"",hddtohms(-GetLongitude(B509,C509,D509)),"")</f>
        <v>117.59352713724547</v>
      </c>
      <c r="G509" s="59">
        <f t="shared" si="8"/>
        <v>3461.5918816504127</v>
      </c>
    </row>
    <row r="510" spans="1:7" ht="15.75" thickBot="1" x14ac:dyDescent="0.3">
      <c r="A510" s="68">
        <v>201423</v>
      </c>
      <c r="B510" s="70">
        <v>-6934842.9388225628</v>
      </c>
      <c r="C510" s="70">
        <v>-13012185.725220995</v>
      </c>
      <c r="D510" s="70">
        <v>14802330.330998827</v>
      </c>
      <c r="E510" s="54">
        <f>IF(B510&lt;&gt;"",hddtohms(getlatitude(B510,C510,D510)),"")</f>
        <v>45.181425665078663</v>
      </c>
      <c r="F510" s="54">
        <f>IF(B510&lt;&gt;"",hddtohms(-GetLongitude(B510,C510,D510)),"")</f>
        <v>118.03193670833693</v>
      </c>
      <c r="G510" s="59">
        <f t="shared" si="8"/>
        <v>2671.8494205021689</v>
      </c>
    </row>
    <row r="511" spans="1:7" ht="15.75" thickBot="1" x14ac:dyDescent="0.3">
      <c r="A511" s="68">
        <v>201424</v>
      </c>
      <c r="B511" s="70">
        <v>-6879391.6263256064</v>
      </c>
      <c r="C511" s="70">
        <v>-13065788.752204584</v>
      </c>
      <c r="D511" s="70">
        <v>14782195.207298087</v>
      </c>
      <c r="E511" s="54">
        <f>IF(B511&lt;&gt;"",hddtohms(getlatitude(B511,C511,D511)),"")</f>
        <v>45.132421453428385</v>
      </c>
      <c r="F511" s="54">
        <f>IF(B511&lt;&gt;"",hddtohms(-GetLongitude(B511,C511,D511)),"")</f>
        <v>117.46036355604416</v>
      </c>
      <c r="G511" s="59">
        <f t="shared" si="8"/>
        <v>3438.3681286248357</v>
      </c>
    </row>
    <row r="512" spans="1:7" ht="15.75" thickBot="1" x14ac:dyDescent="0.3">
      <c r="A512" s="68">
        <v>201425</v>
      </c>
      <c r="B512" s="70">
        <v>-6877194.9952161293</v>
      </c>
      <c r="C512" s="70">
        <v>-13067224.493000234</v>
      </c>
      <c r="D512" s="70">
        <v>14782416.534215344</v>
      </c>
      <c r="E512" s="54">
        <f>IF(B512&lt;&gt;"",hddtohms(getlatitude(B512,C512,D512)),"")</f>
        <v>45.132402080204209</v>
      </c>
      <c r="F512" s="54">
        <f>IF(B512&lt;&gt;"",hddtohms(-GetLongitude(B512,C512,D512)),"")</f>
        <v>117.45271419557581</v>
      </c>
      <c r="G512" s="59">
        <f t="shared" si="8"/>
        <v>3769.6313386224356</v>
      </c>
    </row>
    <row r="513" spans="1:7" ht="15.75" thickBot="1" x14ac:dyDescent="0.3">
      <c r="A513" s="68">
        <v>201426</v>
      </c>
      <c r="B513" s="70">
        <v>-6874066.1698304713</v>
      </c>
      <c r="C513" s="70">
        <v>-13066971.405171553</v>
      </c>
      <c r="D513" s="70">
        <v>14784492.543728411</v>
      </c>
      <c r="E513" s="54">
        <f>IF(B513&lt;&gt;"",hddtohms(getlatitude(B513,C513,D513)),"")</f>
        <v>45.135023362669266</v>
      </c>
      <c r="F513" s="54">
        <f>IF(B513&lt;&gt;"",hddtohms(-GetLongitude(B513,C513,D513)),"")</f>
        <v>117.44501085877027</v>
      </c>
      <c r="G513" s="59">
        <f t="shared" si="8"/>
        <v>4059.5257622025601</v>
      </c>
    </row>
    <row r="514" spans="1:7" ht="15.75" thickBot="1" x14ac:dyDescent="0.3">
      <c r="A514" s="68">
        <v>201427</v>
      </c>
      <c r="B514" s="70">
        <v>-6874967.0890111793</v>
      </c>
      <c r="C514" s="70">
        <v>-13068601.330424862</v>
      </c>
      <c r="D514" s="70">
        <v>14782570.800693547</v>
      </c>
      <c r="E514" s="54">
        <f>IF(B514&lt;&gt;"",hddtohms(getlatitude(B514,C514,D514)),"")</f>
        <v>45.132382489582405</v>
      </c>
      <c r="F514" s="54">
        <f>IF(B514&lt;&gt;"",hddtohms(-GetLongitude(B514,C514,D514)),"")</f>
        <v>117.44506460147596</v>
      </c>
      <c r="G514" s="59">
        <f t="shared" si="8"/>
        <v>4006.6433567764889</v>
      </c>
    </row>
    <row r="515" spans="1:7" ht="15.75" thickBot="1" x14ac:dyDescent="0.3">
      <c r="A515" s="68">
        <v>201428</v>
      </c>
      <c r="B515" s="70">
        <v>-6873151.8515096521</v>
      </c>
      <c r="C515" s="70">
        <v>-13065316.815030551</v>
      </c>
      <c r="D515" s="70">
        <v>14786385.970189165</v>
      </c>
      <c r="E515" s="54">
        <f>IF(B515&lt;&gt;"",hddtohms(getlatitude(B515,C515,D515)),"")</f>
        <v>45.141664208071731</v>
      </c>
      <c r="F515" s="54">
        <f>IF(B515&lt;&gt;"",hddtohms(-GetLongitude(B515,C515,D515)),"")</f>
        <v>117.44495657833663</v>
      </c>
      <c r="G515" s="59">
        <f t="shared" si="8"/>
        <v>4072.8812082888126</v>
      </c>
    </row>
    <row r="516" spans="1:7" ht="15.75" thickBot="1" x14ac:dyDescent="0.3">
      <c r="A516" s="68">
        <v>201429</v>
      </c>
      <c r="B516" s="70">
        <v>-6880505.9825310307</v>
      </c>
      <c r="C516" s="70">
        <v>-13056564.360808831</v>
      </c>
      <c r="D516" s="70">
        <v>14789953.470600463</v>
      </c>
      <c r="E516" s="54">
        <f>IF(B516&lt;&gt;"",hddtohms(getlatitude(B516,C516,D516)),"")</f>
        <v>45.15117087255144</v>
      </c>
      <c r="F516" s="54">
        <f>IF(B516&lt;&gt;"",hddtohms(-GetLongitude(B516,C516,D516)),"")</f>
        <v>117.47174782795469</v>
      </c>
      <c r="G516" s="59">
        <f t="shared" si="8"/>
        <v>3565.8477708039773</v>
      </c>
    </row>
    <row r="517" spans="1:7" ht="15.75" thickBot="1" x14ac:dyDescent="0.3">
      <c r="A517" s="68">
        <v>201430</v>
      </c>
      <c r="B517" s="70">
        <v>-7020444.393084879</v>
      </c>
      <c r="C517" s="70">
        <v>-12981978.831268327</v>
      </c>
      <c r="D517" s="70">
        <v>14789604.887740925</v>
      </c>
      <c r="E517" s="54">
        <f>IF(B517&lt;&gt;"",hddtohms(getlatitude(B517,C517,D517)),"")</f>
        <v>45.150853134713522</v>
      </c>
      <c r="F517" s="54">
        <f>IF(B517&lt;&gt;"",hddtohms(-GetLongitude(B517,C517,D517)),"")</f>
        <v>118.24137029937565</v>
      </c>
      <c r="G517" s="59">
        <f t="shared" si="8"/>
        <v>3394.080688118047</v>
      </c>
    </row>
    <row r="518" spans="1:7" ht="15.75" thickBot="1" x14ac:dyDescent="0.3">
      <c r="A518" s="68">
        <v>201431</v>
      </c>
      <c r="B518" s="70">
        <v>-7022347.6381122414</v>
      </c>
      <c r="C518" s="70">
        <v>-12991003.531285334</v>
      </c>
      <c r="D518" s="70">
        <v>14780829.812474765</v>
      </c>
      <c r="E518" s="54">
        <f>IF(B518&lt;&gt;"",hddtohms(getlatitude(B518,C518,D518)),"")</f>
        <v>45.130554455231788</v>
      </c>
      <c r="F518" s="54">
        <f>IF(B518&lt;&gt;"",hddtohms(-GetLongitude(B518,C518,D518)),"")</f>
        <v>118.23371254564893</v>
      </c>
      <c r="G518" s="59">
        <f t="shared" si="8"/>
        <v>3391.5516385870615</v>
      </c>
    </row>
    <row r="519" spans="1:7" ht="15.75" thickBot="1" x14ac:dyDescent="0.3">
      <c r="A519" s="68">
        <v>201501</v>
      </c>
      <c r="B519" s="70">
        <v>-7021372.1663222909</v>
      </c>
      <c r="C519" s="70">
        <v>-12981454.167693453</v>
      </c>
      <c r="D519" s="70">
        <v>14789593.895234063</v>
      </c>
      <c r="E519" s="54">
        <f>IF(B519&lt;&gt;"",hddtohms(getlatitude(B519,C519,D519)),"")</f>
        <v>45.15085961482432</v>
      </c>
      <c r="F519" s="54">
        <f>IF(B519&lt;&gt;"",hddtohms(-GetLongitude(B519,C519,D519)),"")</f>
        <v>118.2428596483184</v>
      </c>
      <c r="G519" s="59">
        <f t="shared" si="8"/>
        <v>3372.0961716920774</v>
      </c>
    </row>
    <row r="520" spans="1:7" ht="15.75" thickBot="1" x14ac:dyDescent="0.3">
      <c r="A520" s="68">
        <v>201502</v>
      </c>
      <c r="B520" s="70">
        <v>-7015742.6176899513</v>
      </c>
      <c r="C520" s="70">
        <v>-12984473.031102892</v>
      </c>
      <c r="D520" s="70">
        <v>14789516.144002346</v>
      </c>
      <c r="E520" s="54">
        <f>IF(B520&lt;&gt;"",hddtohms(getlatitude(B520,C520,D520)),"")</f>
        <v>45.150820664905851</v>
      </c>
      <c r="F520" s="54">
        <f>IF(B520&lt;&gt;"",hddtohms(-GetLongitude(B520,C520,D520)),"")</f>
        <v>118.2259320454627</v>
      </c>
      <c r="G520" s="59">
        <f t="shared" si="8"/>
        <v>3301.730649232637</v>
      </c>
    </row>
    <row r="521" spans="1:7" ht="15.75" thickBot="1" x14ac:dyDescent="0.3">
      <c r="A521" s="68">
        <v>201503</v>
      </c>
      <c r="B521" s="70">
        <v>-7014365.3450644063</v>
      </c>
      <c r="C521" s="70">
        <v>-12985310.608097987</v>
      </c>
      <c r="D521" s="70">
        <v>14789584.70797408</v>
      </c>
      <c r="E521" s="54">
        <f>IF(B521&lt;&gt;"",hddtohms(getlatitude(B521,C521,D521)),"")</f>
        <v>45.150810633769026</v>
      </c>
      <c r="F521" s="54">
        <f>IF(B521&lt;&gt;"",hddtohms(-GetLongitude(B521,C521,D521)),"")</f>
        <v>118.22368213234472</v>
      </c>
      <c r="G521" s="59">
        <f t="shared" si="8"/>
        <v>3408.3430981948786</v>
      </c>
    </row>
    <row r="522" spans="1:7" ht="15.75" thickBot="1" x14ac:dyDescent="0.3">
      <c r="A522" s="68">
        <v>201504</v>
      </c>
      <c r="B522" s="70">
        <v>-6881387.725126965</v>
      </c>
      <c r="C522" s="70">
        <v>-13058179.438766288</v>
      </c>
      <c r="D522" s="70">
        <v>14787948.325512754</v>
      </c>
      <c r="E522" s="54">
        <f>IF(B522&lt;&gt;"",hddtohms(getlatitude(B522,C522,D522)),"")</f>
        <v>45.144487457894073</v>
      </c>
      <c r="F522" s="54">
        <f>IF(B522&lt;&gt;"",hddtohms(-GetLongitude(B522,C522,D522)),"")</f>
        <v>117.47178569976168</v>
      </c>
      <c r="G522" s="59">
        <f t="shared" si="8"/>
        <v>3437.1585072496709</v>
      </c>
    </row>
    <row r="523" spans="1:7" ht="15.75" thickBot="1" x14ac:dyDescent="0.3">
      <c r="A523" s="68">
        <v>201505</v>
      </c>
      <c r="B523" s="70">
        <v>-6878559.0771389352</v>
      </c>
      <c r="C523" s="70">
        <v>-13064193.973591769</v>
      </c>
      <c r="D523" s="70">
        <v>14784107.989463929</v>
      </c>
      <c r="E523" s="54">
        <f>IF(B523&lt;&gt;"",hddtohms(getlatitude(B523,C523,D523)),"")</f>
        <v>45.135012059069901</v>
      </c>
      <c r="F523" s="54">
        <f>IF(B523&lt;&gt;"",hddtohms(-GetLongitude(B523,C523,D523)),"")</f>
        <v>117.46037237327073</v>
      </c>
      <c r="G523" s="59">
        <f t="shared" si="8"/>
        <v>3529.2185442473765</v>
      </c>
    </row>
    <row r="524" spans="1:7" ht="15.75" thickBot="1" x14ac:dyDescent="0.3">
      <c r="A524" s="68">
        <v>201506</v>
      </c>
      <c r="B524" s="70">
        <v>-6941910.2956333589</v>
      </c>
      <c r="C524" s="70">
        <v>-13087517.479849499</v>
      </c>
      <c r="D524" s="70">
        <v>14733760.547126215</v>
      </c>
      <c r="E524" s="54">
        <f>IF(B524&lt;&gt;"",hddtohms(getlatitude(B524,C524,D524)),"")</f>
        <v>45.020811033453491</v>
      </c>
      <c r="F524" s="54">
        <f>IF(B524&lt;&gt;"",hddtohms(-GetLongitude(B524,C524,D524)),"")</f>
        <v>117.56329043722518</v>
      </c>
      <c r="G524" s="59">
        <f t="shared" si="8"/>
        <v>3274.7322370106431</v>
      </c>
    </row>
    <row r="525" spans="1:7" ht="15.75" thickBot="1" x14ac:dyDescent="0.3">
      <c r="A525" s="68">
        <v>201507</v>
      </c>
      <c r="B525" s="70">
        <v>-6953512.247372645</v>
      </c>
      <c r="C525" s="70">
        <v>-13081466.127997775</v>
      </c>
      <c r="D525" s="70">
        <v>14733907.371663323</v>
      </c>
      <c r="E525" s="54">
        <f>IF(B525&lt;&gt;"",hddtohms(getlatitude(B525,C525,D525)),"")</f>
        <v>45.020846126531133</v>
      </c>
      <c r="F525" s="54">
        <f>IF(B525&lt;&gt;"",hddtohms(-GetLongitude(B525,C525,D525)),"")</f>
        <v>117.59350856188895</v>
      </c>
      <c r="G525" s="59">
        <f t="shared" si="8"/>
        <v>3446.7406915310185</v>
      </c>
    </row>
    <row r="526" spans="1:7" ht="15.75" thickBot="1" x14ac:dyDescent="0.3">
      <c r="A526" s="68">
        <v>201508</v>
      </c>
      <c r="B526" s="70">
        <v>-6951281.9843543805</v>
      </c>
      <c r="C526" s="70">
        <v>-13082630.32746225</v>
      </c>
      <c r="D526" s="70">
        <v>14733887.902333273</v>
      </c>
      <c r="E526" s="54">
        <f>IF(B526&lt;&gt;"",hddtohms(getlatitude(B526,C526,D526)),"")</f>
        <v>45.020845536566625</v>
      </c>
      <c r="F526" s="54">
        <f>IF(B526&lt;&gt;"",hddtohms(-GetLongitude(B526,C526,D526)),"")</f>
        <v>117.590005866651</v>
      </c>
      <c r="G526" s="59">
        <f t="shared" si="8"/>
        <v>3419.8209016012752</v>
      </c>
    </row>
    <row r="527" spans="1:7" ht="15.75" thickBot="1" x14ac:dyDescent="0.3">
      <c r="A527" s="68">
        <v>201509</v>
      </c>
      <c r="B527" s="70">
        <v>-6948929.8069003895</v>
      </c>
      <c r="C527" s="70">
        <v>-13083847.349892199</v>
      </c>
      <c r="D527" s="70">
        <v>14733857.755315702</v>
      </c>
      <c r="E527" s="54">
        <f>IF(B527&lt;&gt;"",hddtohms(getlatitude(B527,C527,D527)),"")</f>
        <v>45.020844557026336</v>
      </c>
      <c r="F527" s="54">
        <f>IF(B527&lt;&gt;"",hddtohms(-GetLongitude(B527,C527,D527)),"")</f>
        <v>117.58231875560512</v>
      </c>
      <c r="G527" s="59">
        <f t="shared" si="8"/>
        <v>3378.2041088338556</v>
      </c>
    </row>
    <row r="528" spans="1:7" ht="15.75" thickBot="1" x14ac:dyDescent="0.3">
      <c r="A528" s="68">
        <v>201510</v>
      </c>
      <c r="B528" s="70">
        <v>-6946592.3664503628</v>
      </c>
      <c r="C528" s="70">
        <v>-13085077.980707616</v>
      </c>
      <c r="D528" s="70">
        <v>14733826.818481905</v>
      </c>
      <c r="E528" s="54">
        <f>IF(B528&lt;&gt;"",hddtohms(getlatitude(B528,C528,D528)),"")</f>
        <v>45.020829473495787</v>
      </c>
      <c r="F528" s="54">
        <f>IF(B528&lt;&gt;"",hddtohms(-GetLongitude(B528,C528,D528)),"")</f>
        <v>117.57464086903305</v>
      </c>
      <c r="G528" s="59">
        <f t="shared" si="8"/>
        <v>3349.7400687561258</v>
      </c>
    </row>
    <row r="529" spans="1:7" ht="15.75" thickBot="1" x14ac:dyDescent="0.3">
      <c r="A529" s="68">
        <v>201511</v>
      </c>
      <c r="B529" s="70">
        <v>-6944261.3798891893</v>
      </c>
      <c r="C529" s="70">
        <v>-13086301.557320081</v>
      </c>
      <c r="D529" s="70">
        <v>14733791.461144419</v>
      </c>
      <c r="E529" s="54">
        <f>IF(B529&lt;&gt;"",hddtohms(getlatitude(B529,C529,D529)),"")</f>
        <v>45.020813216440473</v>
      </c>
      <c r="F529" s="54">
        <f>IF(B529&lt;&gt;"",hddtohms(-GetLongitude(B529,C529,D529)),"")</f>
        <v>117.57097551918849</v>
      </c>
      <c r="G529" s="59">
        <f t="shared" si="8"/>
        <v>3316.2155999025472</v>
      </c>
    </row>
    <row r="530" spans="1:7" ht="15.75" thickBot="1" x14ac:dyDescent="0.3">
      <c r="A530" s="68">
        <v>201512</v>
      </c>
      <c r="B530" s="70">
        <v>-6897691.3032916002</v>
      </c>
      <c r="C530" s="70">
        <v>-12970066.232567336</v>
      </c>
      <c r="D530" s="70">
        <v>14856414.257434459</v>
      </c>
      <c r="E530" s="54">
        <f>IF(B530&lt;&gt;"",hddtohms(getlatitude(B530,C530,D530)),"")</f>
        <v>45.305317837371632</v>
      </c>
      <c r="F530" s="54">
        <f>IF(B530&lt;&gt;"",hddtohms(-GetLongitude(B530,C530,D530)),"")</f>
        <v>118.00171675177742</v>
      </c>
      <c r="G530" s="59">
        <f t="shared" si="8"/>
        <v>2829.499564227157</v>
      </c>
    </row>
    <row r="531" spans="1:7" ht="15.75" thickBot="1" x14ac:dyDescent="0.3">
      <c r="A531" s="68">
        <v>201513</v>
      </c>
      <c r="B531" s="70">
        <v>-6895223.9593395907</v>
      </c>
      <c r="C531" s="70">
        <v>-12971482.938035613</v>
      </c>
      <c r="D531" s="70">
        <v>14856517.149553608</v>
      </c>
      <c r="E531" s="54">
        <f>IF(B531&lt;&gt;"",hddtohms(getlatitude(B531,C531,D531)),"")</f>
        <v>45.305323818093221</v>
      </c>
      <c r="F531" s="54">
        <f>IF(B531&lt;&gt;"",hddtohms(-GetLongitude(B531,C531,D531)),"")</f>
        <v>117.59372400796194</v>
      </c>
      <c r="G531" s="59">
        <f t="shared" si="8"/>
        <v>2967.7703439065408</v>
      </c>
    </row>
    <row r="532" spans="1:7" ht="15.75" thickBot="1" x14ac:dyDescent="0.3">
      <c r="A532" s="68">
        <v>201514</v>
      </c>
      <c r="B532" s="70">
        <v>-6895393.9200234581</v>
      </c>
      <c r="C532" s="70">
        <v>-12971398.518644473</v>
      </c>
      <c r="D532" s="70">
        <v>14856512.248204783</v>
      </c>
      <c r="E532" s="54">
        <f>IF(B532&lt;&gt;"",hddtohms(getlatitude(B532,C532,D532)),"")</f>
        <v>45.305316741620231</v>
      </c>
      <c r="F532" s="54">
        <f>IF(B532&lt;&gt;"",hddtohms(-GetLongitude(B532,C532,D532)),"")</f>
        <v>117.59399036357004</v>
      </c>
      <c r="G532" s="59">
        <f t="shared" si="8"/>
        <v>2967.9412365341759</v>
      </c>
    </row>
    <row r="533" spans="1:7" ht="15.75" thickBot="1" x14ac:dyDescent="0.3">
      <c r="A533" s="68">
        <v>201515</v>
      </c>
      <c r="B533" s="70">
        <v>-6881424.3299812563</v>
      </c>
      <c r="C533" s="70">
        <v>-13047180.270777803</v>
      </c>
      <c r="D533" s="70">
        <v>14796980.102248175</v>
      </c>
      <c r="E533" s="54">
        <f>IF(B533&lt;&gt;"",hddtohms(getlatitude(B533,C533,D533)),"")</f>
        <v>45.165573827243897</v>
      </c>
      <c r="F533" s="54">
        <f>IF(B533&lt;&gt;"",hddtohms(-GetLongitude(B533,C533,D533)),"")</f>
        <v>117.48300149777748</v>
      </c>
      <c r="G533" s="59">
        <f t="shared" si="8"/>
        <v>3016.7191612269289</v>
      </c>
    </row>
    <row r="534" spans="1:7" ht="15.75" thickBot="1" x14ac:dyDescent="0.3">
      <c r="A534" s="68">
        <v>201516</v>
      </c>
      <c r="B534" s="70">
        <v>-6911098.6845541168</v>
      </c>
      <c r="C534" s="70">
        <v>-13001285.545343487</v>
      </c>
      <c r="D534" s="70">
        <v>14822893.940676175</v>
      </c>
      <c r="E534" s="54">
        <f>IF(B534&lt;&gt;"",hddtohms(getlatitude(B534,C534,D534)),"")</f>
        <v>45.230284504340759</v>
      </c>
      <c r="F534" s="54">
        <f>IF(B534&lt;&gt;"",hddtohms(-GetLongitude(B534,C534,D534)),"")</f>
        <v>117.59376435273168</v>
      </c>
      <c r="G534" s="59">
        <f t="shared" si="8"/>
        <v>2695.5486978783174</v>
      </c>
    </row>
    <row r="535" spans="1:7" ht="15.75" thickBot="1" x14ac:dyDescent="0.3">
      <c r="A535" s="68">
        <v>201517</v>
      </c>
      <c r="B535" s="70">
        <v>-6912528.4917186601</v>
      </c>
      <c r="C535" s="70">
        <v>-13043270.202634735</v>
      </c>
      <c r="D535" s="70">
        <v>14785483.288644863</v>
      </c>
      <c r="E535" s="54">
        <f>IF(B535&lt;&gt;"",hddtohms(getlatitude(B535,C535,D535)),"")</f>
        <v>45.141814756086909</v>
      </c>
      <c r="F535" s="54">
        <f>IF(B535&lt;&gt;"",hddtohms(-GetLongitude(B535,C535,D535)),"")</f>
        <v>117.5519926323452</v>
      </c>
      <c r="G535" s="59">
        <f t="shared" si="8"/>
        <v>2650.3278954847319</v>
      </c>
    </row>
    <row r="536" spans="1:7" ht="15.75" thickBot="1" x14ac:dyDescent="0.3">
      <c r="A536" s="68">
        <v>201518</v>
      </c>
      <c r="B536" s="70">
        <v>-6862636.2115437603</v>
      </c>
      <c r="C536" s="70">
        <v>-12999943.680958897</v>
      </c>
      <c r="D536" s="70">
        <v>14847728.205627395</v>
      </c>
      <c r="E536" s="54">
        <f>IF(B536&lt;&gt;"",hddtohms(getlatitude(B536,C536,D536)),"")</f>
        <v>45.284275906053786</v>
      </c>
      <c r="F536" s="54">
        <f>IF(B536&lt;&gt;"",hddtohms(-GetLongitude(B536,C536,D536)),"")</f>
        <v>117.49460411511645</v>
      </c>
      <c r="G536" s="59">
        <f t="shared" si="8"/>
        <v>3635.5672197728254</v>
      </c>
    </row>
    <row r="537" spans="1:7" ht="15.75" thickBot="1" x14ac:dyDescent="0.3">
      <c r="A537" s="68">
        <v>201519</v>
      </c>
      <c r="B537" s="70">
        <v>-6858047.6278471816</v>
      </c>
      <c r="C537" s="70">
        <v>-13002561.594719101</v>
      </c>
      <c r="D537" s="70">
        <v>14847896.989778269</v>
      </c>
      <c r="E537" s="54">
        <f>IF(B537&lt;&gt;"",hddtohms(getlatitude(B537,C537,D537)),"")</f>
        <v>45.284270312072273</v>
      </c>
      <c r="F537" s="54">
        <f>IF(B537&lt;&gt;"",hddtohms(-GetLongitude(B537,C537,D537)),"")</f>
        <v>117.48319554850484</v>
      </c>
      <c r="G537" s="59">
        <f t="shared" si="8"/>
        <v>3877.8683453852063</v>
      </c>
    </row>
    <row r="538" spans="1:7" ht="15.75" thickBot="1" x14ac:dyDescent="0.3">
      <c r="A538" s="68">
        <v>201520</v>
      </c>
      <c r="B538" s="70">
        <v>-6853508.0919043589</v>
      </c>
      <c r="C538" s="70">
        <v>-13005302.923138168</v>
      </c>
      <c r="D538" s="70">
        <v>14848256.520001596</v>
      </c>
      <c r="E538" s="54">
        <f>IF(B538&lt;&gt;"",hddtohms(getlatitude(B538,C538,D538)),"")</f>
        <v>45.284302469805553</v>
      </c>
      <c r="F538" s="54">
        <f>IF(B538&lt;&gt;"",hddtohms(-GetLongitude(B538,C538,D538)),"")</f>
        <v>117.4717673109115</v>
      </c>
      <c r="G538" s="59">
        <f t="shared" si="8"/>
        <v>4350.0880598978456</v>
      </c>
    </row>
    <row r="539" spans="1:7" ht="15.75" thickBot="1" x14ac:dyDescent="0.3">
      <c r="A539" s="68">
        <v>201521</v>
      </c>
      <c r="B539" s="70">
        <v>-6869085.739487621</v>
      </c>
      <c r="C539" s="70">
        <v>-12989650.212397454</v>
      </c>
      <c r="D539" s="70">
        <v>14852845.826179195</v>
      </c>
      <c r="E539" s="54">
        <f>IF(B539&lt;&gt;"",hddtohms(getlatitude(B539,C539,D539)),"")</f>
        <v>45.3001031624974</v>
      </c>
      <c r="F539" s="54">
        <f>IF(B539&lt;&gt;"",hddtohms(-GetLongitude(B539,C539,D539)),"")</f>
        <v>117.5213559067862</v>
      </c>
      <c r="G539" s="59">
        <f t="shared" si="8"/>
        <v>3016.9205814919005</v>
      </c>
    </row>
    <row r="540" spans="1:7" ht="15.75" thickBot="1" x14ac:dyDescent="0.3">
      <c r="A540" s="68">
        <v>201522</v>
      </c>
      <c r="B540" s="70">
        <v>-6872806.0390637852</v>
      </c>
      <c r="C540" s="70">
        <v>-12996667.720884316</v>
      </c>
      <c r="D540" s="70">
        <v>14845829.192134829</v>
      </c>
      <c r="E540" s="54">
        <f>IF(B540&lt;&gt;"",hddtohms(getlatitude(B540,C540,D540)),"")</f>
        <v>45.281656389589806</v>
      </c>
      <c r="F540" s="54">
        <f>IF(B540&lt;&gt;"",hddtohms(-GetLongitude(B540,C540,D540)),"")</f>
        <v>117.52136750962755</v>
      </c>
      <c r="G540" s="59">
        <f t="shared" si="8"/>
        <v>3582.0203970303446</v>
      </c>
    </row>
    <row r="541" spans="1:7" ht="15.75" thickBot="1" x14ac:dyDescent="0.3">
      <c r="A541" s="68">
        <v>201523</v>
      </c>
      <c r="B541" s="70">
        <v>-6931359.2538435403</v>
      </c>
      <c r="C541" s="70">
        <v>-13005493.069445651</v>
      </c>
      <c r="D541" s="70">
        <v>14809810.716415605</v>
      </c>
      <c r="E541" s="54">
        <f>IF(B541&lt;&gt;"",hddtohms(getlatitude(B541,C541,D541)),"")</f>
        <v>45.195913948643728</v>
      </c>
      <c r="F541" s="54">
        <f>IF(B541&lt;&gt;"",hddtohms(-GetLongitude(B541,C541,D541)),"")</f>
        <v>118.03203942989539</v>
      </c>
      <c r="G541" s="59">
        <f t="shared" si="8"/>
        <v>2685.4455786843537</v>
      </c>
    </row>
    <row r="542" spans="1:7" ht="15.75" thickBot="1" x14ac:dyDescent="0.3">
      <c r="A542" s="68">
        <v>201524</v>
      </c>
      <c r="B542" s="70">
        <v>-6981149.1251725117</v>
      </c>
      <c r="C542" s="70">
        <v>-12985678.775168849</v>
      </c>
      <c r="D542" s="70">
        <v>14804514.587222056</v>
      </c>
      <c r="E542" s="54">
        <f>IF(B542&lt;&gt;"",hddtohms(getlatitude(B542,C542,D542)),"")</f>
        <v>45.184006612652382</v>
      </c>
      <c r="F542" s="54">
        <f>IF(B542&lt;&gt;"",hddtohms(-GetLongitude(B542,C542,D542)),"")</f>
        <v>118.1545503175884</v>
      </c>
      <c r="G542" s="59">
        <f t="shared" si="8"/>
        <v>3157.8513812782221</v>
      </c>
    </row>
    <row r="543" spans="1:7" ht="15.75" thickBot="1" x14ac:dyDescent="0.3">
      <c r="A543" s="68">
        <v>201525</v>
      </c>
      <c r="B543" s="70">
        <v>-6908671.5178866154</v>
      </c>
      <c r="C543" s="70">
        <v>-12951414.018972801</v>
      </c>
      <c r="D543" s="70">
        <v>14867968.821860209</v>
      </c>
      <c r="E543" s="54">
        <f>IF(B543&lt;&gt;"",hddtohms(getlatitude(B543,C543,D543)),"")</f>
        <v>45.333268791441789</v>
      </c>
      <c r="F543" s="54">
        <f>IF(B543&lt;&gt;"",hddtohms(-GetLongitude(B543,C543,D543)),"")</f>
        <v>118.04364600857325</v>
      </c>
      <c r="G543" s="59">
        <f t="shared" si="8"/>
        <v>3160.3102757745801</v>
      </c>
    </row>
    <row r="544" spans="1:7" ht="15.75" thickBot="1" x14ac:dyDescent="0.3">
      <c r="A544" s="68">
        <v>201526</v>
      </c>
      <c r="B544" s="70">
        <v>-6883284.7885089181</v>
      </c>
      <c r="C544" s="70">
        <v>-12965437.996406717</v>
      </c>
      <c r="D544" s="70">
        <v>14867876.738116372</v>
      </c>
      <c r="E544" s="54">
        <f>IF(B544&lt;&gt;"",hddtohms(getlatitude(B544,C544,D544)),"")</f>
        <v>45.332885276612004</v>
      </c>
      <c r="F544" s="54">
        <f>IF(B544&lt;&gt;"",hddtohms(-GetLongitude(B544,C544,D544)),"")</f>
        <v>117.57489749009272</v>
      </c>
      <c r="G544" s="59">
        <f t="shared" si="8"/>
        <v>3412.3537738672967</v>
      </c>
    </row>
    <row r="545" spans="1:7" ht="15.75" thickBot="1" x14ac:dyDescent="0.3">
      <c r="A545" s="68">
        <v>201527</v>
      </c>
      <c r="B545" s="70">
        <v>-6885530.708549995</v>
      </c>
      <c r="C545" s="70">
        <v>-12964042.710884754</v>
      </c>
      <c r="D545" s="70">
        <v>14867778.839606095</v>
      </c>
      <c r="E545" s="54">
        <f>IF(B545&lt;&gt;"",hddtohms(getlatitude(B545,C545,D545)),"")</f>
        <v>45.33294376999882</v>
      </c>
      <c r="F545" s="54">
        <f>IF(B545&lt;&gt;"",hddtohms(-GetLongitude(B545,C545,D545)),"")</f>
        <v>117.58260424164935</v>
      </c>
      <c r="G545" s="59">
        <f t="shared" si="8"/>
        <v>3217.1198501727122</v>
      </c>
    </row>
    <row r="546" spans="1:7" ht="15.75" thickBot="1" x14ac:dyDescent="0.3">
      <c r="A546" s="68">
        <v>201528</v>
      </c>
      <c r="B546" s="70">
        <v>-6868232.4269023864</v>
      </c>
      <c r="C546" s="70">
        <v>-12959900.053356512</v>
      </c>
      <c r="D546" s="70">
        <v>14878613.495499607</v>
      </c>
      <c r="E546" s="54">
        <f>IF(B546&lt;&gt;"",hddtohms(getlatitude(B546,C546,D546)),"")</f>
        <v>45.360725372765074</v>
      </c>
      <c r="F546" s="54">
        <f>IF(B546&lt;&gt;"",hddtohms(-GetLongitude(B546,C546,D546)),"")</f>
        <v>117.5518528772761</v>
      </c>
      <c r="G546" s="59">
        <f t="shared" si="8"/>
        <v>2719.925832046365</v>
      </c>
    </row>
    <row r="547" spans="1:7" ht="15.75" thickBot="1" x14ac:dyDescent="0.3">
      <c r="A547" s="68">
        <v>201529</v>
      </c>
      <c r="B547" s="70">
        <v>-6859933.3225953551</v>
      </c>
      <c r="C547" s="70">
        <v>-13006152.27882975</v>
      </c>
      <c r="D547" s="70">
        <v>14844452.61864787</v>
      </c>
      <c r="E547" s="54">
        <f>IF(B547&lt;&gt;"",hddtohms(getlatitude(B547,C547,D547)),"")</f>
        <v>45.275032063918587</v>
      </c>
      <c r="F547" s="54">
        <f>IF(B547&lt;&gt;"",hddtohms(-GetLongitude(B547,C547,D547)),"")</f>
        <v>117.48318541265412</v>
      </c>
      <c r="G547" s="59">
        <f t="shared" si="8"/>
        <v>4266.518226135553</v>
      </c>
    </row>
    <row r="548" spans="1:7" ht="15.75" thickBot="1" x14ac:dyDescent="0.3">
      <c r="A548" s="68">
        <v>201530</v>
      </c>
      <c r="B548" s="70">
        <v>-6870565.4469951261</v>
      </c>
      <c r="C548" s="70">
        <v>-13060424.096770795</v>
      </c>
      <c r="D548" s="70">
        <v>14792633.624330347</v>
      </c>
      <c r="E548" s="54">
        <f>IF(B548&lt;&gt;"",hddtohms(getlatitude(B548,C548,D548)),"")</f>
        <v>45.153885730264491</v>
      </c>
      <c r="F548" s="54">
        <f>IF(B548&lt;&gt;"",hddtohms(-GetLongitude(B548,C548,D548)),"")</f>
        <v>117.44494107031512</v>
      </c>
      <c r="G548" s="59">
        <f t="shared" si="8"/>
        <v>4613.5809628452844</v>
      </c>
    </row>
    <row r="549" spans="1:7" ht="15.75" thickBot="1" x14ac:dyDescent="0.3">
      <c r="A549" s="68">
        <v>201531</v>
      </c>
      <c r="B549" s="70">
        <v>-6869506.1226628898</v>
      </c>
      <c r="C549" s="70">
        <v>-13058495.703686761</v>
      </c>
      <c r="D549" s="70">
        <v>14794352.440731004</v>
      </c>
      <c r="E549" s="54">
        <f>IF(B549&lt;&gt;"",hddtohms(getlatitude(B549,C549,D549)),"")</f>
        <v>45.160622448204307</v>
      </c>
      <c r="F549" s="54">
        <f>IF(B549&lt;&gt;"",hddtohms(-GetLongitude(B549,C549,D549)),"")</f>
        <v>117.44488555334613</v>
      </c>
      <c r="G549" s="59">
        <f t="shared" si="8"/>
        <v>4286.2465582344466</v>
      </c>
    </row>
    <row r="550" spans="1:7" ht="15.75" thickBot="1" x14ac:dyDescent="0.3">
      <c r="A550" s="68">
        <v>201532</v>
      </c>
      <c r="B550" s="70">
        <v>-6868739.3615057068</v>
      </c>
      <c r="C550" s="70">
        <v>-13057068.316399124</v>
      </c>
      <c r="D550" s="70">
        <v>14796405.009761898</v>
      </c>
      <c r="E550" s="54">
        <f>IF(B550&lt;&gt;"",hddtohms(getlatitude(B550,C550,D550)),"")</f>
        <v>45.163184577953416</v>
      </c>
      <c r="F550" s="54">
        <f>IF(B550&lt;&gt;"",hddtohms(-GetLongitude(B550,C550,D550)),"")</f>
        <v>117.44486591123329</v>
      </c>
      <c r="G550" s="59">
        <f t="shared" si="8"/>
        <v>4604.2767380999449</v>
      </c>
    </row>
    <row r="551" spans="1:7" ht="15.75" thickBot="1" x14ac:dyDescent="0.3">
      <c r="A551" s="68">
        <v>201533</v>
      </c>
      <c r="B551" s="70">
        <v>-6871757.1809206922</v>
      </c>
      <c r="C551" s="70">
        <v>-13057183.913028413</v>
      </c>
      <c r="D551" s="70">
        <v>14794214.11921474</v>
      </c>
      <c r="E551" s="54">
        <f>IF(B551&lt;&gt;"",hddtohms(getlatitude(B551,C551,D551)),"")</f>
        <v>45.160605388140979</v>
      </c>
      <c r="F551" s="54">
        <f>IF(B551&lt;&gt;"",hddtohms(-GetLongitude(B551,C551,D551)),"")</f>
        <v>117.45252427841984</v>
      </c>
      <c r="G551" s="59">
        <f t="shared" si="8"/>
        <v>4108.6617024258649</v>
      </c>
    </row>
    <row r="552" spans="1:7" ht="15.75" thickBot="1" x14ac:dyDescent="0.3">
      <c r="A552" s="68">
        <v>201534</v>
      </c>
      <c r="B552" s="70">
        <v>-6890945.2514922731</v>
      </c>
      <c r="C552" s="70">
        <v>-12963083.39634108</v>
      </c>
      <c r="D552" s="70">
        <v>14865814.306548523</v>
      </c>
      <c r="E552" s="54">
        <f>IF(B552&lt;&gt;"",hddtohms(getlatitude(B552,C552,D552)),"")</f>
        <v>45.330392404137292</v>
      </c>
      <c r="F552" s="54">
        <f>IF(B552&lt;&gt;"",hddtohms(-GetLongitude(B552,C552,D552)),"")</f>
        <v>117.59395503286679</v>
      </c>
      <c r="G552" s="59">
        <f t="shared" ref="G552:G615" si="9">IF(B552&lt;&gt;"",GetHeight(B552,C552,D552),"")</f>
        <v>3000.4400198691037</v>
      </c>
    </row>
    <row r="553" spans="1:7" ht="15.75" thickBot="1" x14ac:dyDescent="0.3">
      <c r="A553" s="68">
        <v>201535</v>
      </c>
      <c r="B553" s="70">
        <v>-6904898.7070426028</v>
      </c>
      <c r="C553" s="70">
        <v>-12955679.20546006</v>
      </c>
      <c r="D553" s="70">
        <v>14865732.76790732</v>
      </c>
      <c r="E553" s="54">
        <f>IF(B553&lt;&gt;"",hddtohms(getlatitude(B553,C553,D553)),"")</f>
        <v>45.330321825818054</v>
      </c>
      <c r="F553" s="54">
        <f>IF(B553&lt;&gt;"",hddtohms(-GetLongitude(B553,C553,D553)),"")</f>
        <v>118.03214862114095</v>
      </c>
      <c r="G553" s="59">
        <f t="shared" si="9"/>
        <v>2956.3563510385447</v>
      </c>
    </row>
    <row r="554" spans="1:7" ht="15.75" thickBot="1" x14ac:dyDescent="0.3">
      <c r="A554" s="68">
        <v>201536</v>
      </c>
      <c r="B554" s="70">
        <v>-6910509.8795626853</v>
      </c>
      <c r="C554" s="70">
        <v>-12954798.753838941</v>
      </c>
      <c r="D554" s="70">
        <v>14864270.500589103</v>
      </c>
      <c r="E554" s="54">
        <f>IF(B554&lt;&gt;"",hddtohms(getlatitude(B554,C554,D554)),"")</f>
        <v>45.323998124761538</v>
      </c>
      <c r="F554" s="54">
        <f>IF(B554&lt;&gt;"",hddtohms(-GetLongitude(B554,C554,D554)),"")</f>
        <v>118.04368671707952</v>
      </c>
      <c r="G554" s="59">
        <f t="shared" si="9"/>
        <v>3217.3106994154623</v>
      </c>
    </row>
    <row r="555" spans="1:7" ht="15.75" thickBot="1" x14ac:dyDescent="0.3">
      <c r="A555" s="68">
        <v>201537</v>
      </c>
      <c r="B555" s="70">
        <v>-6908117.126237805</v>
      </c>
      <c r="C555" s="70">
        <v>-12955971.954301449</v>
      </c>
      <c r="D555" s="70">
        <v>14864184.982635323</v>
      </c>
      <c r="E555" s="54">
        <f>IF(B555&lt;&gt;"",hddtohms(getlatitude(B555,C555,D555)),"")</f>
        <v>45.324002972900132</v>
      </c>
      <c r="F555" s="54">
        <f>IF(B555&lt;&gt;"",hddtohms(-GetLongitude(B555,C555,D555)),"")</f>
        <v>118.03594519537896</v>
      </c>
      <c r="G555" s="59">
        <f t="shared" si="9"/>
        <v>3092.6841650521619</v>
      </c>
    </row>
    <row r="556" spans="1:7" ht="15.75" thickBot="1" x14ac:dyDescent="0.3">
      <c r="A556" s="68">
        <v>201538</v>
      </c>
      <c r="B556" s="70">
        <v>-6860761.4385132203</v>
      </c>
      <c r="C556" s="70">
        <v>-12951512.16083492</v>
      </c>
      <c r="D556" s="70">
        <v>14890236.99844683</v>
      </c>
      <c r="E556" s="54">
        <f>IF(B556&lt;&gt;"",hddtohms(getlatitude(B556,C556,D556)),"")</f>
        <v>45.384447035647945</v>
      </c>
      <c r="F556" s="54">
        <f>IF(B556&lt;&gt;"",hddtohms(-GetLongitude(B556,C556,D556)),"")</f>
        <v>117.54409037253605</v>
      </c>
      <c r="G556" s="59">
        <f t="shared" si="9"/>
        <v>3398.1810958091828</v>
      </c>
    </row>
    <row r="557" spans="1:7" ht="15.75" thickBot="1" x14ac:dyDescent="0.3">
      <c r="A557" s="68">
        <v>201539</v>
      </c>
      <c r="B557" s="70">
        <v>-6858974.222364367</v>
      </c>
      <c r="C557" s="70">
        <v>-12948179.938918348</v>
      </c>
      <c r="D557" s="70">
        <v>14893942.746357558</v>
      </c>
      <c r="E557" s="54">
        <f>IF(B557&lt;&gt;"",hddtohms(getlatitude(B557,C557,D557)),"")</f>
        <v>45.393673043510333</v>
      </c>
      <c r="F557" s="54">
        <f>IF(B557&lt;&gt;"",hddtohms(-GetLongitude(B557,C557,D557)),"")</f>
        <v>117.54406294448574</v>
      </c>
      <c r="G557" s="59">
        <f t="shared" si="9"/>
        <v>3405.1627881929708</v>
      </c>
    </row>
    <row r="558" spans="1:7" ht="15.75" thickBot="1" x14ac:dyDescent="0.3">
      <c r="A558" s="68">
        <v>201540</v>
      </c>
      <c r="B558" s="70">
        <v>-6871236.9211679641</v>
      </c>
      <c r="C558" s="70">
        <v>-12954270.439000877</v>
      </c>
      <c r="D558" s="70">
        <v>14882524.354693158</v>
      </c>
      <c r="E558" s="54">
        <f>IF(B558&lt;&gt;"",hddtohms(getlatitude(B558,C558,D558)),"")</f>
        <v>45.365941678342921</v>
      </c>
      <c r="F558" s="54">
        <f>IF(B558&lt;&gt;"",hddtohms(-GetLongitude(B558,C558,D558)),"")</f>
        <v>117.56329518284829</v>
      </c>
      <c r="G558" s="59">
        <f t="shared" si="9"/>
        <v>3019.7035319854003</v>
      </c>
    </row>
    <row r="559" spans="1:7" ht="15.75" thickBot="1" x14ac:dyDescent="0.3">
      <c r="A559" s="68">
        <v>201541</v>
      </c>
      <c r="B559" s="70">
        <v>-6853084.9268014263</v>
      </c>
      <c r="C559" s="70">
        <v>-12959552.493750494</v>
      </c>
      <c r="D559" s="70">
        <v>14886356.870062146</v>
      </c>
      <c r="E559" s="54">
        <f>IF(B559&lt;&gt;"",hddtohms(getlatitude(B559,C559,D559)),"")</f>
        <v>45.375288198752166</v>
      </c>
      <c r="F559" s="54">
        <f>IF(B559&lt;&gt;"",hddtohms(-GetLongitude(B559,C559,D559)),"")</f>
        <v>117.52125046889685</v>
      </c>
      <c r="G559" s="59">
        <f t="shared" si="9"/>
        <v>3082.0207574171382</v>
      </c>
    </row>
    <row r="560" spans="1:7" ht="15.75" thickBot="1" x14ac:dyDescent="0.3">
      <c r="A560" s="68">
        <v>201542</v>
      </c>
      <c r="B560" s="70">
        <v>-6852201.9575297423</v>
      </c>
      <c r="C560" s="70">
        <v>-12957901.866979258</v>
      </c>
      <c r="D560" s="70">
        <v>14888205.022206169</v>
      </c>
      <c r="E560" s="54">
        <f>IF(B560&lt;&gt;"",hddtohms(getlatitude(B560,C560,D560)),"")</f>
        <v>45.381884817589473</v>
      </c>
      <c r="F560" s="54">
        <f>IF(B560&lt;&gt;"",hddtohms(-GetLongitude(B560,C560,D560)),"")</f>
        <v>117.52123789443141</v>
      </c>
      <c r="G560" s="59">
        <f t="shared" si="9"/>
        <v>3094.3590357688754</v>
      </c>
    </row>
    <row r="561" spans="1:7" ht="15.75" thickBot="1" x14ac:dyDescent="0.3">
      <c r="A561" s="68">
        <v>201543</v>
      </c>
      <c r="B561" s="70">
        <v>-6848961.8680261951</v>
      </c>
      <c r="C561" s="70">
        <v>-12957404.3536724</v>
      </c>
      <c r="D561" s="70">
        <v>14890089.790226936</v>
      </c>
      <c r="E561" s="54">
        <f>IF(B561&lt;&gt;"",hddtohms(getlatitude(B561,C561,D561)),"")</f>
        <v>45.384564772501435</v>
      </c>
      <c r="F561" s="54">
        <f>IF(B561&lt;&gt;"",hddtohms(-GetLongitude(B561,C561,D561)),"")</f>
        <v>117.51353414581054</v>
      </c>
      <c r="G561" s="59">
        <f t="shared" si="9"/>
        <v>3075.6887887931007</v>
      </c>
    </row>
    <row r="562" spans="1:7" ht="15.75" thickBot="1" x14ac:dyDescent="0.3">
      <c r="A562" s="68">
        <v>201544</v>
      </c>
      <c r="B562" s="70">
        <v>-7019223.4494260726</v>
      </c>
      <c r="C562" s="70">
        <v>-12990743.054239815</v>
      </c>
      <c r="D562" s="70">
        <v>14782808.566515101</v>
      </c>
      <c r="E562" s="54">
        <f>IF(B562&lt;&gt;"",hddtohms(getlatitude(B562,C562,D562)),"")</f>
        <v>45.133131758439148</v>
      </c>
      <c r="F562" s="54">
        <f>IF(B562&lt;&gt;"",hddtohms(-GetLongitude(B562,C562,D562)),"")</f>
        <v>118.23004637331034</v>
      </c>
      <c r="G562" s="59">
        <f t="shared" si="9"/>
        <v>3588.484188099621</v>
      </c>
    </row>
    <row r="563" spans="1:7" ht="15.75" thickBot="1" x14ac:dyDescent="0.3">
      <c r="A563" s="68">
        <v>201545</v>
      </c>
      <c r="B563" s="70">
        <v>-7021455.0675130188</v>
      </c>
      <c r="C563" s="70">
        <v>-12989340.52492084</v>
      </c>
      <c r="D563" s="70">
        <v>14782655.152537262</v>
      </c>
      <c r="E563" s="54">
        <f>IF(B563&lt;&gt;"",hddtohms(getlatitude(B563,C563,D563)),"")</f>
        <v>45.133146218523351</v>
      </c>
      <c r="F563" s="54">
        <f>IF(B563&lt;&gt;"",hddtohms(-GetLongitude(B563,C563,D563)),"")</f>
        <v>118.23372038005795</v>
      </c>
      <c r="G563" s="59">
        <f t="shared" si="9"/>
        <v>3357.839202962432</v>
      </c>
    </row>
    <row r="564" spans="1:7" ht="15.75" thickBot="1" x14ac:dyDescent="0.3">
      <c r="A564" s="68">
        <v>201601</v>
      </c>
      <c r="B564" s="70">
        <v>-6903386.8158993656</v>
      </c>
      <c r="C564" s="70">
        <v>-13054430.832220787</v>
      </c>
      <c r="D564" s="70">
        <v>14780037.810354928</v>
      </c>
      <c r="E564" s="54">
        <f>IF(B564&lt;&gt;"",hddtohms(getlatitude(B564,C564,D564)),"")</f>
        <v>45.13011343454022</v>
      </c>
      <c r="F564" s="54">
        <f>IF(B564&lt;&gt;"",hddtohms(-GetLongitude(B564,C564,D564)),"")</f>
        <v>117.52141059763368</v>
      </c>
      <c r="G564" s="59">
        <f t="shared" si="9"/>
        <v>2719.0858236866152</v>
      </c>
    </row>
    <row r="565" spans="1:7" ht="15.75" thickBot="1" x14ac:dyDescent="0.3">
      <c r="A565" s="68">
        <v>201602</v>
      </c>
      <c r="B565" s="70">
        <v>-6903823.8642375562</v>
      </c>
      <c r="C565" s="70">
        <v>-13055254.822110187</v>
      </c>
      <c r="D565" s="70">
        <v>14779115.664486812</v>
      </c>
      <c r="E565" s="54">
        <f>IF(B565&lt;&gt;"",hddtohms(getlatitude(B565,C565,D565)),"")</f>
        <v>45.124818611847495</v>
      </c>
      <c r="F565" s="54">
        <f>IF(B565&lt;&gt;"",hddtohms(-GetLongitude(B565,C565,D565)),"")</f>
        <v>117.52141221458038</v>
      </c>
      <c r="G565" s="59">
        <f t="shared" si="9"/>
        <v>2721.6379454679718</v>
      </c>
    </row>
    <row r="566" spans="1:7" ht="15.75" thickBot="1" x14ac:dyDescent="0.3">
      <c r="A566" s="68">
        <v>201603</v>
      </c>
      <c r="B566" s="70">
        <v>-6951739.5533584366</v>
      </c>
      <c r="C566" s="70">
        <v>-13078160.954166235</v>
      </c>
      <c r="D566" s="70">
        <v>14737634.448148882</v>
      </c>
      <c r="E566" s="54">
        <f>IF(B566&lt;&gt;"",hddtohms(getlatitude(B566,C566,D566)),"")</f>
        <v>45.030065910276981</v>
      </c>
      <c r="F566" s="54">
        <f>IF(B566&lt;&gt;"",hddtohms(-GetLongitude(B566,C566,D566)),"")</f>
        <v>117.59348911521359</v>
      </c>
      <c r="G566" s="59">
        <f t="shared" si="9"/>
        <v>3434.123524455812</v>
      </c>
    </row>
    <row r="567" spans="1:7" ht="15.75" thickBot="1" x14ac:dyDescent="0.3">
      <c r="A567" s="68">
        <v>201604</v>
      </c>
      <c r="B567" s="70">
        <v>-6949482.2755433694</v>
      </c>
      <c r="C567" s="70">
        <v>-13079326.421547838</v>
      </c>
      <c r="D567" s="70">
        <v>14737608.607546726</v>
      </c>
      <c r="E567" s="54">
        <f>IF(B567&lt;&gt;"",hddtohms(getlatitude(B567,C567,D567)),"")</f>
        <v>45.030068955546987</v>
      </c>
      <c r="F567" s="54">
        <f>IF(B567&lt;&gt;"",hddtohms(-GetLongitude(B567,C567,D567)),"")</f>
        <v>117.58595148088334</v>
      </c>
      <c r="G567" s="59">
        <f t="shared" si="9"/>
        <v>3394.5320003153684</v>
      </c>
    </row>
    <row r="568" spans="1:7" ht="15.75" thickBot="1" x14ac:dyDescent="0.3">
      <c r="A568" s="68">
        <v>201605</v>
      </c>
      <c r="B568" s="70">
        <v>-6947153.5940800728</v>
      </c>
      <c r="C568" s="70">
        <v>-13080548.263259228</v>
      </c>
      <c r="D568" s="70">
        <v>14737573.036507366</v>
      </c>
      <c r="E568" s="54">
        <f>IF(B568&lt;&gt;"",hddtohms(getlatitude(B568,C568,D568)),"")</f>
        <v>45.03005352488109</v>
      </c>
      <c r="F568" s="54">
        <f>IF(B568&lt;&gt;"",hddtohms(-GetLongitude(B568,C568,D568)),"")</f>
        <v>117.58228918391947</v>
      </c>
      <c r="G568" s="59">
        <f t="shared" si="9"/>
        <v>3359.8743326352069</v>
      </c>
    </row>
    <row r="569" spans="1:7" ht="15.75" thickBot="1" x14ac:dyDescent="0.3">
      <c r="A569" s="68">
        <v>201606</v>
      </c>
      <c r="B569" s="70">
        <v>-6944835.4219103837</v>
      </c>
      <c r="C569" s="70">
        <v>-13081771.054762462</v>
      </c>
      <c r="D569" s="70">
        <v>14737533.587858912</v>
      </c>
      <c r="E569" s="54">
        <f>IF(B569&lt;&gt;"",hddtohms(getlatitude(B569,C569,D569)),"")</f>
        <v>45.030031034506763</v>
      </c>
      <c r="F569" s="54">
        <f>IF(B569&lt;&gt;"",hddtohms(-GetLongitude(B569,C569,D569)),"")</f>
        <v>117.57463918730338</v>
      </c>
      <c r="G569" s="59">
        <f t="shared" si="9"/>
        <v>3326.8763779570363</v>
      </c>
    </row>
    <row r="570" spans="1:7" ht="15.75" thickBot="1" x14ac:dyDescent="0.3">
      <c r="A570" s="68">
        <v>201607</v>
      </c>
      <c r="B570" s="70">
        <v>-6942482.1251696264</v>
      </c>
      <c r="C570" s="70">
        <v>-13083004.139588451</v>
      </c>
      <c r="D570" s="70">
        <v>14737505.345739186</v>
      </c>
      <c r="E570" s="54">
        <f>IF(B570&lt;&gt;"",hddtohms(getlatitude(B570,C570,D570)),"")</f>
        <v>45.03002118652838</v>
      </c>
      <c r="F570" s="54">
        <f>IF(B570&lt;&gt;"",hddtohms(-GetLongitude(B570,C570,D570)),"")</f>
        <v>117.57093925826864</v>
      </c>
      <c r="G570" s="59">
        <f t="shared" si="9"/>
        <v>3296.9290617568931</v>
      </c>
    </row>
    <row r="571" spans="1:7" ht="15.75" thickBot="1" x14ac:dyDescent="0.3">
      <c r="A571" s="68">
        <v>201608</v>
      </c>
      <c r="B571" s="70">
        <v>-6873139.3515767967</v>
      </c>
      <c r="C571" s="70">
        <v>-13019907.652883343</v>
      </c>
      <c r="D571" s="70">
        <v>14825277.410348479</v>
      </c>
      <c r="E571" s="54">
        <f>IF(B571&lt;&gt;"",hddtohms(getlatitude(B571,C571,D571)),"")</f>
        <v>45.232859793100573</v>
      </c>
      <c r="F571" s="54">
        <f>IF(B571&lt;&gt;"",hddtohms(-GetLongitude(B571,C571,D571)),"")</f>
        <v>117.49455977466178</v>
      </c>
      <c r="G571" s="59">
        <f t="shared" si="9"/>
        <v>3469.9759853294527</v>
      </c>
    </row>
    <row r="572" spans="1:7" ht="15.75" thickBot="1" x14ac:dyDescent="0.3">
      <c r="A572" s="68">
        <v>201609</v>
      </c>
      <c r="B572" s="70">
        <v>-6873859.7055478999</v>
      </c>
      <c r="C572" s="70">
        <v>-13021290.875604805</v>
      </c>
      <c r="D572" s="70">
        <v>14823152.100092521</v>
      </c>
      <c r="E572" s="54">
        <f>IF(B572&lt;&gt;"",hddtohms(getlatitude(B572,C572,D572)),"")</f>
        <v>45.230290437192366</v>
      </c>
      <c r="F572" s="54">
        <f>IF(B572&lt;&gt;"",hddtohms(-GetLongitude(B572,C572,D572)),"")</f>
        <v>117.49454758224552</v>
      </c>
      <c r="G572" s="59">
        <f t="shared" si="9"/>
        <v>3052.2880275479401</v>
      </c>
    </row>
    <row r="573" spans="1:7" ht="15.75" thickBot="1" x14ac:dyDescent="0.3">
      <c r="A573" s="68">
        <v>201610</v>
      </c>
      <c r="B573" s="70">
        <v>-6863704.5012973109</v>
      </c>
      <c r="C573" s="70">
        <v>-12990659.972424109</v>
      </c>
      <c r="D573" s="70">
        <v>14854942.563854793</v>
      </c>
      <c r="E573" s="54">
        <f>IF(B573&lt;&gt;"",hddtohms(getlatitude(B573,C573,D573)),"")</f>
        <v>45.302695865303413</v>
      </c>
      <c r="F573" s="54">
        <f>IF(B573&lt;&gt;"",hddtohms(-GetLongitude(B573,C573,D573)),"")</f>
        <v>117.51001487157791</v>
      </c>
      <c r="G573" s="59">
        <f t="shared" si="9"/>
        <v>3375.7077528828813</v>
      </c>
    </row>
    <row r="574" spans="1:7" ht="15.75" thickBot="1" x14ac:dyDescent="0.3">
      <c r="A574" s="68">
        <v>201611</v>
      </c>
      <c r="B574" s="70">
        <v>-6865034.7063662503</v>
      </c>
      <c r="C574" s="70">
        <v>-12987641.990339564</v>
      </c>
      <c r="D574" s="70">
        <v>14856661.835725321</v>
      </c>
      <c r="E574" s="54">
        <f>IF(B574&lt;&gt;"",hddtohms(getlatitude(B574,C574,D574)),"")</f>
        <v>45.30532651074725</v>
      </c>
      <c r="F574" s="54">
        <f>IF(B574&lt;&gt;"",hddtohms(-GetLongitude(B574,C574,D574)),"")</f>
        <v>117.51364583544006</v>
      </c>
      <c r="G574" s="59">
        <f t="shared" si="9"/>
        <v>3167.8943909939353</v>
      </c>
    </row>
    <row r="575" spans="1:7" ht="15.75" thickBot="1" x14ac:dyDescent="0.3">
      <c r="A575" s="68">
        <v>201612</v>
      </c>
      <c r="B575" s="70">
        <v>-6865061.9011407187</v>
      </c>
      <c r="C575" s="70">
        <v>-12987622.988226168</v>
      </c>
      <c r="D575" s="70">
        <v>14856657.768503442</v>
      </c>
      <c r="E575" s="54">
        <f>IF(B575&lt;&gt;"",hddtohms(getlatitude(B575,C575,D575)),"")</f>
        <v>45.305326578538612</v>
      </c>
      <c r="F575" s="54">
        <f>IF(B575&lt;&gt;"",hddtohms(-GetLongitude(B575,C575,D575)),"")</f>
        <v>117.51369206144636</v>
      </c>
      <c r="G575" s="59">
        <f t="shared" si="9"/>
        <v>3162.1260096778933</v>
      </c>
    </row>
    <row r="576" spans="1:7" ht="15.75" thickBot="1" x14ac:dyDescent="0.3">
      <c r="A576" s="68">
        <v>201613</v>
      </c>
      <c r="B576" s="70">
        <v>-6867296.99344311</v>
      </c>
      <c r="C576" s="70">
        <v>-12986255.489192525</v>
      </c>
      <c r="D576" s="70">
        <v>14856496.545418944</v>
      </c>
      <c r="E576" s="54">
        <f>IF(B576&lt;&gt;"",hddtohms(getlatitude(B576,C576,D576)),"")</f>
        <v>45.305330742056597</v>
      </c>
      <c r="F576" s="54">
        <f>IF(B576&lt;&gt;"",hddtohms(-GetLongitude(B576,C576,D576)),"")</f>
        <v>117.52136388177122</v>
      </c>
      <c r="G576" s="59">
        <f t="shared" si="9"/>
        <v>2932.000770024435</v>
      </c>
    </row>
    <row r="577" spans="1:7" ht="15.75" thickBot="1" x14ac:dyDescent="0.3">
      <c r="A577" s="68">
        <v>201614</v>
      </c>
      <c r="B577" s="70">
        <v>-6860206.2906755302</v>
      </c>
      <c r="C577" s="70">
        <v>-12990008.786693035</v>
      </c>
      <c r="D577" s="70">
        <v>14856523.449145621</v>
      </c>
      <c r="E577" s="54">
        <f>IF(B577&lt;&gt;"",hddtohms(getlatitude(B577,C577,D577)),"")</f>
        <v>45.305345540395535</v>
      </c>
      <c r="F577" s="54">
        <f>IF(B577&lt;&gt;"",hddtohms(-GetLongitude(B577,C577,D577)),"")</f>
        <v>117.50209910605692</v>
      </c>
      <c r="G577" s="59">
        <f t="shared" si="9"/>
        <v>2954.9869545801848</v>
      </c>
    </row>
    <row r="578" spans="1:7" ht="15.75" thickBot="1" x14ac:dyDescent="0.3">
      <c r="A578" s="68">
        <v>201615</v>
      </c>
      <c r="B578" s="70">
        <v>-6862643.3513484923</v>
      </c>
      <c r="C578" s="70">
        <v>-12988808.853405127</v>
      </c>
      <c r="D578" s="70">
        <v>14856588.653167358</v>
      </c>
      <c r="E578" s="54">
        <f>IF(B578&lt;&gt;"",hddtohms(getlatitude(B578,C578,D578)),"")</f>
        <v>45.305336216914426</v>
      </c>
      <c r="F578" s="54">
        <f>IF(B578&lt;&gt;"",hddtohms(-GetLongitude(B578,C578,D578)),"")</f>
        <v>117.50591170836019</v>
      </c>
      <c r="G578" s="59">
        <f t="shared" si="9"/>
        <v>3055.6585772700128</v>
      </c>
    </row>
    <row r="579" spans="1:7" ht="15.75" thickBot="1" x14ac:dyDescent="0.3">
      <c r="A579" s="68">
        <v>201616</v>
      </c>
      <c r="B579" s="70">
        <v>-6862734.5060719829</v>
      </c>
      <c r="C579" s="70">
        <v>-12988815.823148316</v>
      </c>
      <c r="D579" s="70">
        <v>14856637.621462759</v>
      </c>
      <c r="E579" s="54">
        <f>IF(B579&lt;&gt;"",hddtohms(getlatitude(B579,C579,D579)),"")</f>
        <v>45.305335759209783</v>
      </c>
      <c r="F579" s="54">
        <f>IF(B579&lt;&gt;"",hddtohms(-GetLongitude(B579,C579,D579)),"")</f>
        <v>117.51002030134882</v>
      </c>
      <c r="G579" s="59">
        <f t="shared" si="9"/>
        <v>3124.7516657978595</v>
      </c>
    </row>
    <row r="580" spans="1:7" ht="15.75" thickBot="1" x14ac:dyDescent="0.3">
      <c r="A580" s="68">
        <v>2017001</v>
      </c>
      <c r="B580" s="70">
        <v>-6891068.8944363249</v>
      </c>
      <c r="C580" s="70">
        <v>-12986254.60759094</v>
      </c>
      <c r="D580" s="70">
        <v>14845171.920204503</v>
      </c>
      <c r="E580" s="54">
        <f>IF(B580&lt;&gt;"",hddtohms(getlatitude(B580,C580,D580)),"")</f>
        <v>45.281660812471998</v>
      </c>
      <c r="F580" s="54">
        <f>IF(B580&lt;&gt;"",hddtohms(-GetLongitude(B580,C580,D580)),"")</f>
        <v>117.57084854376819</v>
      </c>
      <c r="G580" s="59">
        <f t="shared" si="9"/>
        <v>2655.6422788296659</v>
      </c>
    </row>
    <row r="581" spans="1:7" ht="15.75" thickBot="1" x14ac:dyDescent="0.3">
      <c r="A581" s="68">
        <v>2017002</v>
      </c>
      <c r="B581" s="70">
        <v>-6882874.0278713889</v>
      </c>
      <c r="C581" s="70">
        <v>-12982009.373077806</v>
      </c>
      <c r="D581" s="70">
        <v>14852603.117887054</v>
      </c>
      <c r="E581" s="54">
        <f>IF(B581&lt;&gt;"",hddtohms(getlatitude(B581,C581,D581)),"")</f>
        <v>45.300146769924112</v>
      </c>
      <c r="F581" s="54">
        <f>IF(B581&lt;&gt;"",hddtohms(-GetLongitude(B581,C581,D581)),"")</f>
        <v>117.55548030907489</v>
      </c>
      <c r="G581" s="59">
        <f t="shared" si="9"/>
        <v>2633.2274956746169</v>
      </c>
    </row>
    <row r="582" spans="1:7" ht="15.75" thickBot="1" x14ac:dyDescent="0.3">
      <c r="A582" s="68">
        <v>2017003</v>
      </c>
      <c r="B582" s="70">
        <v>-6945791.0710992012</v>
      </c>
      <c r="C582" s="70">
        <v>-13060900.712708596</v>
      </c>
      <c r="D582" s="70">
        <v>14756716.753840299</v>
      </c>
      <c r="E582" s="54">
        <f>IF(B582&lt;&gt;"",hddtohms(getlatitude(B582,C582,D582)),"")</f>
        <v>45.071972341751795</v>
      </c>
      <c r="F582" s="54">
        <f>IF(B582&lt;&gt;"",hddtohms(-GetLongitude(B582,C582,D582)),"")</f>
        <v>118.00146132728628</v>
      </c>
      <c r="G582" s="59">
        <f t="shared" si="9"/>
        <v>4215.8410434519265</v>
      </c>
    </row>
    <row r="583" spans="1:7" ht="15.75" thickBot="1" x14ac:dyDescent="0.3">
      <c r="A583" s="68">
        <v>2017004</v>
      </c>
      <c r="B583" s="70">
        <v>-6942426.7094183182</v>
      </c>
      <c r="C583" s="70">
        <v>-13060198.160321731</v>
      </c>
      <c r="D583" s="70">
        <v>14758419.99907181</v>
      </c>
      <c r="E583" s="54">
        <f>IF(B583&lt;&gt;"",hddtohms(getlatitude(B583,C583,D583)),"")</f>
        <v>45.074697475725131</v>
      </c>
      <c r="F583" s="54">
        <f>IF(B583&lt;&gt;"",hddtohms(-GetLongitude(B583,C583,D583)),"")</f>
        <v>117.59377891018369</v>
      </c>
      <c r="G583" s="59">
        <f t="shared" si="9"/>
        <v>3870.8325586213668</v>
      </c>
    </row>
    <row r="584" spans="1:7" ht="15.75" thickBot="1" x14ac:dyDescent="0.3">
      <c r="A584" s="68">
        <v>2017005</v>
      </c>
      <c r="B584" s="70">
        <v>-6943281.1093006451</v>
      </c>
      <c r="C584" s="70">
        <v>-13061802.881915668</v>
      </c>
      <c r="D584" s="70">
        <v>14756502.745884627</v>
      </c>
      <c r="E584" s="54">
        <f>IF(B584&lt;&gt;"",hddtohms(getlatitude(B584,C584,D584)),"")</f>
        <v>45.072090309860627</v>
      </c>
      <c r="F584" s="54">
        <f>IF(B584&lt;&gt;"",hddtohms(-GetLongitude(B584,C584,D584)),"")</f>
        <v>117.59378060426022</v>
      </c>
      <c r="G584" s="59">
        <f t="shared" si="9"/>
        <v>3794.8384211281791</v>
      </c>
    </row>
    <row r="585" spans="1:7" ht="15.75" thickBot="1" x14ac:dyDescent="0.3">
      <c r="A585" s="68">
        <v>2017006</v>
      </c>
      <c r="B585" s="70">
        <v>-6944171.3553920425</v>
      </c>
      <c r="C585" s="70">
        <v>-13063475.042376364</v>
      </c>
      <c r="D585" s="70">
        <v>14754662.039927699</v>
      </c>
      <c r="E585" s="54">
        <f>IF(B585&lt;&gt;"",hddtohms(getlatitude(B585,C585,D585)),"")</f>
        <v>45.065483028161218</v>
      </c>
      <c r="F585" s="54">
        <f>IF(B585&lt;&gt;"",hddtohms(-GetLongitude(B585,C585,D585)),"")</f>
        <v>117.59378229500001</v>
      </c>
      <c r="G585" s="59">
        <f t="shared" si="9"/>
        <v>3827.3096158204389</v>
      </c>
    </row>
    <row r="586" spans="1:7" ht="15.75" thickBot="1" x14ac:dyDescent="0.3">
      <c r="A586" s="68">
        <v>2017007</v>
      </c>
      <c r="B586" s="70">
        <v>-7017769.9309736798</v>
      </c>
      <c r="C586" s="70">
        <v>-12974915.056300284</v>
      </c>
      <c r="D586" s="70">
        <v>14797371.959546715</v>
      </c>
      <c r="E586" s="54">
        <f>IF(B586&lt;&gt;"",hddtohms(getlatitude(B586,C586,D586)),"")</f>
        <v>45.165498825434284</v>
      </c>
      <c r="F586" s="54">
        <f>IF(B586&lt;&gt;"",hddtohms(-GetLongitude(B586,C586,D586)),"")</f>
        <v>118.24277923739369</v>
      </c>
      <c r="G586" s="59">
        <f t="shared" si="9"/>
        <v>3643.413993491009</v>
      </c>
    </row>
    <row r="587" spans="1:7" ht="15.75" thickBot="1" x14ac:dyDescent="0.3">
      <c r="A587" s="68">
        <v>2017008</v>
      </c>
      <c r="B587" s="70">
        <v>-7018634.6998387426</v>
      </c>
      <c r="C587" s="70">
        <v>-12976555.875469159</v>
      </c>
      <c r="D587" s="70">
        <v>14795414.526956201</v>
      </c>
      <c r="E587" s="54">
        <f>IF(B587&lt;&gt;"",hddtohms(getlatitude(B587,C587,D587)),"")</f>
        <v>45.162838296210772</v>
      </c>
      <c r="F587" s="54">
        <f>IF(B587&lt;&gt;"",hddtohms(-GetLongitude(B587,C587,D587)),"")</f>
        <v>118.24275131626837</v>
      </c>
      <c r="G587" s="59">
        <f t="shared" si="9"/>
        <v>3557.6438093799406</v>
      </c>
    </row>
    <row r="588" spans="1:7" ht="15.75" thickBot="1" x14ac:dyDescent="0.3">
      <c r="A588" s="68">
        <v>2017009</v>
      </c>
      <c r="B588" s="70">
        <v>-6932786.7025201721</v>
      </c>
      <c r="C588" s="70">
        <v>-13002613.435375143</v>
      </c>
      <c r="D588" s="70">
        <v>14811678.100322947</v>
      </c>
      <c r="E588" s="54">
        <f>IF(B588&lt;&gt;"",hddtohms(getlatitude(B588,C588,D588)),"")</f>
        <v>45.20252252445426</v>
      </c>
      <c r="F588" s="54">
        <f>IF(B588&lt;&gt;"",hddtohms(-GetLongitude(B588,C588,D588)),"")</f>
        <v>118.03569860926206</v>
      </c>
      <c r="G588" s="59">
        <f t="shared" si="9"/>
        <v>2699.3734452579156</v>
      </c>
    </row>
    <row r="589" spans="1:7" ht="15.75" thickBot="1" x14ac:dyDescent="0.3">
      <c r="A589" s="68">
        <v>2017010</v>
      </c>
      <c r="B589" s="70">
        <v>-6866334.8532738043</v>
      </c>
      <c r="C589" s="70">
        <v>-12950699.227747554</v>
      </c>
      <c r="D589" s="70">
        <v>14888342.381189752</v>
      </c>
      <c r="E589" s="54">
        <f>IF(B589&lt;&gt;"",hddtohms(getlatitude(B589,C589,D589)),"")</f>
        <v>45.381804554140942</v>
      </c>
      <c r="F589" s="54">
        <f>IF(B589&lt;&gt;"",hddtohms(-GetLongitude(B589,C589,D589)),"")</f>
        <v>117.5555561613909</v>
      </c>
      <c r="G589" s="59">
        <f t="shared" si="9"/>
        <v>3366.0047842455569</v>
      </c>
    </row>
    <row r="590" spans="1:7" ht="15.75" thickBot="1" x14ac:dyDescent="0.3">
      <c r="A590" s="68">
        <v>2017011</v>
      </c>
      <c r="B590" s="70">
        <v>-6852668.1788158482</v>
      </c>
      <c r="C590" s="70">
        <v>-12936099.800815709</v>
      </c>
      <c r="D590" s="70">
        <v>14906543.848078592</v>
      </c>
      <c r="E590" s="54">
        <f>IF(B590&lt;&gt;"",hddtohms(getlatitude(B590,C590,D590)),"")</f>
        <v>45.423986977407104</v>
      </c>
      <c r="F590" s="54">
        <f>IF(B590&lt;&gt;"",hddtohms(-GetLongitude(B590,C590,D590)),"")</f>
        <v>117.54417887226984</v>
      </c>
      <c r="G590" s="59">
        <f t="shared" si="9"/>
        <v>2901.8775372602577</v>
      </c>
    </row>
    <row r="591" spans="1:7" ht="15.75" thickBot="1" x14ac:dyDescent="0.3">
      <c r="A591" s="68">
        <v>2017012</v>
      </c>
      <c r="B591" s="70">
        <v>-6885048.7969073961</v>
      </c>
      <c r="C591" s="70">
        <v>-12952009.419911031</v>
      </c>
      <c r="D591" s="70">
        <v>14879450.887083432</v>
      </c>
      <c r="E591" s="54">
        <f>IF(B591&lt;&gt;"",hddtohms(getlatitude(B591,C591,D591)),"")</f>
        <v>45.360658914780693</v>
      </c>
      <c r="F591" s="54">
        <f>IF(B591&lt;&gt;"",hddtohms(-GetLongitude(B591,C591,D591)),"")</f>
        <v>117.59394295757454</v>
      </c>
      <c r="G591" s="59">
        <f t="shared" si="9"/>
        <v>3957.8549466678578</v>
      </c>
    </row>
    <row r="592" spans="1:7" ht="15.75" thickBot="1" x14ac:dyDescent="0.3">
      <c r="A592" s="68">
        <v>2017013</v>
      </c>
      <c r="B592" s="70">
        <v>-6882152.3947919682</v>
      </c>
      <c r="C592" s="70">
        <v>-12958062.985474998</v>
      </c>
      <c r="D592" s="70">
        <v>14875635.904385703</v>
      </c>
      <c r="E592" s="54">
        <f>IF(B592&lt;&gt;"",hddtohms(getlatitude(B592,C592,D592)),"")</f>
        <v>45.351212610625126</v>
      </c>
      <c r="F592" s="54">
        <f>IF(B592&lt;&gt;"",hddtohms(-GetLongitude(B592,C592,D592)),"")</f>
        <v>117.58235303607664</v>
      </c>
      <c r="G592" s="59">
        <f t="shared" si="9"/>
        <v>4022.078194712105</v>
      </c>
    </row>
    <row r="593" spans="1:7" ht="15.75" thickBot="1" x14ac:dyDescent="0.3">
      <c r="A593" s="68">
        <v>2017014</v>
      </c>
      <c r="B593" s="70">
        <v>-6845864.9811932081</v>
      </c>
      <c r="C593" s="70">
        <v>-12946016.539865332</v>
      </c>
      <c r="D593" s="70">
        <v>14900980.352670394</v>
      </c>
      <c r="E593" s="54">
        <f>IF(B593&lt;&gt;"",hddtohms(getlatitude(B593,C593,D593)),"")</f>
        <v>45.41220765684578</v>
      </c>
      <c r="F593" s="54">
        <f>IF(B593&lt;&gt;"",hddtohms(-GetLongitude(B593,C593,D593)),"")</f>
        <v>117.52117320264811</v>
      </c>
      <c r="G593" s="59">
        <f t="shared" si="9"/>
        <v>2818.9004357905196</v>
      </c>
    </row>
    <row r="594" spans="1:7" ht="15.75" thickBot="1" x14ac:dyDescent="0.3">
      <c r="A594" s="68">
        <v>2017015</v>
      </c>
      <c r="B594" s="70">
        <v>-6960882.7192943245</v>
      </c>
      <c r="C594" s="70">
        <v>-13027586.368821673</v>
      </c>
      <c r="D594" s="70">
        <v>14779417.679401759</v>
      </c>
      <c r="E594" s="54">
        <f>IF(B594&lt;&gt;"",hddtohms(getlatitude(B594,C594,D594)),"")</f>
        <v>45.123381866066417</v>
      </c>
      <c r="F594" s="54">
        <f>IF(B594&lt;&gt;"",hddtohms(-GetLongitude(B594,C594,D594)),"")</f>
        <v>118.06591214749294</v>
      </c>
      <c r="G594" s="59">
        <f t="shared" si="9"/>
        <v>4591.9196443188648</v>
      </c>
    </row>
    <row r="595" spans="1:7" ht="15.75" thickBot="1" x14ac:dyDescent="0.3">
      <c r="A595" s="68">
        <v>2017016</v>
      </c>
      <c r="B595" s="70">
        <v>-6964875.6945361439</v>
      </c>
      <c r="C595" s="70">
        <v>-13029619.214960234</v>
      </c>
      <c r="D595" s="70">
        <v>14775896.920914989</v>
      </c>
      <c r="E595" s="54">
        <f>IF(B595&lt;&gt;"",hddtohms(getlatitude(B595,C595,D595)),"")</f>
        <v>45.114358966084019</v>
      </c>
      <c r="F595" s="54">
        <f>IF(B595&lt;&gt;"",hddtohms(-GetLongitude(B595,C595,D595)),"")</f>
        <v>118.07349142647632</v>
      </c>
      <c r="G595" s="59">
        <f t="shared" si="9"/>
        <v>4682.9551899391226</v>
      </c>
    </row>
    <row r="596" spans="1:7" ht="15.75" thickBot="1" x14ac:dyDescent="0.3">
      <c r="A596" s="68">
        <v>2017020</v>
      </c>
      <c r="B596" s="70">
        <v>-6882655.2025053706</v>
      </c>
      <c r="C596" s="70">
        <v>-13096010.166490328</v>
      </c>
      <c r="D596" s="70">
        <v>14754903.434049824</v>
      </c>
      <c r="E596" s="54">
        <f>IF(B596&lt;&gt;"",hddtohms(getlatitude(B596,C596,D596)),"")</f>
        <v>45.065638685720934</v>
      </c>
      <c r="F596" s="54">
        <f>IF(B596&lt;&gt;"",hddtohms(-GetLongitude(B596,C596,D596)),"")</f>
        <v>117.43275961395857</v>
      </c>
      <c r="G596" s="59">
        <f t="shared" si="9"/>
        <v>4010.9591323493587</v>
      </c>
    </row>
    <row r="597" spans="1:7" ht="15.75" thickBot="1" x14ac:dyDescent="0.3">
      <c r="A597" s="68">
        <v>2017021</v>
      </c>
      <c r="B597" s="70">
        <v>-6883505.3242011927</v>
      </c>
      <c r="C597" s="70">
        <v>-13097755.282062784</v>
      </c>
      <c r="D597" s="70">
        <v>14753105.854906142</v>
      </c>
      <c r="E597" s="54">
        <f>IF(B597&lt;&gt;"",hddtohms(getlatitude(B597,C597,D597)),"")</f>
        <v>45.06302938785052</v>
      </c>
      <c r="F597" s="54">
        <f>IF(B597&lt;&gt;"",hddtohms(-GetLongitude(B597,C597,D597)),"")</f>
        <v>117.43267690018537</v>
      </c>
      <c r="G597" s="59">
        <f t="shared" si="9"/>
        <v>4106.68232934349</v>
      </c>
    </row>
    <row r="598" spans="1:7" ht="15.75" thickBot="1" x14ac:dyDescent="0.3">
      <c r="A598" s="68">
        <v>2017022</v>
      </c>
      <c r="B598" s="70">
        <v>-6945456.2658767356</v>
      </c>
      <c r="C598" s="70">
        <v>-13020890.304377669</v>
      </c>
      <c r="D598" s="70">
        <v>14792501.231499864</v>
      </c>
      <c r="E598" s="54">
        <f>IF(B598&lt;&gt;"",hddtohms(getlatitude(B598,C598,D598)),"")</f>
        <v>45.153708223036688</v>
      </c>
      <c r="F598" s="54">
        <f>IF(B598&lt;&gt;"",hddtohms(-GetLongitude(B598,C598,D598)),"")</f>
        <v>118.04330566622893</v>
      </c>
      <c r="G598" s="59">
        <f t="shared" si="9"/>
        <v>4605.3928047325189</v>
      </c>
    </row>
    <row r="599" spans="1:7" ht="15.75" thickBot="1" x14ac:dyDescent="0.3">
      <c r="A599" s="68">
        <v>2017023</v>
      </c>
      <c r="B599" s="70">
        <v>-6948261.0352000315</v>
      </c>
      <c r="C599" s="70">
        <v>-13026204.11132301</v>
      </c>
      <c r="D599" s="70">
        <v>14787275.911957545</v>
      </c>
      <c r="E599" s="54">
        <f>IF(B599&lt;&gt;"",hddtohms(getlatitude(B599,C599,D599)),"")</f>
        <v>45.14186488708615</v>
      </c>
      <c r="F599" s="54">
        <f>IF(B599&lt;&gt;"",hddtohms(-GetLongitude(B599,C599,D599)),"")</f>
        <v>118.04326910175767</v>
      </c>
      <c r="G599" s="59">
        <f t="shared" si="9"/>
        <v>5124.6323725934253</v>
      </c>
    </row>
    <row r="600" spans="1:7" ht="15.75" thickBot="1" x14ac:dyDescent="0.3">
      <c r="A600" s="68">
        <v>2017024</v>
      </c>
      <c r="B600" s="70">
        <v>-6947402.9462785972</v>
      </c>
      <c r="C600" s="70">
        <v>-13024585.269430846</v>
      </c>
      <c r="D600" s="70">
        <v>14789161.539260542</v>
      </c>
      <c r="E600" s="54">
        <f>IF(B600&lt;&gt;"",hddtohms(getlatitude(B600,C600,D600)),"")</f>
        <v>45.14445964712462</v>
      </c>
      <c r="F600" s="54">
        <f>IF(B600&lt;&gt;"",hddtohms(-GetLongitude(B600,C600,D600)),"")</f>
        <v>118.04327577377968</v>
      </c>
      <c r="G600" s="59">
        <f t="shared" si="9"/>
        <v>5173.5225650672528</v>
      </c>
    </row>
    <row r="601" spans="1:7" ht="15.75" thickBot="1" x14ac:dyDescent="0.3">
      <c r="A601" s="68">
        <v>2017025</v>
      </c>
      <c r="B601" s="70">
        <v>-6946449.594809371</v>
      </c>
      <c r="C601" s="70">
        <v>-13022787.378534107</v>
      </c>
      <c r="D601" s="70">
        <v>14790887.154535234</v>
      </c>
      <c r="E601" s="54">
        <f>IF(B601&lt;&gt;"",hddtohms(getlatitude(B601,C601,D601)),"")</f>
        <v>45.151085384045736</v>
      </c>
      <c r="F601" s="54">
        <f>IF(B601&lt;&gt;"",hddtohms(-GetLongitude(B601,C601,D601)),"")</f>
        <v>118.04328274769416</v>
      </c>
      <c r="G601" s="59">
        <f t="shared" si="9"/>
        <v>4966.322930676095</v>
      </c>
    </row>
    <row r="602" spans="1:7" ht="15.75" thickBot="1" x14ac:dyDescent="0.3">
      <c r="A602" s="68">
        <v>2017026</v>
      </c>
      <c r="B602" s="70">
        <v>-6944529.6474472899</v>
      </c>
      <c r="C602" s="70">
        <v>-13019118.126959663</v>
      </c>
      <c r="D602" s="70">
        <v>14794258.409234589</v>
      </c>
      <c r="E602" s="54">
        <f>IF(B602&lt;&gt;"",hddtohms(getlatitude(B602,C602,D602)),"")</f>
        <v>45.160331271342969</v>
      </c>
      <c r="F602" s="54">
        <f>IF(B602&lt;&gt;"",hddtohms(-GetLongitude(B602,C602,D602)),"")</f>
        <v>118.04332870157853</v>
      </c>
      <c r="G602" s="59">
        <f t="shared" si="9"/>
        <v>4446.1145069906361</v>
      </c>
    </row>
    <row r="603" spans="1:7" ht="15.75" thickBot="1" x14ac:dyDescent="0.3">
      <c r="A603" s="68">
        <v>2017027</v>
      </c>
      <c r="B603" s="70">
        <v>-6835474.2462917538</v>
      </c>
      <c r="C603" s="70">
        <v>-12942889.293177675</v>
      </c>
      <c r="D603" s="70">
        <v>14908210.258154338</v>
      </c>
      <c r="E603" s="54">
        <f>IF(B603&lt;&gt;"",hddtohms(getlatitude(B603,C603,D603)),"")</f>
        <v>45.430575261668203</v>
      </c>
      <c r="F603" s="54">
        <f>IF(B603&lt;&gt;"",hddtohms(-GetLongitude(B603,C603,D603)),"")</f>
        <v>117.50228904030399</v>
      </c>
      <c r="G603" s="59">
        <f t="shared" si="9"/>
        <v>2672.2171362165955</v>
      </c>
    </row>
    <row r="604" spans="1:7" ht="15.75" thickBot="1" x14ac:dyDescent="0.3">
      <c r="A604" s="68">
        <v>2017028</v>
      </c>
      <c r="B604" s="70">
        <v>-6837073.7876469661</v>
      </c>
      <c r="C604" s="70">
        <v>-12940211.153675592</v>
      </c>
      <c r="D604" s="70">
        <v>14910382.00236674</v>
      </c>
      <c r="E604" s="54">
        <f>IF(B604&lt;&gt;"",hddtohms(getlatitude(B604,C604,D604)),"")</f>
        <v>45.4332174613088</v>
      </c>
      <c r="F604" s="54">
        <f>IF(B604&lt;&gt;"",hddtohms(-GetLongitude(B604,C604,D604)),"")</f>
        <v>117.51004511049474</v>
      </c>
      <c r="G604" s="59">
        <f t="shared" si="9"/>
        <v>3095.4555666839697</v>
      </c>
    </row>
    <row r="605" spans="1:7" ht="15.75" thickBot="1" x14ac:dyDescent="0.3">
      <c r="A605" s="68">
        <v>2018001</v>
      </c>
      <c r="B605" s="70">
        <v>-6953451.1606154907</v>
      </c>
      <c r="C605" s="70">
        <v>-13036025.018017912</v>
      </c>
      <c r="D605" s="70">
        <v>14775988.817373285</v>
      </c>
      <c r="E605" s="54">
        <f>IF(B605&lt;&gt;"",hddtohms(getlatitude(B605,C605,D605)),"")</f>
        <v>45.114234199510783</v>
      </c>
      <c r="F605" s="54">
        <f>IF(B605&lt;&gt;"",hddtohms(-GetLongitude(B605,C605,D605)),"")</f>
        <v>118.04320947127411</v>
      </c>
      <c r="G605" s="59">
        <f t="shared" si="9"/>
        <v>4938.0133222726599</v>
      </c>
    </row>
    <row r="606" spans="1:7" ht="15.75" thickBot="1" x14ac:dyDescent="0.3">
      <c r="A606" s="68">
        <v>2018002</v>
      </c>
      <c r="B606" s="70">
        <v>-6955776.3823113162</v>
      </c>
      <c r="C606" s="70">
        <v>-13034781.087506764</v>
      </c>
      <c r="D606" s="70">
        <v>14775969.15183696</v>
      </c>
      <c r="E606" s="54">
        <f>IF(B606&lt;&gt;"",hddtohms(getlatitude(B606,C606,D606)),"")</f>
        <v>45.114222611315554</v>
      </c>
      <c r="F606" s="54">
        <f>IF(B606&lt;&gt;"",hddtohms(-GetLongitude(B606,C606,D606)),"")</f>
        <v>118.05089099392912</v>
      </c>
      <c r="G606" s="59">
        <f t="shared" si="9"/>
        <v>4921.9562106104622</v>
      </c>
    </row>
    <row r="607" spans="1:7" ht="15.75" thickBot="1" x14ac:dyDescent="0.3">
      <c r="A607" s="68">
        <v>2018003</v>
      </c>
      <c r="B607" s="70">
        <v>-6954385.0313966125</v>
      </c>
      <c r="C607" s="70">
        <v>-13037679.251756921</v>
      </c>
      <c r="D607" s="70">
        <v>14774164.404472033</v>
      </c>
      <c r="E607" s="54">
        <f>IF(B607&lt;&gt;"",hddtohms(getlatitude(B607,C607,D607)),"")</f>
        <v>45.111635088907427</v>
      </c>
      <c r="F607" s="54">
        <f>IF(B607&lt;&gt;"",hddtohms(-GetLongitude(B607,C607,D607)),"")</f>
        <v>118.04327289828292</v>
      </c>
      <c r="G607" s="59">
        <f t="shared" si="9"/>
        <v>4982.0177988037412</v>
      </c>
    </row>
    <row r="608" spans="1:7" ht="15.75" thickBot="1" x14ac:dyDescent="0.3">
      <c r="A608" s="68">
        <v>2018004</v>
      </c>
      <c r="B608" s="70">
        <v>-6951786.8640683442</v>
      </c>
      <c r="C608" s="70">
        <v>-13032897.569486465</v>
      </c>
      <c r="D608" s="70">
        <v>14779901.055066781</v>
      </c>
      <c r="E608" s="54">
        <f>IF(B608&lt;&gt;"",hddtohms(getlatitude(B608,C608,D608)),"")</f>
        <v>45.123436664528796</v>
      </c>
      <c r="F608" s="54">
        <f>IF(B608&lt;&gt;"",hddtohms(-GetLongitude(B608,C608,D608)),"")</f>
        <v>118.04321426781021</v>
      </c>
      <c r="G608" s="59">
        <f t="shared" si="9"/>
        <v>5217.9203953199521</v>
      </c>
    </row>
    <row r="609" spans="1:7" ht="15.75" thickBot="1" x14ac:dyDescent="0.3">
      <c r="A609" s="68">
        <v>2018005</v>
      </c>
      <c r="B609" s="70">
        <v>-6860009.4041880276</v>
      </c>
      <c r="C609" s="70">
        <v>-12938708.215763476</v>
      </c>
      <c r="D609" s="70">
        <v>14901145.683151413</v>
      </c>
      <c r="E609" s="54">
        <f>IF(B609&lt;&gt;"",hddtohms(getlatitude(B609,C609,D609)),"")</f>
        <v>45.412208610504777</v>
      </c>
      <c r="F609" s="54">
        <f>IF(B609&lt;&gt;"",hddtohms(-GetLongitude(B609,C609,D609)),"")</f>
        <v>117.55559606704811</v>
      </c>
      <c r="G609" s="59">
        <f t="shared" si="9"/>
        <v>3049.006390678358</v>
      </c>
    </row>
    <row r="610" spans="1:7" ht="15.75" thickBot="1" x14ac:dyDescent="0.3">
      <c r="A610" s="68">
        <v>2018006</v>
      </c>
      <c r="B610" s="70">
        <v>-6849653.3410696127</v>
      </c>
      <c r="C610" s="70">
        <v>-12941841.624766843</v>
      </c>
      <c r="D610" s="70">
        <v>14902776.796131458</v>
      </c>
      <c r="E610" s="54">
        <f>IF(B610&lt;&gt;"",hddtohms(getlatitude(B610,C610,D610)),"")</f>
        <v>45.414801715226851</v>
      </c>
      <c r="F610" s="54">
        <f>IF(B610&lt;&gt;"",hddtohms(-GetLongitude(B610,C610,D610)),"")</f>
        <v>117.532639877242</v>
      </c>
      <c r="G610" s="59">
        <f t="shared" si="9"/>
        <v>2764.176618716454</v>
      </c>
    </row>
    <row r="611" spans="1:7" ht="15.75" thickBot="1" x14ac:dyDescent="0.3">
      <c r="A611" s="68">
        <v>2018007</v>
      </c>
      <c r="B611" s="70">
        <v>-6846441.3603976211</v>
      </c>
      <c r="C611" s="70">
        <v>-12941431.507309873</v>
      </c>
      <c r="D611" s="70">
        <v>14904641.17671711</v>
      </c>
      <c r="E611" s="54">
        <f>IF(B611&lt;&gt;"",hddtohms(getlatitude(B611,C611,D611)),"")</f>
        <v>45.421404448428447</v>
      </c>
      <c r="F611" s="54">
        <f>IF(B611&lt;&gt;"",hddtohms(-GetLongitude(B611,C611,D611)),"")</f>
        <v>117.52491065094405</v>
      </c>
      <c r="G611" s="59">
        <f t="shared" si="9"/>
        <v>2796.1374161657641</v>
      </c>
    </row>
    <row r="612" spans="1:7" ht="15.75" thickBot="1" x14ac:dyDescent="0.3">
      <c r="A612" s="68">
        <v>2018008</v>
      </c>
      <c r="B612" s="70">
        <v>-6853518.2526824605</v>
      </c>
      <c r="C612" s="70">
        <v>-12937759.336303102</v>
      </c>
      <c r="D612" s="70">
        <v>14904673.420271887</v>
      </c>
      <c r="E612" s="54">
        <f>IF(B612&lt;&gt;"",hddtohms(getlatitude(B612,C612,D612)),"")</f>
        <v>45.42138034212433</v>
      </c>
      <c r="F612" s="54">
        <f>IF(B612&lt;&gt;"",hddtohms(-GetLongitude(B612,C612,D612)),"")</f>
        <v>117.54414272493803</v>
      </c>
      <c r="G612" s="59">
        <f t="shared" si="9"/>
        <v>2865.0149517139162</v>
      </c>
    </row>
    <row r="613" spans="1:7" ht="15.75" thickBot="1" x14ac:dyDescent="0.3">
      <c r="A613" s="68">
        <v>2018009</v>
      </c>
      <c r="B613" s="70">
        <v>-6954806.41923765</v>
      </c>
      <c r="C613" s="70">
        <v>-13004901.538046502</v>
      </c>
      <c r="D613" s="70">
        <v>14801492.473668056</v>
      </c>
      <c r="E613" s="54">
        <f>IF(B613&lt;&gt;"",hddtohms(getlatitude(B613,C613,D613)),"")</f>
        <v>45.174755657666537</v>
      </c>
      <c r="F613" s="54">
        <f>IF(B613&lt;&gt;"",hddtohms(-GetLongitude(B613,C613,D613)),"")</f>
        <v>118.08136861106057</v>
      </c>
      <c r="G613" s="59">
        <f t="shared" si="9"/>
        <v>4169.6518752232951</v>
      </c>
    </row>
    <row r="614" spans="1:7" ht="15.75" thickBot="1" x14ac:dyDescent="0.3">
      <c r="A614" s="68">
        <v>2018010</v>
      </c>
      <c r="B614" s="70">
        <v>-6944329.6591842743</v>
      </c>
      <c r="C614" s="70">
        <v>-13007419.553549601</v>
      </c>
      <c r="D614" s="70">
        <v>14802658.082411947</v>
      </c>
      <c r="E614" s="54">
        <f>IF(B614&lt;&gt;"",hddtohms(getlatitude(B614,C614,D614)),"")</f>
        <v>45.181471100472947</v>
      </c>
      <c r="F614" s="54">
        <f>IF(B614&lt;&gt;"",hddtohms(-GetLongitude(B614,C614,D614)),"")</f>
        <v>118.05478382580887</v>
      </c>
      <c r="G614" s="59">
        <f t="shared" si="9"/>
        <v>3087.3803010462361</v>
      </c>
    </row>
    <row r="615" spans="1:7" ht="15.75" thickBot="1" x14ac:dyDescent="0.3">
      <c r="A615" s="68">
        <v>2018011</v>
      </c>
      <c r="B615" s="70">
        <v>-6932484.7727593929</v>
      </c>
      <c r="C615" s="70">
        <v>-12996446.733250886</v>
      </c>
      <c r="D615" s="70">
        <v>14817353.23094569</v>
      </c>
      <c r="E615" s="54">
        <f>IF(B615&lt;&gt;"",hddtohms(getlatitude(B615,C615,D615)),"")</f>
        <v>45.214380858899382</v>
      </c>
      <c r="F615" s="54">
        <f>IF(B615&lt;&gt;"",hddtohms(-GetLongitude(B615,C615,D615)),"")</f>
        <v>118.04338834930654</v>
      </c>
      <c r="G615" s="59">
        <f t="shared" si="9"/>
        <v>2813.0665751405195</v>
      </c>
    </row>
    <row r="616" spans="1:7" ht="15.75" thickBot="1" x14ac:dyDescent="0.3">
      <c r="A616" s="68">
        <v>2018012</v>
      </c>
      <c r="B616" s="70">
        <v>-6934004.6858386146</v>
      </c>
      <c r="C616" s="70">
        <v>-12993686.627304692</v>
      </c>
      <c r="D616" s="70">
        <v>14819375.281395495</v>
      </c>
      <c r="E616" s="54">
        <f>IF(B616&lt;&gt;"",hddtohms(getlatitude(B616,C616,D616)),"")</f>
        <v>45.220991342879685</v>
      </c>
      <c r="F616" s="54">
        <f>IF(B616&lt;&gt;"",hddtohms(-GetLongitude(B616,C616,D616)),"")</f>
        <v>118.05108574795727</v>
      </c>
      <c r="G616" s="59">
        <f t="shared" ref="G616:G679" si="10">IF(B616&lt;&gt;"",GetHeight(B616,C616,D616),"")</f>
        <v>3043.725249402707</v>
      </c>
    </row>
    <row r="617" spans="1:7" ht="15.75" thickBot="1" x14ac:dyDescent="0.3">
      <c r="A617" s="68">
        <v>2018013</v>
      </c>
      <c r="B617" s="70">
        <v>-6930772.4251254611</v>
      </c>
      <c r="C617" s="70">
        <v>-12993217.927978821</v>
      </c>
      <c r="D617" s="70">
        <v>14821232.152312724</v>
      </c>
      <c r="E617" s="54">
        <f>IF(B617&lt;&gt;"",hddtohms(getlatitude(B617,C617,D617)),"")</f>
        <v>45.223638490552474</v>
      </c>
      <c r="F617" s="54">
        <f>IF(B617&lt;&gt;"",hddtohms(-GetLongitude(B617,C617,D617)),"")</f>
        <v>118.04340063587465</v>
      </c>
      <c r="G617" s="59">
        <f t="shared" si="10"/>
        <v>3005.9237973821619</v>
      </c>
    </row>
    <row r="618" spans="1:7" ht="15.75" thickBot="1" x14ac:dyDescent="0.3">
      <c r="A618" s="68">
        <v>2018014</v>
      </c>
      <c r="B618" s="70">
        <v>-6931606.537070876</v>
      </c>
      <c r="C618" s="70">
        <v>-12994807.667185806</v>
      </c>
      <c r="D618" s="70">
        <v>14819280.76635832</v>
      </c>
      <c r="E618" s="54">
        <f>IF(B618&lt;&gt;"",hddtohms(getlatitude(B618,C618,D618)),"")</f>
        <v>45.22102400024567</v>
      </c>
      <c r="F618" s="54">
        <f>IF(B618&lt;&gt;"",hddtohms(-GetLongitude(B618,C618,D618)),"")</f>
        <v>118.04338348668021</v>
      </c>
      <c r="G618" s="59">
        <f t="shared" si="10"/>
        <v>2878.2563716615678</v>
      </c>
    </row>
    <row r="619" spans="1:7" ht="15.75" thickBot="1" x14ac:dyDescent="0.3">
      <c r="A619" s="68">
        <v>2018015</v>
      </c>
      <c r="B619" s="70">
        <v>-6927479.7247478329</v>
      </c>
      <c r="C619" s="70">
        <v>-12992616.785003383</v>
      </c>
      <c r="D619" s="70">
        <v>14822889.90397262</v>
      </c>
      <c r="E619" s="54">
        <f>IF(B619&lt;&gt;"",hddtohms(getlatitude(B619,C619,D619)),"")</f>
        <v>45.230249362496664</v>
      </c>
      <c r="F619" s="54">
        <f>IF(B619&lt;&gt;"",hddtohms(-GetLongitude(B619,C619,D619)),"")</f>
        <v>118.03572713588299</v>
      </c>
      <c r="G619" s="59">
        <f t="shared" si="10"/>
        <v>2725.0021800066315</v>
      </c>
    </row>
    <row r="620" spans="1:7" ht="15.75" thickBot="1" x14ac:dyDescent="0.3">
      <c r="A620" s="68">
        <v>2018016</v>
      </c>
      <c r="B620" s="70">
        <v>-6932310.354385511</v>
      </c>
      <c r="C620" s="70">
        <v>-12990466.243514316</v>
      </c>
      <c r="D620" s="70">
        <v>14823234.224850006</v>
      </c>
      <c r="E620" s="54">
        <f>IF(B620&lt;&gt;"",hddtohms(getlatitude(B620,C620,D620)),"")</f>
        <v>45.230223852269702</v>
      </c>
      <c r="F620" s="54">
        <f>IF(B620&lt;&gt;"",hddtohms(-GetLongitude(B620,C620,D620)),"")</f>
        <v>118.05111566523814</v>
      </c>
      <c r="G620" s="59">
        <f t="shared" si="10"/>
        <v>3234.2124851620301</v>
      </c>
    </row>
    <row r="621" spans="1:7" ht="15.75" thickBot="1" x14ac:dyDescent="0.3">
      <c r="A621" s="68">
        <v>2018017</v>
      </c>
      <c r="B621" s="70">
        <v>-6870961.2635409385</v>
      </c>
      <c r="C621" s="70">
        <v>-12948169.714054268</v>
      </c>
      <c r="D621" s="70">
        <v>14888299.505548278</v>
      </c>
      <c r="E621" s="54">
        <f>IF(B621&lt;&gt;"",hddtohms(getlatitude(B621,C621,D621)),"")</f>
        <v>45.381822076569847</v>
      </c>
      <c r="F621" s="54">
        <f>IF(B621&lt;&gt;"",hddtohms(-GetLongitude(B621,C621,D621)),"")</f>
        <v>117.57097515804068</v>
      </c>
      <c r="G621" s="59">
        <f t="shared" si="10"/>
        <v>3288.6737082494128</v>
      </c>
    </row>
    <row r="622" spans="1:7" ht="15.75" thickBot="1" x14ac:dyDescent="0.3">
      <c r="A622" s="68">
        <v>2018018</v>
      </c>
      <c r="B622" s="70">
        <v>-6871851.2818131642</v>
      </c>
      <c r="C622" s="70">
        <v>-12949831.717216225</v>
      </c>
      <c r="D622" s="70">
        <v>14886446.11019722</v>
      </c>
      <c r="E622" s="54">
        <f>IF(B622&lt;&gt;"",hddtohms(getlatitude(B622,C622,D622)),"")</f>
        <v>45.375212432319294</v>
      </c>
      <c r="F622" s="54">
        <f>IF(B622&lt;&gt;"",hddtohms(-GetLongitude(B622,C622,D622)),"")</f>
        <v>117.57098519310412</v>
      </c>
      <c r="G622" s="59">
        <f t="shared" si="10"/>
        <v>3281.940599912059</v>
      </c>
    </row>
    <row r="623" spans="1:7" ht="15.75" thickBot="1" x14ac:dyDescent="0.3">
      <c r="A623" s="68">
        <v>2018019</v>
      </c>
      <c r="B623" s="70">
        <v>-6869583.5426004101</v>
      </c>
      <c r="C623" s="70">
        <v>-12951170.877164021</v>
      </c>
      <c r="D623" s="70">
        <v>14886502.671650775</v>
      </c>
      <c r="E623" s="54">
        <f>IF(B623&lt;&gt;"",hddtohms(getlatitude(B623,C623,D623)),"")</f>
        <v>45.375166674736008</v>
      </c>
      <c r="F623" s="54">
        <f>IF(B623&lt;&gt;"",hddtohms(-GetLongitude(B623,C623,D623)),"")</f>
        <v>117.56328362212825</v>
      </c>
      <c r="G623" s="59">
        <f t="shared" si="10"/>
        <v>3406.4093516421926</v>
      </c>
    </row>
    <row r="624" spans="1:7" ht="15.75" thickBot="1" x14ac:dyDescent="0.3">
      <c r="A624" s="68">
        <v>2018020</v>
      </c>
      <c r="B624" s="70">
        <v>-6879678.5082967998</v>
      </c>
      <c r="C624" s="70">
        <v>-12975634.690534497</v>
      </c>
      <c r="D624" s="70">
        <v>14860265.975415876</v>
      </c>
      <c r="E624" s="54">
        <f>IF(B624&lt;&gt;"",hddtohms(getlatitude(B624,C624,D624)),"")</f>
        <v>45.314467895376623</v>
      </c>
      <c r="F624" s="54">
        <f>IF(B624&lt;&gt;"",hddtohms(-GetLongitude(B624,C624,D624)),"")</f>
        <v>117.55570892581821</v>
      </c>
      <c r="G624" s="59">
        <f t="shared" si="10"/>
        <v>3104.7326662415308</v>
      </c>
    </row>
    <row r="625" spans="1:7" ht="15.75" thickBot="1" x14ac:dyDescent="0.3">
      <c r="A625" s="68">
        <v>2018021</v>
      </c>
      <c r="B625" s="70">
        <v>-6880527.7507571541</v>
      </c>
      <c r="C625" s="70">
        <v>-12977256.571537575</v>
      </c>
      <c r="D625" s="70">
        <v>14858415.591009863</v>
      </c>
      <c r="E625" s="54">
        <f>IF(B625&lt;&gt;"",hddtohms(getlatitude(B625,C625,D625)),"")</f>
        <v>45.311898675237835</v>
      </c>
      <c r="F625" s="54">
        <f>IF(B625&lt;&gt;"",hddtohms(-GetLongitude(B625,C625,D625)),"")</f>
        <v>117.55569567738654</v>
      </c>
      <c r="G625" s="59">
        <f t="shared" si="10"/>
        <v>3066.9714532911312</v>
      </c>
    </row>
    <row r="626" spans="1:7" ht="15.75" thickBot="1" x14ac:dyDescent="0.3">
      <c r="A626" s="68">
        <v>2018022</v>
      </c>
      <c r="B626" s="70">
        <v>-6874499.075525593</v>
      </c>
      <c r="C626" s="70">
        <v>-13112662.864401218</v>
      </c>
      <c r="D626" s="70">
        <v>14743531.49346629</v>
      </c>
      <c r="E626" s="54">
        <f>IF(B626&lt;&gt;"",hddtohms(getlatitude(B626,C626,D626)),"")</f>
        <v>45.04205484047241</v>
      </c>
      <c r="F626" s="54">
        <f>IF(B626&lt;&gt;"",hddtohms(-GetLongitude(B626,C626,D626)),"")</f>
        <v>117.39590816032971</v>
      </c>
      <c r="G626" s="59">
        <f t="shared" si="10"/>
        <v>3689.5904781547415</v>
      </c>
    </row>
    <row r="627" spans="1:7" ht="15.75" thickBot="1" x14ac:dyDescent="0.3">
      <c r="A627" s="68">
        <v>2018023</v>
      </c>
      <c r="B627" s="70">
        <v>-6872208.1135766041</v>
      </c>
      <c r="C627" s="70">
        <v>-13110044.839966329</v>
      </c>
      <c r="D627" s="70">
        <v>14747600.213832522</v>
      </c>
      <c r="E627" s="54">
        <f>IF(B627&lt;&gt;"",hddtohms(getlatitude(B627,C627,D627)),"")</f>
        <v>45.051255315346374</v>
      </c>
      <c r="F627" s="54">
        <f>IF(B627&lt;&gt;"",hddtohms(-GetLongitude(B627,C627,D627)),"")</f>
        <v>117.39477467118216</v>
      </c>
      <c r="G627" s="59">
        <f t="shared" si="10"/>
        <v>4182.1979495856667</v>
      </c>
    </row>
    <row r="628" spans="1:7" ht="15.75" thickBot="1" x14ac:dyDescent="0.3">
      <c r="A628" s="68">
        <v>2018024</v>
      </c>
      <c r="B628" s="70">
        <v>-6879802.5245227767</v>
      </c>
      <c r="C628" s="70">
        <v>-13090611.664584778</v>
      </c>
      <c r="D628" s="70">
        <v>14760008.584690072</v>
      </c>
      <c r="E628" s="54">
        <f>IF(B628&lt;&gt;"",hddtohms(getlatitude(B628,C628,D628)),"")</f>
        <v>45.081465900843298</v>
      </c>
      <c r="F628" s="54">
        <f>IF(B628&lt;&gt;"",hddtohms(-GetLongitude(B628,C628,D628)),"")</f>
        <v>117.4327405066051</v>
      </c>
      <c r="G628" s="59">
        <f t="shared" si="10"/>
        <v>3320.8664680636793</v>
      </c>
    </row>
    <row r="629" spans="1:7" ht="15.75" thickBot="1" x14ac:dyDescent="0.3">
      <c r="A629" s="68">
        <v>2018025</v>
      </c>
      <c r="B629" s="70">
        <v>-6828358.9292480526</v>
      </c>
      <c r="C629" s="70">
        <v>-12946460.348891377</v>
      </c>
      <c r="D629" s="70">
        <v>14907866.079251235</v>
      </c>
      <c r="E629" s="54">
        <f>IF(B629&lt;&gt;"",hddtohms(getlatitude(B629,C629,D629)),"")</f>
        <v>45.430453210011848</v>
      </c>
      <c r="F629" s="54">
        <f>IF(B629&lt;&gt;"",hddtohms(-GetLongitude(B629,C629,D629)),"")</f>
        <v>117.48307244933254</v>
      </c>
      <c r="G629" s="59">
        <f t="shared" si="10"/>
        <v>2312.0444719749066</v>
      </c>
    </row>
    <row r="630" spans="1:7" ht="15.75" thickBot="1" x14ac:dyDescent="0.3">
      <c r="A630" s="68">
        <v>2018026</v>
      </c>
      <c r="B630" s="70">
        <v>-6830276.6209990485</v>
      </c>
      <c r="C630" s="70">
        <v>-12950186.055309033</v>
      </c>
      <c r="D630" s="70">
        <v>14904856.417531261</v>
      </c>
      <c r="E630" s="54">
        <f>IF(B630&lt;&gt;"",hddtohms(getlatitude(B630,C630,D630)),"")</f>
        <v>45.421417980282783</v>
      </c>
      <c r="F630" s="54">
        <f>IF(B630&lt;&gt;"",hddtohms(-GetLongitude(B630,C630,D630)),"")</f>
        <v>117.48301343388857</v>
      </c>
      <c r="G630" s="59">
        <f t="shared" si="10"/>
        <v>3083.4862477209899</v>
      </c>
    </row>
    <row r="631" spans="1:7" ht="15.75" thickBot="1" x14ac:dyDescent="0.3">
      <c r="A631" s="68">
        <v>2018027</v>
      </c>
      <c r="B631" s="70">
        <v>-6886188.062802501</v>
      </c>
      <c r="C631" s="70">
        <v>-12942906.296211492</v>
      </c>
      <c r="D631" s="70">
        <v>14886913.306934707</v>
      </c>
      <c r="E631" s="54">
        <f>IF(B631&lt;&gt;"",hddtohms(getlatitude(B631,C631,D631)),"")</f>
        <v>45.375103471906378</v>
      </c>
      <c r="F631" s="54">
        <f>IF(B631&lt;&gt;"",hddtohms(-GetLongitude(B631,C631,D631)),"")</f>
        <v>118.00536981533646</v>
      </c>
      <c r="G631" s="59">
        <f t="shared" si="10"/>
        <v>4043.4797890856971</v>
      </c>
    </row>
    <row r="632" spans="1:7" ht="15.75" thickBot="1" x14ac:dyDescent="0.3">
      <c r="A632" s="68">
        <v>2018028</v>
      </c>
      <c r="B632" s="70">
        <v>-6879162.6149834022</v>
      </c>
      <c r="C632" s="70">
        <v>-12952328.525662711</v>
      </c>
      <c r="D632" s="70">
        <v>14880701.663525973</v>
      </c>
      <c r="E632" s="54">
        <f>IF(B632&lt;&gt;"",hddtohms(getlatitude(B632,C632,D632)),"")</f>
        <v>45.363271945845561</v>
      </c>
      <c r="F632" s="54">
        <f>IF(B632&lt;&gt;"",hddtohms(-GetLongitude(B632,C632,D632)),"")</f>
        <v>117.58242240476386</v>
      </c>
      <c r="G632" s="59">
        <f t="shared" si="10"/>
        <v>3116.4944029303406</v>
      </c>
    </row>
    <row r="633" spans="1:7" ht="15.75" thickBot="1" x14ac:dyDescent="0.3">
      <c r="A633" s="68">
        <v>2018029</v>
      </c>
      <c r="B633" s="70">
        <v>-6878294.178331865</v>
      </c>
      <c r="C633" s="70">
        <v>-12950687.278581645</v>
      </c>
      <c r="D633" s="70">
        <v>14882568.714348482</v>
      </c>
      <c r="E633" s="54">
        <f>IF(B633&lt;&gt;"",hddtohms(getlatitude(B633,C633,D633)),"")</f>
        <v>45.365870980066063</v>
      </c>
      <c r="F633" s="54">
        <f>IF(B633&lt;&gt;"",hddtohms(-GetLongitude(B633,C633,D633)),"")</f>
        <v>117.58242644537587</v>
      </c>
      <c r="G633" s="59">
        <f t="shared" si="10"/>
        <v>3151.8697753488377</v>
      </c>
    </row>
    <row r="634" spans="1:7" ht="15.75" thickBot="1" x14ac:dyDescent="0.3">
      <c r="A634" s="68">
        <v>2018030</v>
      </c>
      <c r="B634" s="70">
        <v>-6964875.7472361373</v>
      </c>
      <c r="C634" s="70">
        <v>-13029619.174360218</v>
      </c>
      <c r="D634" s="70">
        <v>14775896.961014934</v>
      </c>
      <c r="E634" s="54">
        <f>IF(B634&lt;&gt;"",hddtohms(getlatitude(B634,C634,D634)),"")</f>
        <v>45.114359001655288</v>
      </c>
      <c r="F634" s="54">
        <f>IF(B634&lt;&gt;"",hddtohms(-GetLongitude(B634,C634,D634)),"")</f>
        <v>118.07349151808339</v>
      </c>
      <c r="G634" s="59">
        <f t="shared" si="10"/>
        <v>4682.9759167222091</v>
      </c>
    </row>
    <row r="635" spans="1:7" ht="15.75" thickBot="1" x14ac:dyDescent="0.3">
      <c r="A635" s="68">
        <v>2018031</v>
      </c>
      <c r="B635" s="70">
        <v>-6963152.2915814426</v>
      </c>
      <c r="C635" s="70">
        <v>-13026266.89181087</v>
      </c>
      <c r="D635" s="70">
        <v>14779631.650458261</v>
      </c>
      <c r="E635" s="54">
        <f>IF(B635&lt;&gt;"",hddtohms(getlatitude(B635,C635,D635)),"")</f>
        <v>45.123596496103289</v>
      </c>
      <c r="F635" s="54">
        <f>IF(B635&lt;&gt;"",hddtohms(-GetLongitude(B635,C635,D635)),"")</f>
        <v>118.0735758540372</v>
      </c>
      <c r="G635" s="59">
        <f t="shared" si="10"/>
        <v>4677.572639287293</v>
      </c>
    </row>
    <row r="636" spans="1:7" ht="15.75" thickBot="1" x14ac:dyDescent="0.3">
      <c r="A636" s="68">
        <v>2018032</v>
      </c>
      <c r="B636" s="70">
        <v>-6910139.7927028863</v>
      </c>
      <c r="C636" s="70">
        <v>-12965605.752501754</v>
      </c>
      <c r="D636" s="70">
        <v>14854536.953227809</v>
      </c>
      <c r="E636" s="54">
        <f>IF(B636&lt;&gt;"",hddtohms(getlatitude(B636,C636,D636)),"")</f>
        <v>45.302672192011151</v>
      </c>
      <c r="F636" s="54">
        <f>IF(B636&lt;&gt;"",hddtohms(-GetLongitude(B636,C636,D636)),"")</f>
        <v>118.03208742055259</v>
      </c>
      <c r="G636" s="59">
        <f t="shared" si="10"/>
        <v>2830.6620979263917</v>
      </c>
    </row>
    <row r="637" spans="1:7" ht="15.75" thickBot="1" x14ac:dyDescent="0.3">
      <c r="A637" s="68">
        <v>2018033</v>
      </c>
      <c r="B637" s="70">
        <v>-6996064.4817633368</v>
      </c>
      <c r="C637" s="70">
        <v>-12941903.272190662</v>
      </c>
      <c r="D637" s="70">
        <v>14836976.603507314</v>
      </c>
      <c r="E637" s="54">
        <f>IF(B637&lt;&gt;"",hddtohms(getlatitude(B637,C637,D637)),"")</f>
        <v>45.260615786046507</v>
      </c>
      <c r="F637" s="54">
        <f>IF(B637&lt;&gt;"",hddtohms(-GetLongitude(B637,C637,D637)),"")</f>
        <v>118.23403102437656</v>
      </c>
      <c r="G637" s="59">
        <f t="shared" si="10"/>
        <v>4164.0225979525821</v>
      </c>
    </row>
    <row r="638" spans="1:7" ht="15.75" thickBot="1" x14ac:dyDescent="0.3">
      <c r="A638" s="68">
        <v>2018034</v>
      </c>
      <c r="B638" s="70">
        <v>-6996088.3609494017</v>
      </c>
      <c r="C638" s="70">
        <v>-12941818.660409603</v>
      </c>
      <c r="D638" s="70">
        <v>14837030.13748133</v>
      </c>
      <c r="E638" s="54">
        <f>IF(B638&lt;&gt;"",hddtohms(getlatitude(B638,C638,D638)),"")</f>
        <v>45.260697226579424</v>
      </c>
      <c r="F638" s="54">
        <f>IF(B638&lt;&gt;"",hddtohms(-GetLongitude(B638,C638,D638)),"")</f>
        <v>118.23411688907832</v>
      </c>
      <c r="G638" s="59">
        <f t="shared" si="10"/>
        <v>4157.9012154973643</v>
      </c>
    </row>
    <row r="639" spans="1:7" ht="15.75" thickBot="1" x14ac:dyDescent="0.3">
      <c r="A639" s="68">
        <v>2018035</v>
      </c>
      <c r="B639" s="70">
        <v>-6995187.037181179</v>
      </c>
      <c r="C639" s="70">
        <v>-12940269.201341007</v>
      </c>
      <c r="D639" s="70">
        <v>14839010.913884833</v>
      </c>
      <c r="E639" s="54">
        <f>IF(B639&lt;&gt;"",hddtohms(getlatitude(B639,C639,D639)),"")</f>
        <v>45.263329225315502</v>
      </c>
      <c r="F639" s="54">
        <f>IF(B639&lt;&gt;"",hddtohms(-GetLongitude(B639,C639,D639)),"")</f>
        <v>118.23403829305927</v>
      </c>
      <c r="G639" s="59">
        <f t="shared" si="10"/>
        <v>4312.0536558195836</v>
      </c>
    </row>
    <row r="640" spans="1:7" ht="15.75" thickBot="1" x14ac:dyDescent="0.3">
      <c r="A640" s="68">
        <v>2018036</v>
      </c>
      <c r="B640" s="70">
        <v>-6996828.5678579193</v>
      </c>
      <c r="C640" s="70">
        <v>-12943324.84927384</v>
      </c>
      <c r="D640" s="70">
        <v>14835483.459504319</v>
      </c>
      <c r="E640" s="54">
        <f>IF(B640&lt;&gt;"",hddtohms(getlatitude(B640,C640,D640)),"")</f>
        <v>45.254446548209899</v>
      </c>
      <c r="F640" s="54">
        <f>IF(B640&lt;&gt;"",hddtohms(-GetLongitude(B640,C640,D640)),"")</f>
        <v>118.23402561988671</v>
      </c>
      <c r="G640" s="59">
        <f t="shared" si="10"/>
        <v>4232.8459880007504</v>
      </c>
    </row>
    <row r="641" spans="1:7" ht="15.75" thickBot="1" x14ac:dyDescent="0.3">
      <c r="A641" s="68">
        <v>2018037</v>
      </c>
      <c r="B641" s="70">
        <v>-6874661.190860115</v>
      </c>
      <c r="C641" s="70">
        <v>-12932482.628758539</v>
      </c>
      <c r="D641" s="70">
        <v>14902441.377109466</v>
      </c>
      <c r="E641" s="54">
        <f>IF(B641&lt;&gt;"",hddtohms(getlatitude(B641,C641,D641)),"")</f>
        <v>45.412133269641068</v>
      </c>
      <c r="F641" s="54">
        <f>IF(B641&lt;&gt;"",hddtohms(-GetLongitude(B641,C641,D641)),"")</f>
        <v>117.59393360018035</v>
      </c>
      <c r="G641" s="59">
        <f t="shared" si="10"/>
        <v>4934.2534582574663</v>
      </c>
    </row>
    <row r="642" spans="1:7" ht="15.75" thickBot="1" x14ac:dyDescent="0.3">
      <c r="A642" s="68">
        <v>2018038</v>
      </c>
      <c r="B642" s="70">
        <v>-6869909.0194657082</v>
      </c>
      <c r="C642" s="70">
        <v>-12934594.529104859</v>
      </c>
      <c r="D642" s="70">
        <v>14902091.328964408</v>
      </c>
      <c r="E642" s="54">
        <f>IF(B642&lt;&gt;"",hddtohms(getlatitude(B642,C642,D642)),"")</f>
        <v>45.412149618669929</v>
      </c>
      <c r="F642" s="54">
        <f>IF(B642&lt;&gt;"",hddtohms(-GetLongitude(B642,C642,D642)),"")</f>
        <v>117.58262785461802</v>
      </c>
      <c r="G642" s="59">
        <f t="shared" si="10"/>
        <v>4428.8900860661724</v>
      </c>
    </row>
    <row r="643" spans="1:7" ht="15.75" thickBot="1" x14ac:dyDescent="0.3">
      <c r="A643" s="68">
        <v>2018039</v>
      </c>
      <c r="B643" s="70">
        <v>-6844857.2815947738</v>
      </c>
      <c r="C643" s="70">
        <v>-12955352.888165388</v>
      </c>
      <c r="D643" s="70">
        <v>14893908.762230979</v>
      </c>
      <c r="E643" s="54">
        <f>IF(B643&lt;&gt;"",hddtohms(getlatitude(B643,C643,D643)),"")</f>
        <v>45.39383392753161</v>
      </c>
      <c r="F643" s="54">
        <f>IF(B643&lt;&gt;"",hddtohms(-GetLongitude(B643,C643,D643)),"")</f>
        <v>117.50577529920649</v>
      </c>
      <c r="G643" s="59">
        <f t="shared" si="10"/>
        <v>3198.3742944876321</v>
      </c>
    </row>
    <row r="644" spans="1:7" ht="15.75" thickBot="1" x14ac:dyDescent="0.3">
      <c r="A644" s="68">
        <v>2018040</v>
      </c>
      <c r="B644" s="70">
        <v>-6847136.3503361214</v>
      </c>
      <c r="C644" s="70">
        <v>-12953945.974693468</v>
      </c>
      <c r="D644" s="70">
        <v>14893623.2047495</v>
      </c>
      <c r="E644" s="54">
        <f>IF(B644&lt;&gt;"",hddtohms(getlatitude(B644,C644,D644)),"")</f>
        <v>45.393763333280326</v>
      </c>
      <c r="F644" s="54">
        <f>IF(B644&lt;&gt;"",hddtohms(-GetLongitude(B644,C644,D644)),"")</f>
        <v>117.51353725160583</v>
      </c>
      <c r="G644" s="59">
        <f t="shared" si="10"/>
        <v>2868.997207886765</v>
      </c>
    </row>
    <row r="645" spans="1:7" ht="15.75" thickBot="1" x14ac:dyDescent="0.3">
      <c r="A645" s="68">
        <v>2018041</v>
      </c>
      <c r="B645" s="70">
        <v>-6843943.6778610926</v>
      </c>
      <c r="C645" s="70">
        <v>-12953650.911425164</v>
      </c>
      <c r="D645" s="70">
        <v>14895719.33222484</v>
      </c>
      <c r="E645" s="54">
        <f>IF(B645&lt;&gt;"",hddtohms(getlatitude(B645,C645,D645)),"")</f>
        <v>45.400446747390497</v>
      </c>
      <c r="F645" s="54">
        <f>IF(B645&lt;&gt;"",hddtohms(-GetLongitude(B645,C645,D645)),"")</f>
        <v>117.5057574010211</v>
      </c>
      <c r="G645" s="59">
        <f t="shared" si="10"/>
        <v>3143.4485715113824</v>
      </c>
    </row>
    <row r="646" spans="1:7" ht="15.75" thickBot="1" x14ac:dyDescent="0.3">
      <c r="A646" s="68">
        <v>2018042</v>
      </c>
      <c r="B646" s="70">
        <v>-6843643.8714828286</v>
      </c>
      <c r="C646" s="70">
        <v>-12947047.097448925</v>
      </c>
      <c r="D646" s="70">
        <v>14900860.113585088</v>
      </c>
      <c r="E646" s="54">
        <f>IF(B646&lt;&gt;"",hddtohms(getlatitude(B646,C646,D646)),"")</f>
        <v>45.412214497765916</v>
      </c>
      <c r="F646" s="54">
        <f>IF(B646&lt;&gt;"",hddtohms(-GetLongitude(B646,C646,D646)),"")</f>
        <v>117.51372913804734</v>
      </c>
      <c r="G646" s="59">
        <f t="shared" si="10"/>
        <v>2644.1011547505259</v>
      </c>
    </row>
    <row r="647" spans="1:7" ht="15.75" thickBot="1" x14ac:dyDescent="0.3">
      <c r="A647" s="68">
        <v>2018043</v>
      </c>
      <c r="B647" s="70">
        <v>-6840621.4483926147</v>
      </c>
      <c r="C647" s="70">
        <v>-12953095.076367479</v>
      </c>
      <c r="D647" s="70">
        <v>14897448.213483498</v>
      </c>
      <c r="E647" s="54">
        <f>IF(B647&lt;&gt;"",hddtohms(getlatitude(B647,C647,D647)),"")</f>
        <v>45.403082005232719</v>
      </c>
      <c r="F647" s="54">
        <f>IF(B647&lt;&gt;"",hddtohms(-GetLongitude(B647,C647,D647)),"")</f>
        <v>117.5019868042606</v>
      </c>
      <c r="G647" s="59">
        <f t="shared" si="10"/>
        <v>2952.4792551711453</v>
      </c>
    </row>
    <row r="648" spans="1:7" ht="15.75" thickBot="1" x14ac:dyDescent="0.3">
      <c r="A648" s="68">
        <v>2018044</v>
      </c>
      <c r="B648" s="70">
        <v>-6841338.3754003895</v>
      </c>
      <c r="C648" s="70">
        <v>-12948352.990440143</v>
      </c>
      <c r="D648" s="70">
        <v>14900959.448467162</v>
      </c>
      <c r="E648" s="54">
        <f>IF(B648&lt;&gt;"",hddtohms(getlatitude(B648,C648,D648)),"")</f>
        <v>45.412228347455994</v>
      </c>
      <c r="F648" s="54">
        <f>IF(B648&lt;&gt;"",hddtohms(-GetLongitude(B648,C648,D648)),"")</f>
        <v>117.50599875556559</v>
      </c>
      <c r="G648" s="59">
        <f t="shared" si="10"/>
        <v>2769.2247071057172</v>
      </c>
    </row>
    <row r="649" spans="1:7" ht="15.75" thickBot="1" x14ac:dyDescent="0.3">
      <c r="A649" s="68">
        <v>2018045</v>
      </c>
      <c r="B649" s="70">
        <v>-6843026.5982166873</v>
      </c>
      <c r="C649" s="70">
        <v>-12951942.38928814</v>
      </c>
      <c r="D649" s="70">
        <v>14897522.33072551</v>
      </c>
      <c r="E649" s="54">
        <f>IF(B649&lt;&gt;"",hddtohms(getlatitude(B649,C649,D649)),"")</f>
        <v>45.403059588863506</v>
      </c>
      <c r="F649" s="54">
        <f>IF(B649&lt;&gt;"",hddtohms(-GetLongitude(B649,C649,D649)),"")</f>
        <v>117.50573947605751</v>
      </c>
      <c r="G649" s="59">
        <f t="shared" si="10"/>
        <v>3078.2632833465559</v>
      </c>
    </row>
    <row r="650" spans="1:7" ht="15.75" thickBot="1" x14ac:dyDescent="0.3">
      <c r="A650" s="68">
        <v>2019001</v>
      </c>
      <c r="B650" s="70">
        <v>-6924874.8555972753</v>
      </c>
      <c r="C650" s="70">
        <v>-13004678.992266992</v>
      </c>
      <c r="D650" s="70">
        <v>14813513.09685258</v>
      </c>
      <c r="E650" s="54">
        <f>IF(B650&lt;&gt;"",hddtohms(getlatitude(B650,C650,D650)),"")</f>
        <v>45.205128253191447</v>
      </c>
      <c r="F650" s="54">
        <f>IF(B650&lt;&gt;"",hddtohms(-GetLongitude(B650,C650,D650)),"")</f>
        <v>118.02056421888319</v>
      </c>
      <c r="G650" s="59">
        <f t="shared" si="10"/>
        <v>2670.9505891132667</v>
      </c>
    </row>
    <row r="651" spans="1:7" ht="15.75" thickBot="1" x14ac:dyDescent="0.3">
      <c r="A651" s="68">
        <v>2019002</v>
      </c>
      <c r="B651" s="70">
        <v>-6831293.184858527</v>
      </c>
      <c r="C651" s="70">
        <v>-12980195.327847455</v>
      </c>
      <c r="D651" s="70">
        <v>14879034.282727648</v>
      </c>
      <c r="E651" s="54">
        <f>IF(B651&lt;&gt;"",hddtohms(getlatitude(B651,C651,D651)),"")</f>
        <v>45.360525248066949</v>
      </c>
      <c r="F651" s="54">
        <f>IF(B651&lt;&gt;"",hddtohms(-GetLongitude(B651,C651,D651)),"")</f>
        <v>117.4525910890229</v>
      </c>
      <c r="G651" s="59">
        <f t="shared" si="10"/>
        <v>3507.3786480782201</v>
      </c>
    </row>
    <row r="652" spans="1:7" ht="15.75" thickBot="1" x14ac:dyDescent="0.3">
      <c r="A652" s="68">
        <v>2019003</v>
      </c>
      <c r="B652" s="70">
        <v>-6842533.916618186</v>
      </c>
      <c r="C652" s="70">
        <v>-12984815.548592877</v>
      </c>
      <c r="D652" s="70">
        <v>14870043.721829962</v>
      </c>
      <c r="E652" s="54">
        <f>IF(B652&lt;&gt;"",hddtohms(getlatitude(B652,C652,D652)),"")</f>
        <v>45.335739041060386</v>
      </c>
      <c r="F652" s="54">
        <f>IF(B652&lt;&gt;"",hddtohms(-GetLongitude(B652,C652,D652)),"")</f>
        <v>117.47154628428997</v>
      </c>
      <c r="G652" s="59">
        <f t="shared" si="10"/>
        <v>3612.4288895072004</v>
      </c>
    </row>
    <row r="653" spans="1:7" ht="15.75" thickBot="1" x14ac:dyDescent="0.3">
      <c r="A653" s="68">
        <v>2019004</v>
      </c>
      <c r="B653" s="70">
        <v>-6967061.3973848727</v>
      </c>
      <c r="C653" s="70">
        <v>-12982155.497391269</v>
      </c>
      <c r="D653" s="70">
        <v>14813840.534385256</v>
      </c>
      <c r="E653" s="54">
        <f>IF(B653&lt;&gt;"",hddtohms(getlatitude(B653,C653,D653)),"")</f>
        <v>45.20533782725537</v>
      </c>
      <c r="F653" s="54">
        <f>IF(B653&lt;&gt;"",hddtohms(-GetLongitude(B653,C653,D653)),"")</f>
        <v>118.13151469292093</v>
      </c>
      <c r="G653" s="59">
        <f t="shared" si="10"/>
        <v>2921.4969067445036</v>
      </c>
    </row>
    <row r="654" spans="1:7" ht="15.75" thickBot="1" x14ac:dyDescent="0.3">
      <c r="A654" s="68">
        <v>2019005</v>
      </c>
      <c r="B654" s="70">
        <v>-6970283.1169746034</v>
      </c>
      <c r="C654" s="70">
        <v>-12982514.441467123</v>
      </c>
      <c r="D654" s="70">
        <v>14812034.083280411</v>
      </c>
      <c r="E654" s="54">
        <f>IF(B654&lt;&gt;"",hddtohms(getlatitude(B654,C654,D654)),"")</f>
        <v>45.20279239746958</v>
      </c>
      <c r="F654" s="54">
        <f>IF(B654&lt;&gt;"",hddtohms(-GetLongitude(B654,C654,D654)),"")</f>
        <v>118.13525078045654</v>
      </c>
      <c r="G654" s="59">
        <f t="shared" si="10"/>
        <v>2929.6955571639191</v>
      </c>
    </row>
    <row r="655" spans="1:7" ht="15.75" thickBot="1" x14ac:dyDescent="0.3">
      <c r="A655" s="68">
        <v>2019006</v>
      </c>
      <c r="B655" s="70">
        <v>-6952978.9533068817</v>
      </c>
      <c r="C655" s="70">
        <v>-12989755.717664927</v>
      </c>
      <c r="D655" s="70">
        <v>14813712.070084838</v>
      </c>
      <c r="E655" s="54">
        <f>IF(B655&lt;&gt;"",hddtohms(getlatitude(B655,C655,D655)),"")</f>
        <v>45.20521619256489</v>
      </c>
      <c r="F655" s="54">
        <f>IF(B655&lt;&gt;"",hddtohms(-GetLongitude(B655,C655,D655)),"")</f>
        <v>118.09311185329118</v>
      </c>
      <c r="G655" s="59">
        <f t="shared" si="10"/>
        <v>2862.6420787843108</v>
      </c>
    </row>
    <row r="656" spans="1:7" ht="15.75" thickBot="1" x14ac:dyDescent="0.3">
      <c r="A656" s="68">
        <v>2019007</v>
      </c>
      <c r="B656" s="70">
        <v>-6841649.5457744626</v>
      </c>
      <c r="C656" s="70">
        <v>-12983122.460028581</v>
      </c>
      <c r="D656" s="70">
        <v>14871847.074196381</v>
      </c>
      <c r="E656" s="54">
        <f>IF(B656&lt;&gt;"",hddtohms(getlatitude(B656,C656,D656)),"")</f>
        <v>45.34233161209886</v>
      </c>
      <c r="F656" s="54">
        <f>IF(B656&lt;&gt;"",hddtohms(-GetLongitude(B656,C656,D656)),"")</f>
        <v>117.47155601576989</v>
      </c>
      <c r="G656" s="59">
        <f t="shared" si="10"/>
        <v>3563.0278147529152</v>
      </c>
    </row>
    <row r="657" spans="1:7" ht="15.75" thickBot="1" x14ac:dyDescent="0.3">
      <c r="A657" s="68">
        <v>2019008</v>
      </c>
      <c r="B657" s="70">
        <v>-6843395.4790052893</v>
      </c>
      <c r="C657" s="70">
        <v>-12986464.676680952</v>
      </c>
      <c r="D657" s="70">
        <v>14868205.637703707</v>
      </c>
      <c r="E657" s="54">
        <f>IF(B657&lt;&gt;"",hddtohms(getlatitude(B657,C657,D657)),"")</f>
        <v>45.333157376974036</v>
      </c>
      <c r="F657" s="54">
        <f>IF(B657&lt;&gt;"",hddtohms(-GetLongitude(B657,C657,D657)),"")</f>
        <v>117.47153699927769</v>
      </c>
      <c r="G657" s="59">
        <f t="shared" si="10"/>
        <v>3602.686941145661</v>
      </c>
    </row>
    <row r="658" spans="1:7" ht="15.75" thickBot="1" x14ac:dyDescent="0.3">
      <c r="A658" s="68">
        <v>2019009</v>
      </c>
      <c r="B658" s="70">
        <v>-6831009.857415908</v>
      </c>
      <c r="C658" s="70">
        <v>-12962730.715685684</v>
      </c>
      <c r="D658" s="70">
        <v>14894013.976066625</v>
      </c>
      <c r="E658" s="54">
        <f>IF(B658&lt;&gt;"",hddtohms(getlatitude(B658,C658,D658)),"")</f>
        <v>45.393862098755513</v>
      </c>
      <c r="F658" s="54">
        <f>IF(B658&lt;&gt;"",hddtohms(-GetLongitude(B658,C658,D658)),"")</f>
        <v>117.47168808146745</v>
      </c>
      <c r="G658" s="59">
        <f t="shared" si="10"/>
        <v>3317.5939376646129</v>
      </c>
    </row>
    <row r="659" spans="1:7" ht="15.75" thickBot="1" x14ac:dyDescent="0.3">
      <c r="A659" s="68">
        <v>2019010</v>
      </c>
      <c r="B659" s="70">
        <v>-6843253.1102565322</v>
      </c>
      <c r="C659" s="70">
        <v>-12969192.838128714</v>
      </c>
      <c r="D659" s="70">
        <v>14882984.141937986</v>
      </c>
      <c r="E659" s="54">
        <f>IF(B659&lt;&gt;"",hddtohms(getlatitude(B659,C659,D659)),"")</f>
        <v>45.370185607831914</v>
      </c>
      <c r="F659" s="54">
        <f>IF(B659&lt;&gt;"",hddtohms(-GetLongitude(B659,C659,D659)),"")</f>
        <v>117.49068597504979</v>
      </c>
      <c r="G659" s="59">
        <f t="shared" si="10"/>
        <v>3421.201425959729</v>
      </c>
    </row>
    <row r="660" spans="1:7" ht="15.75" thickBot="1" x14ac:dyDescent="0.3">
      <c r="A660" s="68">
        <v>2019011</v>
      </c>
      <c r="B660" s="70">
        <v>-6840863.1556426641</v>
      </c>
      <c r="C660" s="70">
        <v>-12970301.471102137</v>
      </c>
      <c r="D660" s="70">
        <v>14882853.374906313</v>
      </c>
      <c r="E660" s="54">
        <f>IF(B660&lt;&gt;"",hddtohms(getlatitude(B660,C660,D660)),"")</f>
        <v>45.370190266994882</v>
      </c>
      <c r="F660" s="54">
        <f>IF(B660&lt;&gt;"",hddtohms(-GetLongitude(B660,C660,D660)),"")</f>
        <v>117.48298497080309</v>
      </c>
      <c r="G660" s="59">
        <f t="shared" si="10"/>
        <v>3233.6098027245171</v>
      </c>
    </row>
    <row r="661" spans="1:7" ht="15.75" thickBot="1" x14ac:dyDescent="0.3">
      <c r="A661" s="68">
        <v>2019012</v>
      </c>
      <c r="B661" s="70">
        <v>-6832887.4231891111</v>
      </c>
      <c r="C661" s="70">
        <v>-12966247.522403575</v>
      </c>
      <c r="D661" s="70">
        <v>14890438.445397396</v>
      </c>
      <c r="E661" s="54">
        <f>IF(B661&lt;&gt;"",hddtohms(getlatitude(B661,C661,D661)),"")</f>
        <v>45.38458097717271</v>
      </c>
      <c r="F661" s="54">
        <f>IF(B661&lt;&gt;"",hddtohms(-GetLongitude(B661,C661,D661)),"")</f>
        <v>117.47171834001347</v>
      </c>
      <c r="G661" s="59">
        <f t="shared" si="10"/>
        <v>3547.2444587069058</v>
      </c>
    </row>
    <row r="662" spans="1:7" ht="15.75" thickBot="1" x14ac:dyDescent="0.3">
      <c r="A662" s="68">
        <v>2019013</v>
      </c>
      <c r="B662" s="70">
        <v>-6831921.4764624424</v>
      </c>
      <c r="C662" s="70">
        <v>-12964467.325014431</v>
      </c>
      <c r="D662" s="70">
        <v>14892191.42377276</v>
      </c>
      <c r="E662" s="54">
        <f>IF(B662&lt;&gt;"",hddtohms(getlatitude(B662,C662,D662)),"")</f>
        <v>45.391220072483108</v>
      </c>
      <c r="F662" s="54">
        <f>IF(B662&lt;&gt;"",hddtohms(-GetLongitude(B662,C662,D662)),"")</f>
        <v>117.47168368927071</v>
      </c>
      <c r="G662" s="59">
        <f t="shared" si="10"/>
        <v>3385.0418154612053</v>
      </c>
    </row>
    <row r="663" spans="1:7" ht="15.75" thickBot="1" x14ac:dyDescent="0.3">
      <c r="A663" s="68">
        <v>2019014</v>
      </c>
      <c r="B663" s="70">
        <v>-6956886.0457900641</v>
      </c>
      <c r="C663" s="70">
        <v>-12985741.004791275</v>
      </c>
      <c r="D663" s="70">
        <v>14815854.094996359</v>
      </c>
      <c r="E663" s="54">
        <f>IF(B663&lt;&gt;"",hddtohms(getlatitude(B663,C663,D663)),"")</f>
        <v>45.211892424778362</v>
      </c>
      <c r="F663" s="54">
        <f>IF(B663&lt;&gt;"",hddtohms(-GetLongitude(B663,C663,D663)),"")</f>
        <v>118.10458750702057</v>
      </c>
      <c r="G663" s="59">
        <f t="shared" si="10"/>
        <v>3195.540579455972</v>
      </c>
    </row>
    <row r="664" spans="1:7" ht="15.75" thickBot="1" x14ac:dyDescent="0.3">
      <c r="A664" s="68">
        <v>2019015</v>
      </c>
      <c r="B664" s="70">
        <v>-6952174.3397083189</v>
      </c>
      <c r="C664" s="70">
        <v>-12988352.166000986</v>
      </c>
      <c r="D664" s="70">
        <v>14815796.04763853</v>
      </c>
      <c r="E664" s="54">
        <f>IF(B664&lt;&gt;"",hddtohms(getlatitude(B664,C664,D664)),"")</f>
        <v>45.211797638996252</v>
      </c>
      <c r="F664" s="54">
        <f>IF(B664&lt;&gt;"",hddtohms(-GetLongitude(B664,C664,D664)),"")</f>
        <v>118.09304601042486</v>
      </c>
      <c r="G664" s="59">
        <f t="shared" si="10"/>
        <v>3208.7894895498648</v>
      </c>
    </row>
    <row r="665" spans="1:7" ht="15.75" thickBot="1" x14ac:dyDescent="0.3">
      <c r="A665" s="68">
        <v>2019016</v>
      </c>
      <c r="B665" s="70">
        <v>-6952832.6116800141</v>
      </c>
      <c r="C665" s="70">
        <v>-12984523.676900068</v>
      </c>
      <c r="D665" s="70">
        <v>14820360.250098234</v>
      </c>
      <c r="E665" s="54">
        <f>IF(B665&lt;&gt;"",hddtohms(getlatitude(B665,C665,D665)),"")</f>
        <v>45.221115805634504</v>
      </c>
      <c r="F665" s="54">
        <f>IF(B665&lt;&gt;"",hddtohms(-GetLongitude(B665,C665,D665)),"")</f>
        <v>118.1003888921968</v>
      </c>
      <c r="G665" s="59">
        <f t="shared" si="10"/>
        <v>4303.3130873281025</v>
      </c>
    </row>
    <row r="666" spans="1:7" ht="15.75" thickBot="1" x14ac:dyDescent="0.3">
      <c r="A666" s="68">
        <v>2019017</v>
      </c>
      <c r="B666" s="70">
        <v>-6955548.1331789326</v>
      </c>
      <c r="C666" s="70">
        <v>-12983315.352043621</v>
      </c>
      <c r="D666" s="70">
        <v>14820548.764213566</v>
      </c>
      <c r="E666" s="54">
        <f>IF(B666&lt;&gt;"",hddtohms(getlatitude(B666,C666,D666)),"")</f>
        <v>45.221094131704731</v>
      </c>
      <c r="F666" s="54">
        <f>IF(B666&lt;&gt;"",hddtohms(-GetLongitude(B666,C666,D666)),"")</f>
        <v>118.10454009206873</v>
      </c>
      <c r="G666" s="59">
        <f t="shared" si="10"/>
        <v>4589.8841819729696</v>
      </c>
    </row>
    <row r="667" spans="1:7" ht="15.75" thickBot="1" x14ac:dyDescent="0.3">
      <c r="A667" s="68">
        <v>2019018</v>
      </c>
      <c r="B667" s="70">
        <v>-6956269.3876129789</v>
      </c>
      <c r="C667" s="70">
        <v>-12984587.489472073</v>
      </c>
      <c r="D667" s="70">
        <v>14818257.445927102</v>
      </c>
      <c r="E667" s="54">
        <f>IF(B667&lt;&gt;"",hddtohms(getlatitude(B667,C667,D667)),"")</f>
        <v>45.214478148458305</v>
      </c>
      <c r="F667" s="54">
        <f>IF(B667&lt;&gt;"",hddtohms(-GetLongitude(B667,C667,D667)),"")</f>
        <v>118.10458913343132</v>
      </c>
      <c r="G667" s="59">
        <f t="shared" si="10"/>
        <v>3986.491839204753</v>
      </c>
    </row>
    <row r="668" spans="1:7" ht="15.75" thickBot="1" x14ac:dyDescent="0.3">
      <c r="A668" s="68">
        <v>2019019</v>
      </c>
      <c r="B668" s="70">
        <v>-6945152.7652043924</v>
      </c>
      <c r="C668" s="70">
        <v>-12992452.10718713</v>
      </c>
      <c r="D668" s="70">
        <v>14816078.633161202</v>
      </c>
      <c r="E668" s="54">
        <f>IF(B668&lt;&gt;"",hddtohms(getlatitude(B668,C668,D668)),"")</f>
        <v>45.211780594949694</v>
      </c>
      <c r="F668" s="54">
        <f>IF(B668&lt;&gt;"",hddtohms(-GetLongitude(B668,C668,D668)),"")</f>
        <v>118.07366977708438</v>
      </c>
      <c r="G668" s="59">
        <f t="shared" si="10"/>
        <v>3623.0260881218583</v>
      </c>
    </row>
    <row r="669" spans="1:7" ht="15.75" thickBot="1" x14ac:dyDescent="0.3">
      <c r="A669" s="68">
        <v>2019020</v>
      </c>
      <c r="B669" s="70">
        <v>-6948191.2328044986</v>
      </c>
      <c r="C669" s="70">
        <v>-12992366.790853361</v>
      </c>
      <c r="D669" s="70">
        <v>14813815.009149926</v>
      </c>
      <c r="E669" s="54">
        <f>IF(B669&lt;&gt;"",hddtohms(getlatitude(B669,C669,D669)),"")</f>
        <v>45.205256954818474</v>
      </c>
      <c r="F669" s="54">
        <f>IF(B669&lt;&gt;"",hddtohms(-GetLongitude(B669,C669,D669)),"")</f>
        <v>118.0814774821004</v>
      </c>
      <c r="G669" s="59">
        <f t="shared" si="10"/>
        <v>2966.5503794400411</v>
      </c>
    </row>
    <row r="670" spans="1:7" ht="15.75" thickBot="1" x14ac:dyDescent="0.3">
      <c r="A670" s="68">
        <v>2019021</v>
      </c>
      <c r="B670" s="70">
        <v>-6833295.2979970705</v>
      </c>
      <c r="C670" s="70">
        <v>-12961549.049704436</v>
      </c>
      <c r="D670" s="70">
        <v>14894128.895616259</v>
      </c>
      <c r="E670" s="54">
        <f>IF(B670&lt;&gt;"",hddtohms(getlatitude(B670,C670,D670)),"")</f>
        <v>45.393927043057275</v>
      </c>
      <c r="F670" s="54">
        <f>IF(B670&lt;&gt;"",hddtohms(-GetLongitude(B670,C670,D670)),"")</f>
        <v>117.47530980460051</v>
      </c>
      <c r="G670" s="59">
        <f t="shared" si="10"/>
        <v>3413.9792993681694</v>
      </c>
    </row>
    <row r="671" spans="1:7" ht="15.75" thickBot="1" x14ac:dyDescent="0.3">
      <c r="A671" s="68">
        <v>2019022</v>
      </c>
      <c r="B671" s="70">
        <v>-6835567.8384365281</v>
      </c>
      <c r="C671" s="70">
        <v>-12960342.093235176</v>
      </c>
      <c r="D671" s="70">
        <v>14894214.455191728</v>
      </c>
      <c r="E671" s="54">
        <f>IF(B671&lt;&gt;"",hddtohms(getlatitude(B671,C671,D671)),"")</f>
        <v>45.393991454438051</v>
      </c>
      <c r="F671" s="54">
        <f>IF(B671&lt;&gt;"",hddtohms(-GetLongitude(B671,C671,D671)),"")</f>
        <v>117.48293206371925</v>
      </c>
      <c r="G671" s="59">
        <f t="shared" si="10"/>
        <v>3469.8414752608132</v>
      </c>
    </row>
    <row r="672" spans="1:7" ht="15.75" thickBot="1" x14ac:dyDescent="0.3">
      <c r="A672" s="68">
        <v>2020001</v>
      </c>
      <c r="B672" s="70">
        <v>-6886638.7763366206</v>
      </c>
      <c r="C672" s="70">
        <v>-13022779.308173981</v>
      </c>
      <c r="D672" s="70">
        <v>14815367.194044199</v>
      </c>
      <c r="E672" s="54">
        <f>IF(B672&lt;&gt;"",hddtohms(getlatitude(B672,C672,D672)),"")</f>
        <v>45.211772980384538</v>
      </c>
      <c r="F672" s="54">
        <f>IF(B672&lt;&gt;"",hddtohms(-GetLongitude(B672,C672,D672)),"")</f>
        <v>117.52139794843575</v>
      </c>
      <c r="G672" s="59">
        <f t="shared" si="10"/>
        <v>2630.6931028738691</v>
      </c>
    </row>
    <row r="673" spans="1:7" ht="15.75" thickBot="1" x14ac:dyDescent="0.3">
      <c r="A673" s="68">
        <v>2020002</v>
      </c>
      <c r="B673" s="70">
        <v>-6890501.1014755368</v>
      </c>
      <c r="C673" s="70">
        <v>-13063980.893719831</v>
      </c>
      <c r="D673" s="70">
        <v>14778449.58723622</v>
      </c>
      <c r="E673" s="54">
        <f>IF(B673&lt;&gt;"",hddtohms(getlatitude(B673,C673,D673)),"")</f>
        <v>45.123308417566911</v>
      </c>
      <c r="F673" s="54">
        <f>IF(B673&lt;&gt;"",hddtohms(-GetLongitude(B673,C673,D673)),"")</f>
        <v>117.48326792072733</v>
      </c>
      <c r="G673" s="59">
        <f t="shared" si="10"/>
        <v>3301.6676355351701</v>
      </c>
    </row>
    <row r="674" spans="1:7" ht="15.75" thickBot="1" x14ac:dyDescent="0.3">
      <c r="A674" s="68">
        <v>2020003</v>
      </c>
      <c r="B674" s="70">
        <v>-6896762.4262097683</v>
      </c>
      <c r="C674" s="70">
        <v>-13064645.977468085</v>
      </c>
      <c r="D674" s="70">
        <v>14774561.289997639</v>
      </c>
      <c r="E674" s="54">
        <f>IF(B674&lt;&gt;"",hddtohms(getlatitude(B674,C674,D674)),"")</f>
        <v>45.114144849445829</v>
      </c>
      <c r="F674" s="54">
        <f>IF(B674&lt;&gt;"",hddtohms(-GetLongitude(B674,C674,D674)),"")</f>
        <v>117.49456712526998</v>
      </c>
      <c r="G674" s="59">
        <f t="shared" si="10"/>
        <v>3015.9191376253257</v>
      </c>
    </row>
    <row r="675" spans="1:7" ht="15.75" thickBot="1" x14ac:dyDescent="0.3">
      <c r="A675" s="68">
        <v>2020004</v>
      </c>
      <c r="B675" s="70">
        <v>-6895118.7138579376</v>
      </c>
      <c r="C675" s="70">
        <v>-13061379.458248708</v>
      </c>
      <c r="D675" s="70">
        <v>14778367.330127425</v>
      </c>
      <c r="E675" s="54">
        <f>IF(B675&lt;&gt;"",hddtohms(getlatitude(B675,C675,D675)),"")</f>
        <v>45.123353352863724</v>
      </c>
      <c r="F675" s="54">
        <f>IF(B675&lt;&gt;"",hddtohms(-GetLongitude(B675,C675,D675)),"")</f>
        <v>117.49466675107213</v>
      </c>
      <c r="G675" s="59">
        <f t="shared" si="10"/>
        <v>3140.573461487953</v>
      </c>
    </row>
    <row r="676" spans="1:7" ht="15.75" thickBot="1" x14ac:dyDescent="0.3">
      <c r="A676" s="68">
        <v>2020005</v>
      </c>
      <c r="B676" s="70">
        <v>-6889514.7308610808</v>
      </c>
      <c r="C676" s="70">
        <v>-13016926.132455181</v>
      </c>
      <c r="D676" s="70">
        <v>14819145.803440189</v>
      </c>
      <c r="E676" s="54">
        <f>IF(B676&lt;&gt;"",hddtohms(getlatitude(B676,C676,D676)),"")</f>
        <v>45.221083431927219</v>
      </c>
      <c r="F676" s="54">
        <f>IF(B676&lt;&gt;"",hddtohms(-GetLongitude(B676,C676,D676)),"")</f>
        <v>117.53279070612226</v>
      </c>
      <c r="G676" s="59">
        <f t="shared" si="10"/>
        <v>2629.1772458230298</v>
      </c>
    </row>
    <row r="677" spans="1:7" ht="15.75" thickBot="1" x14ac:dyDescent="0.3">
      <c r="A677" s="68">
        <v>2020006</v>
      </c>
      <c r="B677" s="70">
        <v>-6893690.4766531438</v>
      </c>
      <c r="C677" s="70">
        <v>-13019046.302897777</v>
      </c>
      <c r="D677" s="70">
        <v>14815363.830544485</v>
      </c>
      <c r="E677" s="54">
        <f>IF(B677&lt;&gt;"",hddtohms(getlatitude(B677,C677,D677)),"")</f>
        <v>45.211771589205505</v>
      </c>
      <c r="F677" s="54">
        <f>IF(B677&lt;&gt;"",hddtohms(-GetLongitude(B677,C677,D677)),"")</f>
        <v>117.54056956896375</v>
      </c>
      <c r="G677" s="59">
        <f t="shared" si="10"/>
        <v>2627.3574798154623</v>
      </c>
    </row>
    <row r="678" spans="1:7" ht="15.75" thickBot="1" x14ac:dyDescent="0.3">
      <c r="A678" s="68">
        <v>2020007</v>
      </c>
      <c r="B678" s="70">
        <v>-6891288.5549842082</v>
      </c>
      <c r="C678" s="70">
        <v>-13020321.239348775</v>
      </c>
      <c r="D678" s="70">
        <v>14815364.343455844</v>
      </c>
      <c r="E678" s="54">
        <f>IF(B678&lt;&gt;"",hddtohms(getlatitude(B678,C678,D678)),"")</f>
        <v>45.211769844873423</v>
      </c>
      <c r="F678" s="54">
        <f>IF(B678&lt;&gt;"",hddtohms(-GetLongitude(B678,C678,D678)),"")</f>
        <v>117.53276209958835</v>
      </c>
      <c r="G678" s="59">
        <f t="shared" si="10"/>
        <v>2629.8236179608703</v>
      </c>
    </row>
    <row r="679" spans="1:7" ht="15.75" thickBot="1" x14ac:dyDescent="0.3">
      <c r="A679" s="68">
        <v>2020008</v>
      </c>
      <c r="B679" s="70">
        <v>-6892164.3745660819</v>
      </c>
      <c r="C679" s="70">
        <v>-13021974.927124958</v>
      </c>
      <c r="D679" s="70">
        <v>14813522.235116327</v>
      </c>
      <c r="E679" s="54">
        <f>IF(B679&lt;&gt;"",hddtohms(getlatitude(B679,C679,D679)),"")</f>
        <v>45.205177650945117</v>
      </c>
      <c r="F679" s="54">
        <f>IF(B679&lt;&gt;"",hddtohms(-GetLongitude(B679,C679,D679)),"")</f>
        <v>117.53276280403311</v>
      </c>
      <c r="G679" s="59">
        <f t="shared" si="10"/>
        <v>2634.360794338796</v>
      </c>
    </row>
    <row r="680" spans="1:7" ht="15.75" thickBot="1" x14ac:dyDescent="0.3">
      <c r="A680" s="68">
        <v>2020009</v>
      </c>
      <c r="B680" s="70">
        <v>-6893063.2565207994</v>
      </c>
      <c r="C680" s="70">
        <v>-13023631.889280487</v>
      </c>
      <c r="D680" s="70">
        <v>14811657.187661191</v>
      </c>
      <c r="E680" s="54">
        <f>IF(B680&lt;&gt;"",hddtohms(getlatitude(B680,C680,D680)),"")</f>
        <v>45.202559930278632</v>
      </c>
      <c r="F680" s="54">
        <f>IF(B680&lt;&gt;"",hddtohms(-GetLongitude(B680,C680,D680)),"")</f>
        <v>117.53278989690352</v>
      </c>
      <c r="G680" s="59">
        <f t="shared" ref="G680:G743" si="11">IF(B680&lt;&gt;"",GetHeight(B680,C680,D680),"")</f>
        <v>2632.5287236079785</v>
      </c>
    </row>
    <row r="681" spans="1:7" ht="15.75" thickBot="1" x14ac:dyDescent="0.3">
      <c r="A681" s="68">
        <v>2020010</v>
      </c>
      <c r="B681" s="70">
        <v>-6894163.0001234282</v>
      </c>
      <c r="C681" s="70">
        <v>-13014437.907446431</v>
      </c>
      <c r="D681" s="70">
        <v>14819179.192346869</v>
      </c>
      <c r="E681" s="54">
        <f>IF(B681&lt;&gt;"",hddtohms(getlatitude(B681,C681,D681)),"")</f>
        <v>45.221123322599567</v>
      </c>
      <c r="F681" s="54">
        <f>IF(B681&lt;&gt;"",hddtohms(-GetLongitude(B681,C681,D681)),"")</f>
        <v>117.54417467226001</v>
      </c>
      <c r="G681" s="59">
        <f t="shared" si="11"/>
        <v>2636.2039701968679</v>
      </c>
    </row>
    <row r="682" spans="1:7" ht="15.75" thickBot="1" x14ac:dyDescent="0.3">
      <c r="A682" s="68">
        <v>2020011</v>
      </c>
      <c r="B682" s="70">
        <v>-6895990.994102654</v>
      </c>
      <c r="C682" s="70">
        <v>-13017832.707498349</v>
      </c>
      <c r="D682" s="70">
        <v>14815370.117918901</v>
      </c>
      <c r="E682" s="54">
        <f>IF(B682&lt;&gt;"",hddtohms(getlatitude(B682,C682,D682)),"")</f>
        <v>45.211772967027443</v>
      </c>
      <c r="F682" s="54">
        <f>IF(B682&lt;&gt;"",hddtohms(-GetLongitude(B682,C682,D682)),"")</f>
        <v>117.5442113700086</v>
      </c>
      <c r="G682" s="59">
        <f t="shared" si="11"/>
        <v>2634.8160718308009</v>
      </c>
    </row>
    <row r="683" spans="1:7" ht="15.75" thickBot="1" x14ac:dyDescent="0.3">
      <c r="A683" s="68">
        <v>2020012</v>
      </c>
      <c r="B683" s="70">
        <v>-6899202.8368479488</v>
      </c>
      <c r="C683" s="70">
        <v>-12973366.886973584</v>
      </c>
      <c r="D683" s="70">
        <v>14852649.152413934</v>
      </c>
      <c r="E683" s="54">
        <f>IF(B683&lt;&gt;"",hddtohms(getlatitude(B683,C683,D683)),"")</f>
        <v>45.300161228958082</v>
      </c>
      <c r="F683" s="54">
        <f>IF(B683&lt;&gt;"",hddtohms(-GetLongitude(B683,C683,D683)),"")</f>
        <v>118.00141457920985</v>
      </c>
      <c r="G683" s="59">
        <f t="shared" si="11"/>
        <v>2683.3753937882611</v>
      </c>
    </row>
    <row r="684" spans="1:7" ht="15.75" thickBot="1" x14ac:dyDescent="0.3">
      <c r="A684" s="68">
        <v>2020013</v>
      </c>
      <c r="B684" s="70">
        <v>-6897774.0205492312</v>
      </c>
      <c r="C684" s="70">
        <v>-12976290.458722273</v>
      </c>
      <c r="D684" s="70">
        <v>14850727.207817826</v>
      </c>
      <c r="E684" s="54">
        <f>IF(B684&lt;&gt;"",hddtohms(getlatitude(B684,C684,D684)),"")</f>
        <v>45.293486167831624</v>
      </c>
      <c r="F684" s="54">
        <f>IF(B684&lt;&gt;"",hddtohms(-GetLongitude(B684,C684,D684)),"")</f>
        <v>117.59371723802509</v>
      </c>
      <c r="G684" s="59">
        <f t="shared" si="11"/>
        <v>2651.8785735682759</v>
      </c>
    </row>
    <row r="685" spans="1:7" ht="15.75" thickBot="1" x14ac:dyDescent="0.3">
      <c r="A685" s="68">
        <v>2020014</v>
      </c>
      <c r="B685" s="70">
        <v>-6893137.3050966226</v>
      </c>
      <c r="C685" s="70">
        <v>-12978745.785939522</v>
      </c>
      <c r="D685" s="70">
        <v>14850731.056593698</v>
      </c>
      <c r="E685" s="54">
        <f>IF(B685&lt;&gt;"",hddtohms(getlatitude(B685,C685,D685)),"")</f>
        <v>45.293494015141682</v>
      </c>
      <c r="F685" s="54">
        <f>IF(B685&lt;&gt;"",hddtohms(-GetLongitude(B685,C685,D685)),"")</f>
        <v>117.58235312933432</v>
      </c>
      <c r="G685" s="59">
        <f t="shared" si="11"/>
        <v>2649.4615705903398</v>
      </c>
    </row>
    <row r="686" spans="1:7" ht="15.75" thickBot="1" x14ac:dyDescent="0.3">
      <c r="A686" s="68">
        <v>2020015</v>
      </c>
      <c r="B686" s="70">
        <v>-6884879.2652958157</v>
      </c>
      <c r="C686" s="70">
        <v>-13019438.117345078</v>
      </c>
      <c r="D686" s="70">
        <v>14819096.650922185</v>
      </c>
      <c r="E686" s="54">
        <f>IF(B686&lt;&gt;"",hddtohms(getlatitude(B686,C686,D686)),"")</f>
        <v>45.221012322048502</v>
      </c>
      <c r="F686" s="54">
        <f>IF(B686&lt;&gt;"",hddtohms(-GetLongitude(B686,C686,D686)),"")</f>
        <v>117.52140706084576</v>
      </c>
      <c r="G686" s="59">
        <f t="shared" si="11"/>
        <v>2631.2191777872431</v>
      </c>
    </row>
    <row r="687" spans="1:7" ht="15.75" thickBot="1" x14ac:dyDescent="0.3">
      <c r="A687" s="68">
        <v>2020016</v>
      </c>
      <c r="B687" s="70">
        <v>-6887732.23623008</v>
      </c>
      <c r="C687" s="70">
        <v>-13013576.452846171</v>
      </c>
      <c r="D687" s="70">
        <v>14822883.980639044</v>
      </c>
      <c r="E687" s="54">
        <f>IF(B687&lt;&gt;"",hddtohms(getlatitude(B687,C687,D687)),"")</f>
        <v>45.230341631634019</v>
      </c>
      <c r="F687" s="54">
        <f>IF(B687&lt;&gt;"",hddtohms(-GetLongitude(B687,C687,D687)),"")</f>
        <v>117.5327788225687</v>
      </c>
      <c r="G687" s="59">
        <f t="shared" si="11"/>
        <v>2624.4581137105361</v>
      </c>
    </row>
    <row r="688" spans="1:7" ht="15.75" thickBot="1" x14ac:dyDescent="0.3">
      <c r="A688" s="68">
        <v>2020017</v>
      </c>
      <c r="B688" s="70">
        <v>-6890406.9106305884</v>
      </c>
      <c r="C688" s="70">
        <v>-13018633.673195684</v>
      </c>
      <c r="D688" s="70">
        <v>14817257.901390398</v>
      </c>
      <c r="E688" s="54">
        <f>IF(B688&lt;&gt;"",hddtohms(getlatitude(B688,C688,D688)),"")</f>
        <v>45.214420670069025</v>
      </c>
      <c r="F688" s="54">
        <f>IF(B688&lt;&gt;"",hddtohms(-GetLongitude(B688,C688,D688)),"")</f>
        <v>117.532776378354</v>
      </c>
      <c r="G688" s="59">
        <f t="shared" si="11"/>
        <v>2639.2729090007124</v>
      </c>
    </row>
    <row r="689" spans="1:7" ht="15.75" thickBot="1" x14ac:dyDescent="0.3">
      <c r="A689" s="68">
        <v>2020018</v>
      </c>
      <c r="B689" s="70">
        <v>-6931016.0866923425</v>
      </c>
      <c r="C689" s="70">
        <v>-12999297.494444611</v>
      </c>
      <c r="D689" s="70">
        <v>14815399.414910074</v>
      </c>
      <c r="E689" s="54">
        <f>IF(B689&lt;&gt;"",hddtohms(getlatitude(B689,C689,D689)),"")</f>
        <v>45.211744203802276</v>
      </c>
      <c r="F689" s="54">
        <f>IF(B689&lt;&gt;"",hddtohms(-GetLongitude(B689,C689,D689)),"")</f>
        <v>118.03569538601127</v>
      </c>
      <c r="G689" s="59">
        <f t="shared" si="11"/>
        <v>2704.7720335762988</v>
      </c>
    </row>
    <row r="690" spans="1:7" ht="15.75" thickBot="1" x14ac:dyDescent="0.3">
      <c r="A690" s="68">
        <v>2020019</v>
      </c>
      <c r="B690" s="70">
        <v>-6914596.2930926625</v>
      </c>
      <c r="C690" s="70">
        <v>-13007926.452025419</v>
      </c>
      <c r="D690" s="70">
        <v>14815413.006354613</v>
      </c>
      <c r="E690" s="54">
        <f>IF(B690&lt;&gt;"",hddtohms(getlatitude(B690,C690,D690)),"")</f>
        <v>45.211823403896865</v>
      </c>
      <c r="F690" s="54">
        <f>IF(B690&lt;&gt;"",hddtohms(-GetLongitude(B690,C690,D690)),"")</f>
        <v>117.59372417055711</v>
      </c>
      <c r="G690" s="59">
        <f t="shared" si="11"/>
        <v>2644.634604696028</v>
      </c>
    </row>
    <row r="691" spans="1:7" ht="15.75" thickBot="1" x14ac:dyDescent="0.3">
      <c r="A691" s="68">
        <v>2020020</v>
      </c>
      <c r="B691" s="70">
        <v>-6920833.4573228899</v>
      </c>
      <c r="C691" s="70">
        <v>-13019594.676327107</v>
      </c>
      <c r="D691" s="70">
        <v>14802339.211816195</v>
      </c>
      <c r="E691" s="54">
        <f>IF(B691&lt;&gt;"",hddtohms(getlatitude(B691,C691,D691)),"")</f>
        <v>45.181461401925276</v>
      </c>
      <c r="F691" s="54">
        <f>IF(B691&lt;&gt;"",hddtohms(-GetLongitude(B691,C691,D691)),"")</f>
        <v>117.59376704616093</v>
      </c>
      <c r="G691" s="59">
        <f t="shared" si="11"/>
        <v>2648.5242329448956</v>
      </c>
    </row>
    <row r="692" spans="1:7" ht="15.75" thickBot="1" x14ac:dyDescent="0.3">
      <c r="A692" s="68">
        <v>2020021</v>
      </c>
      <c r="B692" s="70">
        <v>-6921947.258299998</v>
      </c>
      <c r="C692" s="70">
        <v>-13010511.313932141</v>
      </c>
      <c r="D692" s="70">
        <v>14809760.67380169</v>
      </c>
      <c r="E692" s="54">
        <f>IF(B692&lt;&gt;"",hddtohms(getlatitude(B692,C692,D692)),"")</f>
        <v>45.195875232512321</v>
      </c>
      <c r="F692" s="54">
        <f>IF(B692&lt;&gt;"",hddtohms(-GetLongitude(B692,C692,D692)),"")</f>
        <v>118.00511081928111</v>
      </c>
      <c r="G692" s="59">
        <f t="shared" si="11"/>
        <v>2653.8478833995323</v>
      </c>
    </row>
    <row r="693" spans="1:7" ht="15.75" thickBot="1" x14ac:dyDescent="0.3">
      <c r="A693" s="68">
        <v>2020022</v>
      </c>
      <c r="B693" s="70">
        <v>-6922006.3881608024</v>
      </c>
      <c r="C693" s="70">
        <v>-13010485.337699179</v>
      </c>
      <c r="D693" s="70">
        <v>14809757.803849723</v>
      </c>
      <c r="E693" s="54">
        <f>IF(B693&lt;&gt;"",hddtohms(getlatitude(B693,C693,D693)),"")</f>
        <v>45.195869842551176</v>
      </c>
      <c r="F693" s="54">
        <f>IF(B693&lt;&gt;"",hddtohms(-GetLongitude(B693,C693,D693)),"")</f>
        <v>118.00520095789334</v>
      </c>
      <c r="G693" s="59">
        <f t="shared" si="11"/>
        <v>2655.209375764889</v>
      </c>
    </row>
    <row r="694" spans="1:7" ht="15.75" thickBot="1" x14ac:dyDescent="0.3">
      <c r="A694" s="68">
        <v>2020023</v>
      </c>
      <c r="B694" s="70">
        <v>-6923273.0593651943</v>
      </c>
      <c r="C694" s="70">
        <v>-13035389.585734939</v>
      </c>
      <c r="D694" s="70">
        <v>14787384.886559928</v>
      </c>
      <c r="E694" s="54">
        <f>IF(B694&lt;&gt;"",hddtohms(getlatitude(B694,C694,D694)),"")</f>
        <v>45.144486627031142</v>
      </c>
      <c r="F694" s="54">
        <f>IF(B694&lt;&gt;"",hddtohms(-GetLongitude(B694,C694,D694)),"")</f>
        <v>117.5824169188364</v>
      </c>
      <c r="G694" s="59">
        <f t="shared" si="11"/>
        <v>2644.566395472908</v>
      </c>
    </row>
    <row r="695" spans="1:7" ht="15.75" thickBot="1" x14ac:dyDescent="0.3">
      <c r="A695" s="68">
        <v>2020024</v>
      </c>
      <c r="B695" s="70">
        <v>-6922366.7757199425</v>
      </c>
      <c r="C695" s="70">
        <v>-13033709.062395861</v>
      </c>
      <c r="D695" s="70">
        <v>14789274.087618504</v>
      </c>
      <c r="E695" s="54">
        <f>IF(B695&lt;&gt;"",hddtohms(getlatitude(B695,C695,D695)),"")</f>
        <v>45.151138217168608</v>
      </c>
      <c r="F695" s="54">
        <f>IF(B695&lt;&gt;"",hddtohms(-GetLongitude(B695,C695,D695)),"")</f>
        <v>117.58239996516139</v>
      </c>
      <c r="G695" s="59">
        <f t="shared" si="11"/>
        <v>2642.0615862685881</v>
      </c>
    </row>
    <row r="696" spans="1:7" ht="15.75" thickBot="1" x14ac:dyDescent="0.3">
      <c r="A696" s="68">
        <v>2020025</v>
      </c>
      <c r="B696" s="70">
        <v>-6920039.8895974038</v>
      </c>
      <c r="C696" s="70">
        <v>-13034938.076809954</v>
      </c>
      <c r="D696" s="70">
        <v>14789276.176864404</v>
      </c>
      <c r="E696" s="54">
        <f>IF(B696&lt;&gt;"",hddtohms(getlatitude(B696,C696,D696)),"")</f>
        <v>45.151143730201063</v>
      </c>
      <c r="F696" s="54">
        <f>IF(B696&lt;&gt;"",hddtohms(-GetLongitude(B696,C696,D696)),"")</f>
        <v>117.57472202660767</v>
      </c>
      <c r="G696" s="59">
        <f t="shared" si="11"/>
        <v>2639.4678753195749</v>
      </c>
    </row>
    <row r="697" spans="1:7" ht="15.75" thickBot="1" x14ac:dyDescent="0.3">
      <c r="A697" s="68">
        <v>2020026</v>
      </c>
      <c r="B697" s="70">
        <v>-6921447.8610864654</v>
      </c>
      <c r="C697" s="70">
        <v>-13032038.06106269</v>
      </c>
      <c r="D697" s="70">
        <v>14791164.59648731</v>
      </c>
      <c r="E697" s="54">
        <f>IF(B697&lt;&gt;"",hddtohms(getlatitude(B697,C697,D697)),"")</f>
        <v>45.153788970800299</v>
      </c>
      <c r="F697" s="54">
        <f>IF(B697&lt;&gt;"",hddtohms(-GetLongitude(B697,C697,D697)),"")</f>
        <v>117.58236117062043</v>
      </c>
      <c r="G697" s="59">
        <f t="shared" si="11"/>
        <v>2642.5800654646118</v>
      </c>
    </row>
    <row r="698" spans="1:7" ht="15.75" thickBot="1" x14ac:dyDescent="0.3">
      <c r="A698" s="68">
        <v>2020027</v>
      </c>
      <c r="B698" s="70">
        <v>-6867349.9848570041</v>
      </c>
      <c r="C698" s="70">
        <v>-12997554.753574487</v>
      </c>
      <c r="D698" s="70">
        <v>14847764.906953432</v>
      </c>
      <c r="E698" s="54">
        <f>IF(B698&lt;&gt;"",hddtohms(getlatitude(B698,C698,D698)),"")</f>
        <v>45.284238735778665</v>
      </c>
      <c r="F698" s="54">
        <f>IF(B698&lt;&gt;"",hddtohms(-GetLongitude(B698,C698,D698)),"")</f>
        <v>117.51001807056274</v>
      </c>
      <c r="G698" s="59">
        <f t="shared" si="11"/>
        <v>3724.0745040444672</v>
      </c>
    </row>
    <row r="699" spans="1:7" ht="15.75" thickBot="1" x14ac:dyDescent="0.3">
      <c r="A699" s="68">
        <v>2020028</v>
      </c>
      <c r="B699" s="70">
        <v>-6866392.138743897</v>
      </c>
      <c r="C699" s="70">
        <v>-12995744.79447834</v>
      </c>
      <c r="D699" s="70">
        <v>14849452.236246468</v>
      </c>
      <c r="E699" s="54">
        <f>IF(B699&lt;&gt;"",hddtohms(getlatitude(B699,C699,D699)),"")</f>
        <v>45.290847851239263</v>
      </c>
      <c r="F699" s="54">
        <f>IF(B699&lt;&gt;"",hddtohms(-GetLongitude(B699,C699,D699)),"")</f>
        <v>117.51001615797871</v>
      </c>
      <c r="G699" s="59">
        <f t="shared" si="11"/>
        <v>3491.4247000339783</v>
      </c>
    </row>
    <row r="700" spans="1:7" ht="15.75" thickBot="1" x14ac:dyDescent="0.3">
      <c r="A700" s="68">
        <v>2020029</v>
      </c>
      <c r="B700" s="70">
        <v>-6866820.6168638067</v>
      </c>
      <c r="C700" s="70">
        <v>-12990883.204870451</v>
      </c>
      <c r="D700" s="70">
        <v>14852863.833359763</v>
      </c>
      <c r="E700" s="54">
        <f>IF(B700&lt;&gt;"",hddtohms(getlatitude(B700,C700,D700)),"")</f>
        <v>45.30009357323511</v>
      </c>
      <c r="F700" s="54">
        <f>IF(B700&lt;&gt;"",hddtohms(-GetLongitude(B700,C700,D700)),"")</f>
        <v>117.51373601132579</v>
      </c>
      <c r="G700" s="59">
        <f t="shared" si="11"/>
        <v>3051.7131408610749</v>
      </c>
    </row>
    <row r="701" spans="1:7" ht="15.75" thickBot="1" x14ac:dyDescent="0.3">
      <c r="A701" s="68">
        <v>2020030</v>
      </c>
      <c r="B701" s="70">
        <v>-6869980.9582987679</v>
      </c>
      <c r="C701" s="70">
        <v>-12991338.532651391</v>
      </c>
      <c r="D701" s="70">
        <v>14851015.678611489</v>
      </c>
      <c r="E701" s="54">
        <f>IF(B701&lt;&gt;"",hddtohms(getlatitude(B701,C701,D701)),"")</f>
        <v>45.293491418961466</v>
      </c>
      <c r="F701" s="54">
        <f>IF(B701&lt;&gt;"",hddtohms(-GetLongitude(B701,C701,D701)),"")</f>
        <v>117.52135890248229</v>
      </c>
      <c r="G701" s="59">
        <f t="shared" si="11"/>
        <v>3051.1435613805043</v>
      </c>
    </row>
    <row r="702" spans="1:7" ht="15.75" thickBot="1" x14ac:dyDescent="0.3">
      <c r="A702" s="68">
        <v>2020031</v>
      </c>
      <c r="B702" s="70">
        <v>-6865920.7243597303</v>
      </c>
      <c r="C702" s="70">
        <v>-13000503.797546724</v>
      </c>
      <c r="D702" s="70">
        <v>14846033.172193853</v>
      </c>
      <c r="E702" s="54">
        <f>IF(B702&lt;&gt;"",hddtohms(getlatitude(B702,C702,D702)),"")</f>
        <v>45.28167477705712</v>
      </c>
      <c r="F702" s="54">
        <f>IF(B702&lt;&gt;"",hddtohms(-GetLongitude(B702,C702,D702)),"")</f>
        <v>117.50231232549154</v>
      </c>
      <c r="G702" s="59">
        <f t="shared" si="11"/>
        <v>3849.8242983049968</v>
      </c>
    </row>
    <row r="703" spans="1:7" ht="15.75" thickBot="1" x14ac:dyDescent="0.3">
      <c r="A703" s="68">
        <v>2020032</v>
      </c>
      <c r="B703" s="70">
        <v>-6868772.3404184571</v>
      </c>
      <c r="C703" s="70">
        <v>-12994592.452823248</v>
      </c>
      <c r="D703" s="70">
        <v>14849570.249798749</v>
      </c>
      <c r="E703" s="54">
        <f>IF(B703&lt;&gt;"",hddtohms(getlatitude(B703,C703,D703)),"")</f>
        <v>45.290863849692464</v>
      </c>
      <c r="F703" s="54">
        <f>IF(B703&lt;&gt;"",hddtohms(-GetLongitude(B703,C703,D703)),"")</f>
        <v>117.51372492082309</v>
      </c>
      <c r="G703" s="59">
        <f t="shared" si="11"/>
        <v>3640.9892636448985</v>
      </c>
    </row>
    <row r="704" spans="1:7" ht="15.75" thickBot="1" x14ac:dyDescent="0.3">
      <c r="A704" s="68">
        <v>2020033</v>
      </c>
      <c r="B704" s="70">
        <v>-6851151.1772298422</v>
      </c>
      <c r="C704" s="70">
        <v>-12938961.54434911</v>
      </c>
      <c r="D704" s="70">
        <v>14904650.393468907</v>
      </c>
      <c r="E704" s="54">
        <f>IF(B704&lt;&gt;"",hddtohms(getlatitude(B704,C704,D704)),"")</f>
        <v>45.421396577589491</v>
      </c>
      <c r="F704" s="54">
        <f>IF(B704&lt;&gt;"",hddtohms(-GetLongitude(B704,C704,D704)),"")</f>
        <v>117.54040301643371</v>
      </c>
      <c r="G704" s="59">
        <f t="shared" si="11"/>
        <v>2816.7946925247579</v>
      </c>
    </row>
    <row r="705" spans="1:7" ht="15.75" thickBot="1" x14ac:dyDescent="0.3">
      <c r="A705" s="68">
        <v>2020034</v>
      </c>
      <c r="B705" s="70">
        <v>-6851438.9837777317</v>
      </c>
      <c r="C705" s="70">
        <v>-12945266.937571377</v>
      </c>
      <c r="D705" s="70">
        <v>14899169.135376165</v>
      </c>
      <c r="E705" s="54">
        <f>IF(B705&lt;&gt;"",hddtohms(getlatitude(B705,C705,D705)),"")</f>
        <v>45.405585645885324</v>
      </c>
      <c r="F705" s="54">
        <f>IF(B705&lt;&gt;"",hddtohms(-GetLongitude(B705,C705,D705)),"")</f>
        <v>117.53260595588586</v>
      </c>
      <c r="G705" s="59">
        <f t="shared" si="11"/>
        <v>2880.9670517762297</v>
      </c>
    </row>
    <row r="706" spans="1:7" ht="15.75" thickBot="1" x14ac:dyDescent="0.3">
      <c r="A706" s="68">
        <v>2020035</v>
      </c>
      <c r="B706" s="70">
        <v>-6854361.7209818261</v>
      </c>
      <c r="C706" s="70">
        <v>-12939362.657507472</v>
      </c>
      <c r="D706" s="70">
        <v>14902771.245990757</v>
      </c>
      <c r="E706" s="54">
        <f>IF(B706&lt;&gt;"",hddtohms(getlatitude(B706,C706,D706)),"")</f>
        <v>45.414789082761352</v>
      </c>
      <c r="F706" s="54">
        <f>IF(B706&lt;&gt;"",hddtohms(-GetLongitude(B706,C706,D706)),"")</f>
        <v>117.54413543184771</v>
      </c>
      <c r="G706" s="59">
        <f t="shared" si="11"/>
        <v>2768.9111134801897</v>
      </c>
    </row>
    <row r="707" spans="1:7" ht="15.75" thickBot="1" x14ac:dyDescent="0.3">
      <c r="A707" s="68">
        <v>2020036</v>
      </c>
      <c r="B707" s="70">
        <v>-6852338.7542928746</v>
      </c>
      <c r="C707" s="70">
        <v>-12947025.988309629</v>
      </c>
      <c r="D707" s="70">
        <v>14897397.770573989</v>
      </c>
      <c r="E707" s="54">
        <f>IF(B707&lt;&gt;"",hddtohms(getlatitude(B707,C707,D707)),"")</f>
        <v>45.402968768294123</v>
      </c>
      <c r="F707" s="54">
        <f>IF(B707&lt;&gt;"",hddtohms(-GetLongitude(B707,C707,D707)),"")</f>
        <v>117.53256709126525</v>
      </c>
      <c r="G707" s="59">
        <f t="shared" si="11"/>
        <v>2994.0117705678931</v>
      </c>
    </row>
    <row r="708" spans="1:7" ht="15.75" thickBot="1" x14ac:dyDescent="0.3">
      <c r="A708" s="68">
        <v>2020037</v>
      </c>
      <c r="B708" s="70">
        <v>-6850004.76163428</v>
      </c>
      <c r="C708" s="70">
        <v>-12948226.284834471</v>
      </c>
      <c r="D708" s="70">
        <v>14897380.667437498</v>
      </c>
      <c r="E708" s="54">
        <f>IF(B708&lt;&gt;"",hddtohms(getlatitude(B708,C708,D708)),"")</f>
        <v>45.40297864558336</v>
      </c>
      <c r="F708" s="54">
        <f>IF(B708&lt;&gt;"",hddtohms(-GetLongitude(B708,C708,D708)),"")</f>
        <v>117.52487174473022</v>
      </c>
      <c r="G708" s="59">
        <f t="shared" si="11"/>
        <v>2960.3309826582099</v>
      </c>
    </row>
    <row r="709" spans="1:7" ht="15.75" thickBot="1" x14ac:dyDescent="0.3">
      <c r="A709" s="68">
        <v>2020038</v>
      </c>
      <c r="B709" s="70">
        <v>-6851890.3575229412</v>
      </c>
      <c r="C709" s="70">
        <v>-12951723.149758486</v>
      </c>
      <c r="D709" s="70">
        <v>14893837.932053486</v>
      </c>
      <c r="E709" s="54">
        <f>IF(B709&lt;&gt;"",hddtohms(getlatitude(B709,C709,D709)),"")</f>
        <v>45.393729788667791</v>
      </c>
      <c r="F709" s="54">
        <f>IF(B709&lt;&gt;"",hddtohms(-GetLongitude(B709,C709,D709)),"")</f>
        <v>117.52491610229426</v>
      </c>
      <c r="G709" s="59">
        <f t="shared" si="11"/>
        <v>3202.4351204715276</v>
      </c>
    </row>
    <row r="710" spans="1:7" ht="15.75" thickBot="1" x14ac:dyDescent="0.3">
      <c r="A710" s="68">
        <v>2020039</v>
      </c>
      <c r="B710" s="70">
        <v>-6854317.4790322753</v>
      </c>
      <c r="C710" s="70">
        <v>-12950660.939157723</v>
      </c>
      <c r="D710" s="70">
        <v>14894046.546417182</v>
      </c>
      <c r="E710" s="54">
        <f>IF(B710&lt;&gt;"",hddtohms(getlatitude(B710,C710,D710)),"")</f>
        <v>45.393735120246482</v>
      </c>
      <c r="F710" s="54">
        <f>IF(B710&lt;&gt;"",hddtohms(-GetLongitude(B710,C710,D710)),"")</f>
        <v>117.53263538658712</v>
      </c>
      <c r="G710" s="59">
        <f t="shared" si="11"/>
        <v>3488.8398373130731</v>
      </c>
    </row>
    <row r="711" spans="1:7" ht="15.75" thickBot="1" x14ac:dyDescent="0.3">
      <c r="A711" s="68">
        <v>2020040</v>
      </c>
      <c r="B711" s="70">
        <v>-7023729.9111800324</v>
      </c>
      <c r="C711" s="70">
        <v>-12980244.547057422</v>
      </c>
      <c r="D711" s="70">
        <v>14789624.467144907</v>
      </c>
      <c r="E711" s="54">
        <f>IF(B711&lt;&gt;"",hddtohms(getlatitude(B711,C711,D711)),"")</f>
        <v>45.150840221916539</v>
      </c>
      <c r="F711" s="54">
        <f>IF(B711&lt;&gt;"",hddtohms(-GetLongitude(B711,C711,D711)),"")</f>
        <v>118.25056226271933</v>
      </c>
      <c r="G711" s="59">
        <f t="shared" si="11"/>
        <v>3434.6149864055824</v>
      </c>
    </row>
    <row r="712" spans="1:7" ht="15.75" thickBot="1" x14ac:dyDescent="0.3">
      <c r="A712" s="68">
        <v>2020041</v>
      </c>
      <c r="B712" s="70">
        <v>-7023716.7892932268</v>
      </c>
      <c r="C712" s="70">
        <v>-12980220.330878418</v>
      </c>
      <c r="D712" s="70">
        <v>14789651.087353203</v>
      </c>
      <c r="E712" s="54">
        <f>IF(B712&lt;&gt;"",hddtohms(getlatitude(B712,C712,D712)),"")</f>
        <v>45.150878031758225</v>
      </c>
      <c r="F712" s="54">
        <f>IF(B712&lt;&gt;"",hddtohms(-GetLongitude(B712,C712,D712)),"")</f>
        <v>118.25056224023874</v>
      </c>
      <c r="G712" s="59">
        <f t="shared" si="11"/>
        <v>3434.1313129109512</v>
      </c>
    </row>
    <row r="713" spans="1:7" ht="15.75" thickBot="1" x14ac:dyDescent="0.3">
      <c r="A713" s="68">
        <v>2020042</v>
      </c>
      <c r="B713" s="70">
        <v>-7038903.2681151871</v>
      </c>
      <c r="C713" s="70">
        <v>-12972088.461339239</v>
      </c>
      <c r="D713" s="70">
        <v>14789941.075923428</v>
      </c>
      <c r="E713" s="54">
        <f>IF(B713&lt;&gt;"",hddtohms(getlatitude(B713,C713,D713)),"")</f>
        <v>45.151019680438758</v>
      </c>
      <c r="F713" s="54">
        <f>IF(B713&lt;&gt;"",hddtohms(-GetLongitude(B713,C713,D713)),"")</f>
        <v>118.29063750340329</v>
      </c>
      <c r="G713" s="59">
        <f t="shared" si="11"/>
        <v>3700.2088571106397</v>
      </c>
    </row>
    <row r="714" spans="1:7" ht="15.75" thickBot="1" x14ac:dyDescent="0.3">
      <c r="A714" s="68">
        <v>2020043</v>
      </c>
      <c r="B714" s="70">
        <v>-7039471.6784691848</v>
      </c>
      <c r="C714" s="70">
        <v>-12973169.370686358</v>
      </c>
      <c r="D714" s="70">
        <v>14788584.717222515</v>
      </c>
      <c r="E714" s="54">
        <f>IF(B714&lt;&gt;"",hddtohms(getlatitude(B714,C714,D714)),"")</f>
        <v>45.145220953154933</v>
      </c>
      <c r="F714" s="54">
        <f>IF(B714&lt;&gt;"",hddtohms(-GetLongitude(B714,C714,D714)),"")</f>
        <v>118.29061525705285</v>
      </c>
      <c r="G714" s="59">
        <f t="shared" si="11"/>
        <v>3596.638142489217</v>
      </c>
    </row>
    <row r="715" spans="1:7" ht="15.75" thickBot="1" x14ac:dyDescent="0.3">
      <c r="A715" s="68">
        <v>2020044</v>
      </c>
      <c r="B715" s="70">
        <v>-7039964.3838750599</v>
      </c>
      <c r="C715" s="70">
        <v>-12971430.454607084</v>
      </c>
      <c r="D715" s="70">
        <v>14789884.539423922</v>
      </c>
      <c r="E715" s="54">
        <f>IF(B715&lt;&gt;"",hddtohms(getlatitude(B715,C715,D715)),"")</f>
        <v>45.15103102319943</v>
      </c>
      <c r="F715" s="54">
        <f>IF(B715&lt;&gt;"",hddtohms(-GetLongitude(B715,C715,D715)),"")</f>
        <v>118.2923795630699</v>
      </c>
      <c r="G715" s="59">
        <f t="shared" si="11"/>
        <v>3609.215266846968</v>
      </c>
    </row>
    <row r="716" spans="1:7" ht="15.75" thickBot="1" x14ac:dyDescent="0.3">
      <c r="A716" s="68">
        <v>2020045</v>
      </c>
      <c r="B716" s="70">
        <v>-7033675.0558767291</v>
      </c>
      <c r="C716" s="70">
        <v>-12978590.086356781</v>
      </c>
      <c r="D716" s="70">
        <v>14786681.681330843</v>
      </c>
      <c r="E716" s="54">
        <f>IF(B716&lt;&gt;"",hddtohms(getlatitude(B716,C716,D716)),"")</f>
        <v>45.142494937955306</v>
      </c>
      <c r="F716" s="54">
        <f>IF(B716&lt;&gt;"",hddtohms(-GetLongitude(B716,C716,D716)),"")</f>
        <v>118.27188395929977</v>
      </c>
      <c r="G716" s="59">
        <f t="shared" si="11"/>
        <v>3654.7917535348115</v>
      </c>
    </row>
    <row r="717" spans="1:7" ht="15.75" thickBot="1" x14ac:dyDescent="0.3">
      <c r="A717" s="68">
        <v>2020046</v>
      </c>
      <c r="B717" s="70">
        <v>-7031417.379176884</v>
      </c>
      <c r="C717" s="70">
        <v>-12979925.231202118</v>
      </c>
      <c r="D717" s="70">
        <v>14786757.72806922</v>
      </c>
      <c r="E717" s="54">
        <f>IF(B717&lt;&gt;"",hddtohms(getlatitude(B717,C717,D717)),"")</f>
        <v>45.14247885351034</v>
      </c>
      <c r="F717" s="54">
        <f>IF(B717&lt;&gt;"",hddtohms(-GetLongitude(B717,C717,D717)),"")</f>
        <v>118.26422162131286</v>
      </c>
      <c r="G717" s="59">
        <f t="shared" si="11"/>
        <v>3778.0477000635365</v>
      </c>
    </row>
    <row r="718" spans="1:7" ht="15.75" thickBot="1" x14ac:dyDescent="0.3">
      <c r="A718" s="68">
        <v>2020047</v>
      </c>
      <c r="B718" s="70">
        <v>-7030446.5056664329</v>
      </c>
      <c r="C718" s="70">
        <v>-12978215.569805468</v>
      </c>
      <c r="D718" s="70">
        <v>14788579.198616257</v>
      </c>
      <c r="E718" s="54">
        <f>IF(B718&lt;&gt;"",hddtohms(getlatitude(B718,C718,D718)),"")</f>
        <v>45.145122782181872</v>
      </c>
      <c r="F718" s="54">
        <f>IF(B718&lt;&gt;"",hddtohms(-GetLongitude(B718,C718,D718)),"")</f>
        <v>118.26416666640134</v>
      </c>
      <c r="G718" s="59">
        <f t="shared" si="11"/>
        <v>3687.4595734841951</v>
      </c>
    </row>
    <row r="719" spans="1:7" ht="15.75" thickBot="1" x14ac:dyDescent="0.3">
      <c r="A719" s="68">
        <v>2020048</v>
      </c>
      <c r="B719" s="70">
        <v>-7027607.855430169</v>
      </c>
      <c r="C719" s="70">
        <v>-12983992.324414533</v>
      </c>
      <c r="D719" s="70">
        <v>14784751.371112222</v>
      </c>
      <c r="E719" s="54">
        <f>IF(B719&lt;&gt;"",hddtohms(getlatitude(B719,C719,D719)),"")</f>
        <v>45.135848830989865</v>
      </c>
      <c r="F719" s="54">
        <f>IF(B719&lt;&gt;"",hddtohms(-GetLongitude(B719,C719,D719)),"")</f>
        <v>118.25283541579904</v>
      </c>
      <c r="G719" s="59">
        <f t="shared" si="11"/>
        <v>3594.6131809456401</v>
      </c>
    </row>
    <row r="720" spans="1:7" ht="15.75" thickBot="1" x14ac:dyDescent="0.3">
      <c r="A720" s="68">
        <v>2020049</v>
      </c>
      <c r="B720" s="70">
        <v>-7030792.8864724701</v>
      </c>
      <c r="C720" s="70">
        <v>-12984379.614693379</v>
      </c>
      <c r="D720" s="70">
        <v>14782863.748063654</v>
      </c>
      <c r="E720" s="54">
        <f>IF(B720&lt;&gt;"",hddtohms(getlatitude(B720,C720,D720)),"")</f>
        <v>45.133235151919017</v>
      </c>
      <c r="F720" s="54">
        <f>IF(B720&lt;&gt;"",hddtohms(-GetLongitude(B720,C720,D720)),"")</f>
        <v>118.2604907420275</v>
      </c>
      <c r="G720" s="59">
        <f t="shared" si="11"/>
        <v>3562.3002901717828</v>
      </c>
    </row>
    <row r="721" spans="1:7" ht="15.75" thickBot="1" x14ac:dyDescent="0.3">
      <c r="A721" s="68">
        <v>2020050</v>
      </c>
      <c r="B721" s="70">
        <v>-7033169.5837093536</v>
      </c>
      <c r="C721" s="70">
        <v>-12983225.402634913</v>
      </c>
      <c r="D721" s="70">
        <v>14782942.962531811</v>
      </c>
      <c r="E721" s="54">
        <f>IF(B721&lt;&gt;"",hddtohms(getlatitude(B721,C721,D721)),"")</f>
        <v>45.133208273870629</v>
      </c>
      <c r="F721" s="54">
        <f>IF(B721&lt;&gt;"",hddtohms(-GetLongitude(B721,C721,D721)),"")</f>
        <v>118.26417796006452</v>
      </c>
      <c r="G721" s="59">
        <f t="shared" si="11"/>
        <v>3700.9020607526072</v>
      </c>
    </row>
    <row r="722" spans="1:7" ht="15.75" thickBot="1" x14ac:dyDescent="0.3">
      <c r="A722" s="68">
        <v>2020051</v>
      </c>
      <c r="B722" s="70">
        <v>-7034088.6898647817</v>
      </c>
      <c r="C722" s="70">
        <v>-12984948.512266241</v>
      </c>
      <c r="D722" s="70">
        <v>14781141.651026258</v>
      </c>
      <c r="E722" s="54">
        <f>IF(B722&lt;&gt;"",hddtohms(getlatitude(B722,C722,D722)),"")</f>
        <v>45.130587380640279</v>
      </c>
      <c r="F722" s="54">
        <f>IF(B722&lt;&gt;"",hddtohms(-GetLongitude(B722,C722,D722)),"")</f>
        <v>118.26416036983818</v>
      </c>
      <c r="G722" s="59">
        <f t="shared" si="11"/>
        <v>3797.7871155250232</v>
      </c>
    </row>
    <row r="723" spans="1:7" ht="15.75" thickBot="1" x14ac:dyDescent="0.3">
      <c r="A723" s="68">
        <v>2020052</v>
      </c>
      <c r="B723" s="70">
        <v>-7022007.0533936219</v>
      </c>
      <c r="C723" s="70">
        <v>-12984792.30079494</v>
      </c>
      <c r="D723" s="70">
        <v>14786464.202154964</v>
      </c>
      <c r="E723" s="54">
        <f>IF(B723&lt;&gt;"",hddtohms(getlatitude(B723,C723,D723)),"")</f>
        <v>45.142414312148233</v>
      </c>
      <c r="F723" s="54">
        <f>IF(B723&lt;&gt;"",hddtohms(-GetLongitude(B723,C723,D723)),"")</f>
        <v>118.24142091427342</v>
      </c>
      <c r="G723" s="59">
        <f t="shared" si="11"/>
        <v>3429.5035613918735</v>
      </c>
    </row>
    <row r="724" spans="1:7" ht="15.75" thickBot="1" x14ac:dyDescent="0.3">
      <c r="A724" s="68">
        <v>2020053</v>
      </c>
      <c r="B724" s="70">
        <v>-7024765.343906601</v>
      </c>
      <c r="C724" s="70">
        <v>-12989936.165090218</v>
      </c>
      <c r="D724" s="70">
        <v>14781023.53705308</v>
      </c>
      <c r="E724" s="54">
        <f>IF(B724&lt;&gt;"",hddtohms(getlatitude(B724,C724,D724)),"")</f>
        <v>45.130541352205384</v>
      </c>
      <c r="F724" s="54">
        <f>IF(B724&lt;&gt;"",hddtohms(-GetLongitude(B724,C724,D724)),"")</f>
        <v>118.24139211076134</v>
      </c>
      <c r="G724" s="59">
        <f t="shared" si="11"/>
        <v>3677.65490861125</v>
      </c>
    </row>
    <row r="725" spans="1:7" ht="15.75" thickBot="1" x14ac:dyDescent="0.3">
      <c r="A725" s="68">
        <v>2020054</v>
      </c>
      <c r="B725" s="70">
        <v>-7023849.0865864353</v>
      </c>
      <c r="C725" s="70">
        <v>-12988237.394652592</v>
      </c>
      <c r="D725" s="70">
        <v>14782844.951845571</v>
      </c>
      <c r="E725" s="54">
        <f>IF(B725&lt;&gt;"",hddtohms(getlatitude(B725,C725,D725)),"")</f>
        <v>45.133160291136562</v>
      </c>
      <c r="F725" s="54">
        <f>IF(B725&lt;&gt;"",hddtohms(-GetLongitude(B725,C725,D725)),"")</f>
        <v>118.24139507523768</v>
      </c>
      <c r="G725" s="59">
        <f t="shared" si="11"/>
        <v>3611.0622529085213</v>
      </c>
    </row>
    <row r="726" spans="1:7" ht="15.75" thickBot="1" x14ac:dyDescent="0.3">
      <c r="A726" s="68">
        <v>2020055</v>
      </c>
      <c r="B726" s="70">
        <v>-7025727.5897656428</v>
      </c>
      <c r="C726" s="70">
        <v>-12991720.323185503</v>
      </c>
      <c r="D726" s="70">
        <v>14779300.041771384</v>
      </c>
      <c r="E726" s="54">
        <f>IF(B726&lt;&gt;"",hddtohms(getlatitude(B726,C726,D726)),"")</f>
        <v>45.123922578630172</v>
      </c>
      <c r="F726" s="54">
        <f>IF(B726&lt;&gt;"",hddtohms(-GetLongitude(B726,C726,D726)),"")</f>
        <v>118.24138891632954</v>
      </c>
      <c r="G726" s="59">
        <f t="shared" si="11"/>
        <v>3882.4037855016541</v>
      </c>
    </row>
    <row r="727" spans="1:7" ht="15.75" thickBot="1" x14ac:dyDescent="0.3">
      <c r="A727" s="68">
        <v>2020056</v>
      </c>
      <c r="B727" s="70">
        <v>-7029932.4830940999</v>
      </c>
      <c r="C727" s="70">
        <v>-12993789.87555461</v>
      </c>
      <c r="D727" s="70">
        <v>14775704.706897231</v>
      </c>
      <c r="E727" s="54">
        <f>IF(B727&lt;&gt;"",hddtohms(getlatitude(B727,C727,D727)),"")</f>
        <v>45.114745415824274</v>
      </c>
      <c r="F727" s="54">
        <f>IF(B727&lt;&gt;"",hddtohms(-GetLongitude(B727,C727,D727)),"")</f>
        <v>118.24517847019386</v>
      </c>
      <c r="G727" s="59">
        <f t="shared" si="11"/>
        <v>4023.2288300195978</v>
      </c>
    </row>
    <row r="728" spans="1:7" ht="15.75" thickBot="1" x14ac:dyDescent="0.3">
      <c r="A728" s="68">
        <v>2020057</v>
      </c>
      <c r="B728" s="70">
        <v>-7034599.6914681783</v>
      </c>
      <c r="C728" s="70">
        <v>-12991298.41523724</v>
      </c>
      <c r="D728" s="70">
        <v>14775758.691979675</v>
      </c>
      <c r="E728" s="54">
        <f>IF(B728&lt;&gt;"",hddtohms(getlatitude(B728,C728,D728)),"")</f>
        <v>45.114761604088891</v>
      </c>
      <c r="F728" s="54">
        <f>IF(B728&lt;&gt;"",hddtohms(-GetLongitude(B728,C728,D728)),"")</f>
        <v>118.26056490597861</v>
      </c>
      <c r="G728" s="59">
        <f t="shared" si="11"/>
        <v>4083.0277327949261</v>
      </c>
    </row>
    <row r="729" spans="1:7" ht="15.75" thickBot="1" x14ac:dyDescent="0.3">
      <c r="A729" s="68" t="s">
        <v>85</v>
      </c>
      <c r="B729" s="70">
        <v>-6875371.2301447978</v>
      </c>
      <c r="C729" s="70">
        <v>-12964805.874069843</v>
      </c>
      <c r="D729" s="70">
        <v>14871070.312764168</v>
      </c>
      <c r="E729" s="54">
        <f>IF(B729&lt;&gt;"",hddtohms(getlatitude(B729,C729,D729)),"")</f>
        <v>45.342100304131208</v>
      </c>
      <c r="F729" s="54">
        <f>IF(B729&lt;&gt;"",hddtohms(-GetLongitude(B729,C729,D729)),"")</f>
        <v>117.56148986525407</v>
      </c>
      <c r="G729" s="59">
        <f t="shared" si="11"/>
        <v>2705.0276903335071</v>
      </c>
    </row>
    <row r="730" spans="1:7" ht="15.75" thickBot="1" x14ac:dyDescent="0.3">
      <c r="A730" s="68">
        <v>2021001</v>
      </c>
      <c r="B730" s="70">
        <v>-6828492.8528487766</v>
      </c>
      <c r="C730" s="70">
        <v>-12985461.455622718</v>
      </c>
      <c r="D730" s="70">
        <v>14875402.646008851</v>
      </c>
      <c r="E730" s="54">
        <f>IF(B730&lt;&gt;"",hddtohms(getlatitude(B730,C730,D730)),"")</f>
        <v>45.351649657134544</v>
      </c>
      <c r="F730" s="54">
        <f>IF(B730&lt;&gt;"",hddtohms(-GetLongitude(B730,C730,D730)),"")</f>
        <v>117.44165908747401</v>
      </c>
      <c r="G730" s="59">
        <f t="shared" si="11"/>
        <v>3261.7556380143069</v>
      </c>
    </row>
    <row r="731" spans="1:7" ht="15.75" thickBot="1" x14ac:dyDescent="0.3">
      <c r="A731" s="68">
        <v>2021002</v>
      </c>
      <c r="B731" s="70">
        <v>-6830499.6532408586</v>
      </c>
      <c r="C731" s="70">
        <v>-12984599.220033385</v>
      </c>
      <c r="D731" s="70">
        <v>14875521.543374017</v>
      </c>
      <c r="E731" s="54">
        <f>IF(B731&lt;&gt;"",hddtohms(getlatitude(B731,C731,D731)),"")</f>
        <v>45.351611194074991</v>
      </c>
      <c r="F731" s="54">
        <f>IF(B731&lt;&gt;"",hddtohms(-GetLongitude(B731,C731,D731)),"")</f>
        <v>117.44472038766828</v>
      </c>
      <c r="G731" s="59">
        <f t="shared" si="11"/>
        <v>3466.3768714213493</v>
      </c>
    </row>
    <row r="732" spans="1:7" ht="15.75" thickBot="1" x14ac:dyDescent="0.3">
      <c r="A732" s="68">
        <v>2021003</v>
      </c>
      <c r="B732" s="70">
        <v>-6852793.9572459944</v>
      </c>
      <c r="C732" s="70">
        <v>-12970323.126164531</v>
      </c>
      <c r="D732" s="70">
        <v>14877196.8744503</v>
      </c>
      <c r="E732" s="54">
        <f>IF(B732&lt;&gt;"",hddtohms(getlatitude(B732,C732,D732)),"")</f>
        <v>45.354342021683337</v>
      </c>
      <c r="F732" s="54">
        <f>IF(B732&lt;&gt;"",hddtohms(-GetLongitude(B732,C732,D732)),"")</f>
        <v>117.50580920217396</v>
      </c>
      <c r="G732" s="59">
        <f t="shared" si="11"/>
        <v>3101.6252415554027</v>
      </c>
    </row>
    <row r="733" spans="1:7" ht="15.75" thickBot="1" x14ac:dyDescent="0.3">
      <c r="A733" s="68">
        <v>2021004</v>
      </c>
      <c r="B733" s="70">
        <v>-6909887.3563259384</v>
      </c>
      <c r="C733" s="70">
        <v>-12993395.289479898</v>
      </c>
      <c r="D733" s="70">
        <v>14830361.463897964</v>
      </c>
      <c r="E733" s="54">
        <f>IF(B733&lt;&gt;"",hddtohms(getlatitude(B733,C733,D733)),"")</f>
        <v>45.244757163951441</v>
      </c>
      <c r="F733" s="54">
        <f>IF(B733&lt;&gt;"",hddtohms(-GetLongitude(B733,C733,D733)),"")</f>
        <v>118.00145599415787</v>
      </c>
      <c r="G733" s="59">
        <f t="shared" si="11"/>
        <v>2721.3576556316948</v>
      </c>
    </row>
    <row r="734" spans="1:7" ht="15.75" thickBot="1" x14ac:dyDescent="0.3">
      <c r="A734" s="68">
        <v>2021005</v>
      </c>
      <c r="B734" s="70">
        <v>-6907560.5019981191</v>
      </c>
      <c r="C734" s="70">
        <v>-12994641.700385578</v>
      </c>
      <c r="D734" s="70">
        <v>14830345.721446576</v>
      </c>
      <c r="E734" s="54">
        <f>IF(B734&lt;&gt;"",hddtohms(getlatitude(B734,C734,D734)),"")</f>
        <v>45.244740508022616</v>
      </c>
      <c r="F734" s="54">
        <f>IF(B734&lt;&gt;"",hddtohms(-GetLongitude(B734,C734,D734)),"")</f>
        <v>117.59375629449877</v>
      </c>
      <c r="G734" s="59">
        <f t="shared" si="11"/>
        <v>2715.884116383937</v>
      </c>
    </row>
    <row r="735" spans="1:7" ht="15.75" thickBot="1" x14ac:dyDescent="0.3">
      <c r="A735" s="68">
        <v>2021006</v>
      </c>
      <c r="B735" s="70">
        <v>-6906680.8738457952</v>
      </c>
      <c r="C735" s="70">
        <v>-12992984.107218519</v>
      </c>
      <c r="D735" s="70">
        <v>14832219.952180328</v>
      </c>
      <c r="E735" s="54">
        <f>IF(B735&lt;&gt;"",hddtohms(getlatitude(B735,C735,D735)),"")</f>
        <v>45.251358602795023</v>
      </c>
      <c r="F735" s="54">
        <f>IF(B735&lt;&gt;"",hddtohms(-GetLongitude(B735,C735,D735)),"")</f>
        <v>117.59375814927668</v>
      </c>
      <c r="G735" s="59">
        <f t="shared" si="11"/>
        <v>2733.5528776220544</v>
      </c>
    </row>
    <row r="736" spans="1:7" ht="15.75" thickBot="1" x14ac:dyDescent="0.3">
      <c r="A736" s="68">
        <v>2021007</v>
      </c>
      <c r="B736" s="70">
        <v>-6941881.0144799361</v>
      </c>
      <c r="C736" s="70">
        <v>-12986320.567880912</v>
      </c>
      <c r="D736" s="70">
        <v>14824113.073707089</v>
      </c>
      <c r="E736" s="54">
        <f>IF(B736&lt;&gt;"",hddtohms(getlatitude(B736,C736,D736)),"")</f>
        <v>45.230234432457586</v>
      </c>
      <c r="F736" s="54">
        <f>IF(B736&lt;&gt;"",hddtohms(-GetLongitude(B736,C736,D736)),"")</f>
        <v>118.07367704244517</v>
      </c>
      <c r="G736" s="59">
        <f t="shared" si="11"/>
        <v>4458.2708106616501</v>
      </c>
    </row>
    <row r="737" spans="1:7" ht="15.75" thickBot="1" x14ac:dyDescent="0.3">
      <c r="A737" s="68">
        <v>2021008</v>
      </c>
      <c r="B737" s="70">
        <v>-6943514.2068868792</v>
      </c>
      <c r="C737" s="70">
        <v>-12989342.48703672</v>
      </c>
      <c r="D737" s="70">
        <v>14820017.218118628</v>
      </c>
      <c r="E737" s="54">
        <f>IF(B737&lt;&gt;"",hddtohms(getlatitude(B737,C737,D737)),"")</f>
        <v>45.220981147634959</v>
      </c>
      <c r="F737" s="54">
        <f>IF(B737&lt;&gt;"",hddtohms(-GetLongitude(B737,C737,D737)),"")</f>
        <v>118.07369904527302</v>
      </c>
      <c r="G737" s="59">
        <f t="shared" si="11"/>
        <v>3955.9596795761427</v>
      </c>
    </row>
    <row r="738" spans="1:7" ht="15.75" thickBot="1" x14ac:dyDescent="0.3">
      <c r="A738" s="68">
        <v>2021009</v>
      </c>
      <c r="B738" s="70">
        <v>-6939644.6877062507</v>
      </c>
      <c r="C738" s="70">
        <v>-12987754.861574445</v>
      </c>
      <c r="D738" s="70">
        <v>14824152.591520019</v>
      </c>
      <c r="E738" s="54">
        <f>IF(B738&lt;&gt;"",hddtohms(getlatitude(B738,C738,D738)),"")</f>
        <v>45.230113651955207</v>
      </c>
      <c r="F738" s="54">
        <f>IF(B738&lt;&gt;"",hddtohms(-GetLongitude(B738,C738,D738)),"")</f>
        <v>118.06596735494418</v>
      </c>
      <c r="G738" s="59">
        <f t="shared" si="11"/>
        <v>4634.5188847457648</v>
      </c>
    </row>
    <row r="739" spans="1:7" ht="15.75" thickBot="1" x14ac:dyDescent="0.3">
      <c r="A739" s="68">
        <v>2021010</v>
      </c>
      <c r="B739" s="70">
        <v>-6941953.5705164513</v>
      </c>
      <c r="C739" s="70">
        <v>-12992026.111009184</v>
      </c>
      <c r="D739" s="70">
        <v>14817838.466869932</v>
      </c>
      <c r="E739" s="54">
        <f>IF(B739&lt;&gt;"",hddtohms(getlatitude(B739,C739,D739)),"")</f>
        <v>45.214324268462171</v>
      </c>
      <c r="F739" s="54">
        <f>IF(B739&lt;&gt;"",hddtohms(-GetLongitude(B739,C739,D739)),"")</f>
        <v>118.07000028042094</v>
      </c>
      <c r="G739" s="59">
        <f t="shared" si="11"/>
        <v>3551.6046551510262</v>
      </c>
    </row>
    <row r="740" spans="1:7" ht="15.75" thickBot="1" x14ac:dyDescent="0.3">
      <c r="A740" s="68">
        <v>2022009</v>
      </c>
      <c r="B740" s="70">
        <v>-6900582.6169954417</v>
      </c>
      <c r="C740" s="70">
        <v>-12998280.533740902</v>
      </c>
      <c r="D740" s="70">
        <v>14830350.904989857</v>
      </c>
      <c r="E740" s="54">
        <f>IF(B740&lt;&gt;"",hddtohms(getlatitude(B740,C740,D740)),"")</f>
        <v>45.244786324866908</v>
      </c>
      <c r="F740" s="54">
        <f>IF(B740&lt;&gt;"",hddtohms(-GetLongitude(B740,C740,D740)),"")</f>
        <v>117.5747265203931</v>
      </c>
      <c r="G740" s="59">
        <f t="shared" si="11"/>
        <v>2677.4147891050961</v>
      </c>
    </row>
    <row r="741" spans="1:7" ht="15.75" thickBot="1" x14ac:dyDescent="0.3">
      <c r="A741" s="68">
        <v>2022010</v>
      </c>
      <c r="B741" s="70">
        <v>-6898224.7084748019</v>
      </c>
      <c r="C741" s="70">
        <v>-12999518.61737108</v>
      </c>
      <c r="D741" s="70">
        <v>14830338.42596882</v>
      </c>
      <c r="E741" s="54">
        <f>IF(B741&lt;&gt;"",hddtohms(getlatitude(B741,C741,D741)),"")</f>
        <v>45.244786010605672</v>
      </c>
      <c r="F741" s="54">
        <f>IF(B741&lt;&gt;"",hddtohms(-GetLongitude(B741,C741,D741)),"")</f>
        <v>117.57099384050763</v>
      </c>
      <c r="G741" s="59">
        <f t="shared" si="11"/>
        <v>2660.20650918098</v>
      </c>
    </row>
    <row r="742" spans="1:7" ht="15.75" thickBot="1" x14ac:dyDescent="0.3">
      <c r="A742" s="68">
        <v>2022011</v>
      </c>
      <c r="B742" s="70">
        <v>-6897311.7941251155</v>
      </c>
      <c r="C742" s="70">
        <v>-12997872.259320732</v>
      </c>
      <c r="D742" s="70">
        <v>14832196.577537941</v>
      </c>
      <c r="E742" s="54">
        <f>IF(B742&lt;&gt;"",hddtohms(getlatitude(B742,C742,D742)),"")</f>
        <v>45.251396964086673</v>
      </c>
      <c r="F742" s="54">
        <f>IF(B742&lt;&gt;"",hddtohms(-GetLongitude(B742,C742,D742)),"")</f>
        <v>117.57094521417164</v>
      </c>
      <c r="G742" s="59">
        <f t="shared" si="11"/>
        <v>2662.4423882278625</v>
      </c>
    </row>
    <row r="743" spans="1:7" ht="15.75" thickBot="1" x14ac:dyDescent="0.3">
      <c r="A743" s="68">
        <v>2022012</v>
      </c>
      <c r="B743" s="70">
        <v>-6898788.2090716148</v>
      </c>
      <c r="C743" s="70">
        <v>-12994992.560814086</v>
      </c>
      <c r="D743" s="70">
        <v>14834048.733002758</v>
      </c>
      <c r="E743" s="54">
        <f>IF(B743&lt;&gt;"",hddtohms(getlatitude(B743,C743,D743)),"")</f>
        <v>45.253982125877883</v>
      </c>
      <c r="F743" s="54">
        <f>IF(B743&lt;&gt;"",hddtohms(-GetLongitude(B743,C743,D743)),"")</f>
        <v>117.57466599998271</v>
      </c>
      <c r="G743" s="59">
        <f t="shared" si="11"/>
        <v>2682.3316961555938</v>
      </c>
    </row>
    <row r="744" spans="1:7" ht="15.75" thickBot="1" x14ac:dyDescent="0.3">
      <c r="A744" s="68">
        <v>2022013</v>
      </c>
      <c r="B744" s="70">
        <v>-6900058.7048805682</v>
      </c>
      <c r="C744" s="70">
        <v>-13002826.371161204</v>
      </c>
      <c r="D744" s="70">
        <v>14826620.696920667</v>
      </c>
      <c r="E744" s="54">
        <f>IF(B744&lt;&gt;"",hddtohms(getlatitude(B744,C744,D744)),"")</f>
        <v>45.235551076070479</v>
      </c>
      <c r="F744" s="54">
        <f>IF(B744&lt;&gt;"",hddtohms(-GetLongitude(B744,C744,D744)),"")</f>
        <v>117.57109128836262</v>
      </c>
      <c r="G744" s="59">
        <f t="shared" ref="G744:G807" si="12">IF(B744&lt;&gt;"",GetHeight(B744,C744,D744),"")</f>
        <v>2667.7394626963069</v>
      </c>
    </row>
    <row r="745" spans="1:7" ht="15.75" thickBot="1" x14ac:dyDescent="0.3">
      <c r="A745" s="68">
        <v>2022014</v>
      </c>
      <c r="B745" s="70">
        <v>-6899142.150229061</v>
      </c>
      <c r="C745" s="70">
        <v>-13001173.32001574</v>
      </c>
      <c r="D745" s="70">
        <v>14828480.541693872</v>
      </c>
      <c r="E745" s="54">
        <f>IF(B745&lt;&gt;"",hddtohms(getlatitude(B745,C745,D745)),"")</f>
        <v>45.242168565044665</v>
      </c>
      <c r="F745" s="54">
        <f>IF(B745&lt;&gt;"",hddtohms(-GetLongitude(B745,C745,D745)),"")</f>
        <v>117.57104257733324</v>
      </c>
      <c r="G745" s="59">
        <f t="shared" si="12"/>
        <v>2665.1608334136454</v>
      </c>
    </row>
    <row r="746" spans="1:7" ht="15.75" thickBot="1" x14ac:dyDescent="0.3">
      <c r="A746" s="68">
        <v>2022015</v>
      </c>
      <c r="B746" s="70">
        <v>-6902390.981912096</v>
      </c>
      <c r="C746" s="70">
        <v>-13001598.13064489</v>
      </c>
      <c r="D746" s="70">
        <v>14826629.112966131</v>
      </c>
      <c r="E746" s="54">
        <f>IF(B746&lt;&gt;"",hddtohms(getlatitude(B746,C746,D746)),"")</f>
        <v>45.235550906518888</v>
      </c>
      <c r="F746" s="54">
        <f>IF(B746&lt;&gt;"",hddtohms(-GetLongitude(B746,C746,D746)),"")</f>
        <v>117.57478481935736</v>
      </c>
      <c r="G746" s="59">
        <f t="shared" si="12"/>
        <v>2679.7289536370954</v>
      </c>
    </row>
    <row r="747" spans="1:7" ht="15.75" thickBot="1" x14ac:dyDescent="0.3">
      <c r="A747" s="68">
        <v>2022016</v>
      </c>
      <c r="B747" s="70">
        <v>-6848911.795995974</v>
      </c>
      <c r="C747" s="70">
        <v>-13007859.470510695</v>
      </c>
      <c r="D747" s="70">
        <v>14848350.747393405</v>
      </c>
      <c r="E747" s="54">
        <f>IF(B747&lt;&gt;"",hddtohms(getlatitude(B747,C747,D747)),"")</f>
        <v>45.284283344551127</v>
      </c>
      <c r="F747" s="54">
        <f>IF(B747&lt;&gt;"",hddtohms(-GetLongitude(B747,C747,D747)),"")</f>
        <v>117.4603897048072</v>
      </c>
      <c r="G747" s="59">
        <f t="shared" si="12"/>
        <v>4501.3010730523638</v>
      </c>
    </row>
    <row r="748" spans="1:7" ht="15.75" thickBot="1" x14ac:dyDescent="0.3">
      <c r="A748" s="68">
        <v>2022017</v>
      </c>
      <c r="B748" s="70">
        <v>-6848568.5238146046</v>
      </c>
      <c r="C748" s="70">
        <v>-13001534.167109489</v>
      </c>
      <c r="D748" s="70">
        <v>14853690.010787597</v>
      </c>
      <c r="E748" s="54">
        <f>IF(B748&lt;&gt;"",hddtohms(getlatitude(B748,C748,D748)),"")</f>
        <v>45.300030103885945</v>
      </c>
      <c r="F748" s="54">
        <f>IF(B748&lt;&gt;"",hddtohms(-GetLongitude(B748,C748,D748)),"")</f>
        <v>117.46409972925871</v>
      </c>
      <c r="G748" s="59">
        <f t="shared" si="12"/>
        <v>4273.2223591295806</v>
      </c>
    </row>
    <row r="749" spans="1:7" ht="15.75" thickBot="1" x14ac:dyDescent="0.3">
      <c r="A749" s="68">
        <v>2022018</v>
      </c>
      <c r="B749" s="70">
        <v>-6849901.087081844</v>
      </c>
      <c r="C749" s="70">
        <v>-12998443.223637598</v>
      </c>
      <c r="D749" s="70">
        <v>14855356.707384335</v>
      </c>
      <c r="E749" s="54">
        <f>IF(B749&lt;&gt;"",hddtohms(getlatitude(B749,C749,D749)),"")</f>
        <v>45.302671205919268</v>
      </c>
      <c r="F749" s="54">
        <f>IF(B749&lt;&gt;"",hddtohms(-GetLongitude(B749,C749,D749)),"")</f>
        <v>117.47177712933306</v>
      </c>
      <c r="G749" s="59">
        <f t="shared" si="12"/>
        <v>3980.8189117438851</v>
      </c>
    </row>
    <row r="750" spans="1:7" ht="15.75" thickBot="1" x14ac:dyDescent="0.3">
      <c r="A750" s="68">
        <v>2022019</v>
      </c>
      <c r="B750" s="70">
        <v>-6849829.5135623012</v>
      </c>
      <c r="C750" s="70">
        <v>-13009535.284648135</v>
      </c>
      <c r="D750" s="70">
        <v>14846490.42181549</v>
      </c>
      <c r="E750" s="54">
        <f>IF(B750&lt;&gt;"",hddtohms(getlatitude(B750,C750,D750)),"")</f>
        <v>45.281651316174759</v>
      </c>
      <c r="F750" s="54">
        <f>IF(B750&lt;&gt;"",hddtohms(-GetLongitude(B750,C750,D750)),"")</f>
        <v>117.46043360672063</v>
      </c>
      <c r="G750" s="59">
        <f t="shared" si="12"/>
        <v>4514.5988368948802</v>
      </c>
    </row>
    <row r="751" spans="1:7" ht="15.75" thickBot="1" x14ac:dyDescent="0.3">
      <c r="A751" s="68">
        <v>2023001</v>
      </c>
      <c r="B751" s="70">
        <v>-6877349.3432782451</v>
      </c>
      <c r="C751" s="70">
        <v>-13129715.91028744</v>
      </c>
      <c r="D751" s="70">
        <v>14726480.837664751</v>
      </c>
      <c r="E751" s="54">
        <f>IF(B751&lt;&gt;"",hddtohms(getlatitude(B751,C751,D751)),"")</f>
        <v>45.002685417497624</v>
      </c>
      <c r="F751" s="54">
        <f>IF(B751&lt;&gt;"",hddtohms(-GetLongitude(B751,C751,D751)),"")</f>
        <v>117.38440209753021</v>
      </c>
      <c r="G751" s="59">
        <f t="shared" si="12"/>
        <v>3232.6219819784274</v>
      </c>
    </row>
    <row r="752" spans="1:7" ht="15.75" thickBot="1" x14ac:dyDescent="0.3">
      <c r="A752" s="68">
        <v>2023002</v>
      </c>
      <c r="B752" s="70">
        <v>-6875698.6990369158</v>
      </c>
      <c r="C752" s="70">
        <v>-13126567.461557372</v>
      </c>
      <c r="D752" s="70">
        <v>14730418.473740529</v>
      </c>
      <c r="E752" s="54">
        <f>IF(B752&lt;&gt;"",hddtohms(getlatitude(B752,C752,D752)),"")</f>
        <v>45.011915595994893</v>
      </c>
      <c r="F752" s="54">
        <f>IF(B752&lt;&gt;"",hddtohms(-GetLongitude(B752,C752,D752)),"")</f>
        <v>117.38440026546752</v>
      </c>
      <c r="G752" s="59">
        <f t="shared" si="12"/>
        <v>3504.6147398101493</v>
      </c>
    </row>
    <row r="753" spans="1:7" ht="15.75" thickBot="1" x14ac:dyDescent="0.3">
      <c r="A753" s="68">
        <v>2023003</v>
      </c>
      <c r="B753" s="70">
        <v>-6876494.2767852638</v>
      </c>
      <c r="C753" s="70">
        <v>-13128092.992699951</v>
      </c>
      <c r="D753" s="70">
        <v>14728399.793655032</v>
      </c>
      <c r="E753" s="54">
        <f>IF(B753&lt;&gt;"",hddtohms(getlatitude(B753,C753,D753)),"")</f>
        <v>45.005305482353634</v>
      </c>
      <c r="F753" s="54">
        <f>IF(B753&lt;&gt;"",hddtohms(-GetLongitude(B753,C753,D753)),"")</f>
        <v>117.38439595551552</v>
      </c>
      <c r="G753" s="59">
        <f t="shared" si="12"/>
        <v>3292.9344102788764</v>
      </c>
    </row>
    <row r="754" spans="1:7" ht="15.75" thickBot="1" x14ac:dyDescent="0.3">
      <c r="A754" s="68">
        <v>2023004</v>
      </c>
      <c r="B754" s="70">
        <v>-6875052.9361105105</v>
      </c>
      <c r="C754" s="70">
        <v>-13131029.113272248</v>
      </c>
      <c r="D754" s="70">
        <v>14726593.142232772</v>
      </c>
      <c r="E754" s="54">
        <f>IF(B754&lt;&gt;"",hddtohms(getlatitude(B754,C754,D754)),"")</f>
        <v>45.002695396080391</v>
      </c>
      <c r="F754" s="54">
        <f>IF(B754&lt;&gt;"",hddtohms(-GetLongitude(B754,C754,D754)),"")</f>
        <v>117.38072326824168</v>
      </c>
      <c r="G754" s="59">
        <f t="shared" si="12"/>
        <v>3381.3187010127403</v>
      </c>
    </row>
    <row r="755" spans="1:7" ht="15.75" thickBot="1" x14ac:dyDescent="0.3">
      <c r="A755" s="68">
        <v>2023005</v>
      </c>
      <c r="B755" s="70">
        <v>-6876225.6766971247</v>
      </c>
      <c r="C755" s="70">
        <v>-13115899.54478424</v>
      </c>
      <c r="D755" s="70">
        <v>14739794.00323979</v>
      </c>
      <c r="E755" s="54">
        <f>IF(B755&lt;&gt;"",hddtohms(getlatitude(B755,C755,D755)),"")</f>
        <v>45.032885315002105</v>
      </c>
      <c r="F755" s="54">
        <f>IF(B755&lt;&gt;"",hddtohms(-GetLongitude(B755,C755,D755)),"")</f>
        <v>117.39594482926536</v>
      </c>
      <c r="G755" s="59">
        <f t="shared" si="12"/>
        <v>3634.7198773948694</v>
      </c>
    </row>
    <row r="756" spans="1:7" ht="15.75" thickBot="1" x14ac:dyDescent="0.3">
      <c r="A756" s="68">
        <v>2023006</v>
      </c>
      <c r="B756" s="70">
        <v>-6877065.8137513557</v>
      </c>
      <c r="C756" s="70">
        <v>-13117532.184987415</v>
      </c>
      <c r="D756" s="70">
        <v>14737926.668346127</v>
      </c>
      <c r="E756" s="54">
        <f>IF(B756&lt;&gt;"",hddtohms(getlatitude(B756,C756,D756)),"")</f>
        <v>45.03030018659296</v>
      </c>
      <c r="F756" s="54">
        <f>IF(B756&lt;&gt;"",hddtohms(-GetLongitude(B756,C756,D756)),"")</f>
        <v>117.39592533947041</v>
      </c>
      <c r="G756" s="59">
        <f t="shared" si="12"/>
        <v>3610.1239269690304</v>
      </c>
    </row>
    <row r="757" spans="1:7" ht="15.75" thickBot="1" x14ac:dyDescent="0.3">
      <c r="A757" s="68">
        <v>2023007</v>
      </c>
      <c r="B757" s="70">
        <v>-6873370.0646015191</v>
      </c>
      <c r="C757" s="70">
        <v>-13127866.404257257</v>
      </c>
      <c r="D757" s="70">
        <v>14730460.429264121</v>
      </c>
      <c r="E757" s="54">
        <f>IF(B757&lt;&gt;"",hddtohms(getlatitude(B757,C757,D757)),"")</f>
        <v>45.011895709487341</v>
      </c>
      <c r="F757" s="54">
        <f>IF(B757&lt;&gt;"",hddtohms(-GetLongitude(B757,C757,D757)),"")</f>
        <v>117.38069001950569</v>
      </c>
      <c r="G757" s="59">
        <f t="shared" si="12"/>
        <v>3584.0550646490537</v>
      </c>
    </row>
    <row r="758" spans="1:7" ht="15.75" thickBot="1" x14ac:dyDescent="0.3">
      <c r="A758" s="68">
        <v>2023008</v>
      </c>
      <c r="B758" s="70">
        <v>-6871041.1172014205</v>
      </c>
      <c r="C758" s="70">
        <v>-13129105.408972165</v>
      </c>
      <c r="D758" s="70">
        <v>14730477.964105524</v>
      </c>
      <c r="E758" s="54">
        <f>IF(B758&lt;&gt;"",hddtohms(getlatitude(B758,C758,D758)),"")</f>
        <v>45.011895633544036</v>
      </c>
      <c r="F758" s="54">
        <f>IF(B758&lt;&gt;"",hddtohms(-GetLongitude(B758,C758,D758)),"")</f>
        <v>117.37301810828313</v>
      </c>
      <c r="G758" s="59">
        <f t="shared" si="12"/>
        <v>3608.9204585960506</v>
      </c>
    </row>
    <row r="759" spans="1:7" ht="15.75" thickBot="1" x14ac:dyDescent="0.3">
      <c r="A759" s="68">
        <v>2023009</v>
      </c>
      <c r="B759" s="70">
        <v>-6870284.3833736237</v>
      </c>
      <c r="C759" s="70">
        <v>-13127604.968897637</v>
      </c>
      <c r="D759" s="70">
        <v>14732512.684044328</v>
      </c>
      <c r="E759" s="54">
        <f>IF(B759&lt;&gt;"",hddtohms(getlatitude(B759,C759,D759)),"")</f>
        <v>45.014488764685865</v>
      </c>
      <c r="F759" s="54">
        <f>IF(B759&lt;&gt;"",hddtohms(-GetLongitude(B759,C759,D759)),"")</f>
        <v>117.37305327623895</v>
      </c>
      <c r="G759" s="59">
        <f t="shared" si="12"/>
        <v>3860.7206649484815</v>
      </c>
    </row>
    <row r="760" spans="1:7" ht="15.75" thickBot="1" x14ac:dyDescent="0.3">
      <c r="A760" s="68">
        <v>2023010</v>
      </c>
      <c r="B760" s="70">
        <v>-6874690.2245504949</v>
      </c>
      <c r="C760" s="70">
        <v>-13118767.185733492</v>
      </c>
      <c r="D760" s="70">
        <v>14737931.108837368</v>
      </c>
      <c r="E760" s="54">
        <f>IF(B760&lt;&gt;"",hddtohms(getlatitude(B760,C760,D760)),"")</f>
        <v>45.030309573342215</v>
      </c>
      <c r="F760" s="54">
        <f>IF(B760&lt;&gt;"",hddtohms(-GetLongitude(B760,C760,D760)),"")</f>
        <v>117.39219662472671</v>
      </c>
      <c r="G760" s="59">
        <f t="shared" si="12"/>
        <v>3606.9064624817511</v>
      </c>
    </row>
    <row r="761" spans="1:7" ht="15.75" thickBot="1" x14ac:dyDescent="0.3">
      <c r="A761" s="68">
        <v>2023011</v>
      </c>
      <c r="B761" s="70">
        <v>-6869795.3786210194</v>
      </c>
      <c r="C761" s="70">
        <v>-13138150.470049731</v>
      </c>
      <c r="D761" s="70">
        <v>14722933.982692271</v>
      </c>
      <c r="E761" s="54">
        <f>IF(B761&lt;&gt;"",hddtohms(getlatitude(B761,C761,D761)),"")</f>
        <v>44.593437924525787</v>
      </c>
      <c r="F761" s="54">
        <f>IF(B761&lt;&gt;"",hddtohms(-GetLongitude(B761,C761,D761)),"")</f>
        <v>117.3616475662521</v>
      </c>
      <c r="G761" s="59">
        <f t="shared" si="12"/>
        <v>3532.0808832753246</v>
      </c>
    </row>
    <row r="762" spans="1:7" ht="15.75" thickBot="1" x14ac:dyDescent="0.3">
      <c r="A762" s="68">
        <v>2023012</v>
      </c>
      <c r="B762" s="70">
        <v>-6867583.5829506591</v>
      </c>
      <c r="C762" s="70">
        <v>-13139619.518364294</v>
      </c>
      <c r="D762" s="70">
        <v>14723270.658882495</v>
      </c>
      <c r="E762" s="54">
        <f>IF(B762&lt;&gt;"",hddtohms(getlatitude(B762,C762,D762)),"")</f>
        <v>44.593479505901684</v>
      </c>
      <c r="F762" s="54">
        <f>IF(B762&lt;&gt;"",hddtohms(-GetLongitude(B762,C762,D762)),"")</f>
        <v>117.35397371341021</v>
      </c>
      <c r="G762" s="59">
        <f t="shared" si="12"/>
        <v>3966.1403840201619</v>
      </c>
    </row>
    <row r="763" spans="1:7" ht="15.75" thickBot="1" x14ac:dyDescent="0.3">
      <c r="A763" s="68">
        <v>2023013</v>
      </c>
      <c r="B763" s="70">
        <v>-6873615.1286466438</v>
      </c>
      <c r="C763" s="70">
        <v>-12953132.833341401</v>
      </c>
      <c r="D763" s="70">
        <v>14882635.500747101</v>
      </c>
      <c r="E763" s="54">
        <f>IF(B763&lt;&gt;"",hddtohms(getlatitude(B763,C763,D763)),"")</f>
        <v>45.365941066246982</v>
      </c>
      <c r="F763" s="54">
        <f>IF(B763&lt;&gt;"",hddtohms(-GetLongitude(B763,C763,D763)),"")</f>
        <v>117.57100023206915</v>
      </c>
      <c r="G763" s="59">
        <f t="shared" si="12"/>
        <v>3175.8303159156039</v>
      </c>
    </row>
    <row r="764" spans="1:7" ht="15.75" thickBot="1" x14ac:dyDescent="0.3">
      <c r="A764" s="68">
        <v>2023014</v>
      </c>
      <c r="B764" s="70">
        <v>-6896441.5735261738</v>
      </c>
      <c r="C764" s="70">
        <v>-12996216.268839093</v>
      </c>
      <c r="D764" s="70">
        <v>14834024.479676884</v>
      </c>
      <c r="E764" s="54">
        <f>IF(B764&lt;&gt;"",hddtohms(getlatitude(B764,C764,D764)),"")</f>
        <v>45.253978867055096</v>
      </c>
      <c r="F764" s="54">
        <f>IF(B764&lt;&gt;"",hddtohms(-GetLongitude(B764,C764,D764)),"")</f>
        <v>117.57095577717666</v>
      </c>
      <c r="G764" s="59">
        <f t="shared" si="12"/>
        <v>2651.5377822421106</v>
      </c>
    </row>
    <row r="765" spans="1:7" ht="15.75" thickBot="1" x14ac:dyDescent="0.3">
      <c r="A765" s="68">
        <v>2023015</v>
      </c>
      <c r="B765" s="70">
        <v>-6894095.0100808833</v>
      </c>
      <c r="C765" s="70">
        <v>-12997440.063964043</v>
      </c>
      <c r="D765" s="70">
        <v>14834000.34155089</v>
      </c>
      <c r="E765" s="54">
        <f>IF(B765&lt;&gt;"",hddtohms(getlatitude(B765,C765,D765)),"")</f>
        <v>45.253975275402205</v>
      </c>
      <c r="F765" s="54">
        <f>IF(B765&lt;&gt;"",hddtohms(-GetLongitude(B765,C765,D765)),"")</f>
        <v>117.56324557685519</v>
      </c>
      <c r="G765" s="59">
        <f t="shared" si="12"/>
        <v>2621.237733082753</v>
      </c>
    </row>
    <row r="766" spans="1:7" ht="15.75" thickBot="1" x14ac:dyDescent="0.3">
      <c r="A766" s="68">
        <v>2023016</v>
      </c>
      <c r="B766" s="70">
        <v>-6891758.5205665138</v>
      </c>
      <c r="C766" s="70">
        <v>-12998682.826779688</v>
      </c>
      <c r="D766" s="70">
        <v>14833997.98370521</v>
      </c>
      <c r="E766" s="54">
        <f>IF(B766&lt;&gt;"",hddtohms(getlatitude(B766,C766,D766)),"")</f>
        <v>45.253971335349988</v>
      </c>
      <c r="F766" s="54">
        <f>IF(B766&lt;&gt;"",hddtohms(-GetLongitude(B766,C766,D766)),"")</f>
        <v>117.55553538887504</v>
      </c>
      <c r="G766" s="59">
        <f t="shared" si="12"/>
        <v>2621.8599624626841</v>
      </c>
    </row>
    <row r="767" spans="1:7" ht="15.75" thickBot="1" x14ac:dyDescent="0.3">
      <c r="A767" s="68">
        <v>2023017</v>
      </c>
      <c r="B767" s="70">
        <v>-6889446.0555329612</v>
      </c>
      <c r="C767" s="70">
        <v>-12999970.950974295</v>
      </c>
      <c r="D767" s="70">
        <v>14834054.798410287</v>
      </c>
      <c r="E767" s="54">
        <f>IF(B767&lt;&gt;"",hddtohms(getlatitude(B767,C767,D767)),"")</f>
        <v>45.25397195855637</v>
      </c>
      <c r="F767" s="54">
        <f>IF(B767&lt;&gt;"",hddtohms(-GetLongitude(B767,C767,D767)),"")</f>
        <v>117.55182518387628</v>
      </c>
      <c r="G767" s="59">
        <f t="shared" si="12"/>
        <v>2700.9930163462632</v>
      </c>
    </row>
    <row r="768" spans="1:7" ht="15.75" thickBot="1" x14ac:dyDescent="0.3">
      <c r="A768" s="68">
        <v>2023018</v>
      </c>
      <c r="B768" s="70">
        <v>-6887239.014310536</v>
      </c>
      <c r="C768" s="70">
        <v>-13001458.191269154</v>
      </c>
      <c r="D768" s="70">
        <v>14834326.194713423</v>
      </c>
      <c r="E768" s="54">
        <f>IF(B768&lt;&gt;"",hddtohms(getlatitude(B768,C768,D768)),"")</f>
        <v>45.253962471510867</v>
      </c>
      <c r="F768" s="54">
        <f>IF(B768&lt;&gt;"",hddtohms(-GetLongitude(B768,C768,D768)),"")</f>
        <v>117.54411494037549</v>
      </c>
      <c r="G768" s="59">
        <f t="shared" si="12"/>
        <v>3091.4402255321256</v>
      </c>
    </row>
    <row r="769" spans="1:7" ht="15.75" thickBot="1" x14ac:dyDescent="0.3">
      <c r="A769" s="68">
        <v>2024001</v>
      </c>
      <c r="B769" s="70">
        <v>-6899079.5749845849</v>
      </c>
      <c r="C769" s="70">
        <v>-13063323.254692428</v>
      </c>
      <c r="D769" s="70">
        <v>14774573.318072103</v>
      </c>
      <c r="E769" s="54">
        <f>IF(B769&lt;&gt;"",hddtohms(getlatitude(B769,C769,D769)),"")</f>
        <v>45.114214687032039</v>
      </c>
      <c r="F769" s="54">
        <f>IF(B769&lt;&gt;"",hddtohms(-GetLongitude(B769,C769,D769)),"")</f>
        <v>117.50229032666297</v>
      </c>
      <c r="G769" s="59">
        <f t="shared" si="12"/>
        <v>2962.6080052690468</v>
      </c>
    </row>
    <row r="770" spans="1:7" ht="15.75" thickBot="1" x14ac:dyDescent="0.3">
      <c r="A770" s="68">
        <v>2024002</v>
      </c>
      <c r="B770" s="70">
        <v>-6908016.9921616027</v>
      </c>
      <c r="C770" s="70">
        <v>-13017818.776425164</v>
      </c>
      <c r="D770" s="70">
        <v>14809827.425641015</v>
      </c>
      <c r="E770" s="54">
        <f>IF(B770&lt;&gt;"",hddtohms(getlatitude(B770,C770,D770)),"")</f>
        <v>45.195980012722984</v>
      </c>
      <c r="F770" s="54">
        <f>IF(B770&lt;&gt;"",hddtohms(-GetLongitude(B770,C770,D770)),"")</f>
        <v>117.5710943073299</v>
      </c>
      <c r="G770" s="59">
        <f t="shared" si="12"/>
        <v>2642.7918925682461</v>
      </c>
    </row>
    <row r="771" spans="1:7" ht="15.75" thickBot="1" x14ac:dyDescent="0.3">
      <c r="A771" s="68">
        <v>2024003</v>
      </c>
      <c r="B771" s="70">
        <v>-6898628.9103323305</v>
      </c>
      <c r="C771" s="70">
        <v>-13022758.176832886</v>
      </c>
      <c r="D771" s="70">
        <v>14809856.014392255</v>
      </c>
      <c r="E771" s="54">
        <f>IF(B771&lt;&gt;"",hddtohms(getlatitude(B771,C771,D771)),"")</f>
        <v>45.200023508390998</v>
      </c>
      <c r="F771" s="54">
        <f>IF(B771&lt;&gt;"",hddtohms(-GetLongitude(B771,C771,D771)),"")</f>
        <v>117.54424689946165</v>
      </c>
      <c r="G771" s="59">
        <f t="shared" si="12"/>
        <v>2639.43875312815</v>
      </c>
    </row>
    <row r="772" spans="1:7" ht="15.75" thickBot="1" x14ac:dyDescent="0.3">
      <c r="A772" s="68">
        <v>2024004</v>
      </c>
      <c r="B772" s="70">
        <v>-6917283.3101750789</v>
      </c>
      <c r="C772" s="70">
        <v>-13012910.483595559</v>
      </c>
      <c r="D772" s="70">
        <v>14809824.282994334</v>
      </c>
      <c r="E772" s="54">
        <f>IF(B772&lt;&gt;"",hddtohms(getlatitude(B772,C772,D772)),"")</f>
        <v>45.195969656913363</v>
      </c>
      <c r="F772" s="54">
        <f>IF(B772&lt;&gt;"",hddtohms(-GetLongitude(B772,C772,D772)),"")</f>
        <v>117.59377072043341</v>
      </c>
      <c r="G772" s="59">
        <f t="shared" si="12"/>
        <v>2648.7420537467078</v>
      </c>
    </row>
    <row r="773" spans="1:7" ht="15.75" thickBot="1" x14ac:dyDescent="0.3">
      <c r="A773" s="68">
        <v>2024005</v>
      </c>
      <c r="B773" s="70">
        <v>-6916388.4981073597</v>
      </c>
      <c r="C773" s="70">
        <v>-13011268.866728628</v>
      </c>
      <c r="D773" s="70">
        <v>14811666.280550255</v>
      </c>
      <c r="E773" s="54">
        <f>IF(B773&lt;&gt;"",hddtohms(getlatitude(B773,C773,D773)),"")</f>
        <v>45.202560551533871</v>
      </c>
      <c r="F773" s="54">
        <f>IF(B773&lt;&gt;"",hddtohms(-GetLongitude(B773,C773,D773)),"")</f>
        <v>117.5937433098732</v>
      </c>
      <c r="G773" s="59">
        <f t="shared" si="12"/>
        <v>2644.690393142082</v>
      </c>
    </row>
    <row r="774" spans="1:7" ht="15.75" thickBot="1" x14ac:dyDescent="0.3">
      <c r="A774" s="68">
        <v>2024006</v>
      </c>
      <c r="B774" s="70">
        <v>-6914189.7832984664</v>
      </c>
      <c r="C774" s="70">
        <v>-13012434.571674045</v>
      </c>
      <c r="D774" s="70">
        <v>14811665.687983546</v>
      </c>
      <c r="E774" s="54">
        <f>IF(B774&lt;&gt;"",hddtohms(getlatitude(B774,C774,D774)),"")</f>
        <v>45.202561892497215</v>
      </c>
      <c r="F774" s="54">
        <f>IF(B774&lt;&gt;"",hddtohms(-GetLongitude(B774,C774,D774)),"")</f>
        <v>117.59025974773907</v>
      </c>
      <c r="G774" s="59">
        <f t="shared" si="12"/>
        <v>2642.5149883171161</v>
      </c>
    </row>
    <row r="775" spans="1:7" ht="15.75" thickBot="1" x14ac:dyDescent="0.3">
      <c r="A775" s="68">
        <v>2024007</v>
      </c>
      <c r="B775" s="70">
        <v>-6911845.5297893286</v>
      </c>
      <c r="C775" s="70">
        <v>-13013680.823593998</v>
      </c>
      <c r="D775" s="70">
        <v>14811663.740044666</v>
      </c>
      <c r="E775" s="54">
        <f>IF(B775&lt;&gt;"",hddtohms(getlatitude(B775,C775,D775)),"")</f>
        <v>45.202559984159734</v>
      </c>
      <c r="F775" s="54">
        <f>IF(B775&lt;&gt;"",hddtohms(-GetLongitude(B775,C775,D775)),"")</f>
        <v>117.58254337512098</v>
      </c>
      <c r="G775" s="59">
        <f t="shared" si="12"/>
        <v>2641.6866847747806</v>
      </c>
    </row>
    <row r="776" spans="1:7" ht="15.75" thickBot="1" x14ac:dyDescent="0.3">
      <c r="A776" s="68">
        <v>2024008</v>
      </c>
      <c r="B776" s="70">
        <v>-6902468.9293482844</v>
      </c>
      <c r="C776" s="70">
        <v>-13018646.156681269</v>
      </c>
      <c r="D776" s="70">
        <v>14811665.427588997</v>
      </c>
      <c r="E776" s="54">
        <f>IF(B776&lt;&gt;"",hddtohms(getlatitude(B776,C776,D776)),"")</f>
        <v>45.202567639074758</v>
      </c>
      <c r="F776" s="54">
        <f>IF(B776&lt;&gt;"",hddtohms(-GetLongitude(B776,C776,D776)),"")</f>
        <v>117.55569130456701</v>
      </c>
      <c r="G776" s="59">
        <f t="shared" si="12"/>
        <v>2636.3964969646222</v>
      </c>
    </row>
    <row r="777" spans="1:7" ht="15.75" thickBot="1" x14ac:dyDescent="0.3">
      <c r="A777" s="68">
        <v>2024009</v>
      </c>
      <c r="B777" s="70">
        <v>-6909515.8191708485</v>
      </c>
      <c r="C777" s="70">
        <v>-13014949.012693696</v>
      </c>
      <c r="D777" s="70">
        <v>14811641.241094584</v>
      </c>
      <c r="E777" s="54">
        <f>IF(B777&lt;&gt;"",hddtohms(getlatitude(B777,C777,D777)),"")</f>
        <v>45.202525086136696</v>
      </c>
      <c r="F777" s="54">
        <f>IF(B777&lt;&gt;"",hddtohms(-GetLongitude(B777,C777,D777)),"")</f>
        <v>117.57483058434433</v>
      </c>
      <c r="G777" s="59">
        <f t="shared" si="12"/>
        <v>2644.9892280899585</v>
      </c>
    </row>
    <row r="778" spans="1:7" ht="15.75" thickBot="1" x14ac:dyDescent="0.3">
      <c r="A778" s="68">
        <v>2024010</v>
      </c>
      <c r="B778" s="70">
        <v>-6904818.1583567234</v>
      </c>
      <c r="C778" s="70">
        <v>-13017414.263251854</v>
      </c>
      <c r="D778" s="70">
        <v>14811658.05392364</v>
      </c>
      <c r="E778" s="54">
        <f>IF(B778&lt;&gt;"",hddtohms(getlatitude(B778,C778,D778)),"")</f>
        <v>45.202553877706649</v>
      </c>
      <c r="F778" s="54">
        <f>IF(B778&lt;&gt;"",hddtohms(-GetLongitude(B778,C778,D778)),"")</f>
        <v>117.56340441253079</v>
      </c>
      <c r="G778" s="59">
        <f t="shared" si="12"/>
        <v>2639.8053042197171</v>
      </c>
    </row>
    <row r="779" spans="1:7" ht="15.75" thickBot="1" x14ac:dyDescent="0.3">
      <c r="A779" s="68">
        <v>2024011</v>
      </c>
      <c r="B779" s="70">
        <v>-6897161.1280111456</v>
      </c>
      <c r="C779" s="70">
        <v>-13025696.333313178</v>
      </c>
      <c r="D779" s="70">
        <v>14807991.272713447</v>
      </c>
      <c r="E779" s="54">
        <f>IF(B779&lt;&gt;"",hddtohms(getlatitude(B779,C779,D779)),"")</f>
        <v>45.193388767928177</v>
      </c>
      <c r="F779" s="54">
        <f>IF(B779&lt;&gt;"",hddtohms(-GetLongitude(B779,C779,D779)),"")</f>
        <v>117.5405069966655</v>
      </c>
      <c r="G779" s="59">
        <f t="shared" si="12"/>
        <v>2655.738554696658</v>
      </c>
    </row>
    <row r="780" spans="1:7" ht="15.75" thickBot="1" x14ac:dyDescent="0.3">
      <c r="A780" s="68">
        <v>2024012</v>
      </c>
      <c r="B780" s="70">
        <v>-6900113.255149357</v>
      </c>
      <c r="C780" s="70">
        <v>-13019907.38470375</v>
      </c>
      <c r="D780" s="70">
        <v>14811659.678259889</v>
      </c>
      <c r="E780" s="54">
        <f>IF(B780&lt;&gt;"",hddtohms(getlatitude(B780,C780,D780)),"")</f>
        <v>45.202555878308488</v>
      </c>
      <c r="F780" s="54">
        <f>IF(B780&lt;&gt;"",hddtohms(-GetLongitude(B780,C780,D780)),"")</f>
        <v>117.55195099042605</v>
      </c>
      <c r="G780" s="59">
        <f t="shared" si="12"/>
        <v>2640.0863014254483</v>
      </c>
    </row>
    <row r="781" spans="1:7" ht="15.75" thickBot="1" x14ac:dyDescent="0.3">
      <c r="A781" s="68">
        <v>2024013</v>
      </c>
      <c r="B781" s="70">
        <v>-6897764.4103509774</v>
      </c>
      <c r="C781" s="70">
        <v>-13021135.551736234</v>
      </c>
      <c r="D781" s="70">
        <v>14811680.239421347</v>
      </c>
      <c r="E781" s="54">
        <f>IF(B781&lt;&gt;"",hddtohms(getlatitude(B781,C781,D781)),"")</f>
        <v>45.202580303140202</v>
      </c>
      <c r="F781" s="54">
        <f>IF(B781&lt;&gt;"",hddtohms(-GetLongitude(B781,C781,D781)),"")</f>
        <v>117.54424079330543</v>
      </c>
      <c r="G781" s="59">
        <f t="shared" si="12"/>
        <v>2644.5433135619314</v>
      </c>
    </row>
    <row r="782" spans="1:7" ht="15.75" thickBot="1" x14ac:dyDescent="0.3">
      <c r="A782" s="68">
        <v>2024014</v>
      </c>
      <c r="B782" s="70">
        <v>-6895427.8032368608</v>
      </c>
      <c r="C782" s="70">
        <v>-13022386.519648461</v>
      </c>
      <c r="D782" s="70">
        <v>14811672.266076196</v>
      </c>
      <c r="E782" s="54">
        <f>IF(B782&lt;&gt;"",hddtohms(getlatitude(B782,C782,D782)),"")</f>
        <v>45.202566423214741</v>
      </c>
      <c r="F782" s="54">
        <f>IF(B782&lt;&gt;"",hddtohms(-GetLongitude(B782,C782,D782)),"")</f>
        <v>117.54053079250561</v>
      </c>
      <c r="G782" s="59">
        <f t="shared" si="12"/>
        <v>2647.2277127673351</v>
      </c>
    </row>
    <row r="783" spans="1:7" ht="15.75" thickBot="1" x14ac:dyDescent="0.3">
      <c r="A783" s="68">
        <v>2024015</v>
      </c>
      <c r="B783" s="70">
        <v>-6894817.0555695407</v>
      </c>
      <c r="C783" s="70">
        <v>-13026947.701125296</v>
      </c>
      <c r="D783" s="70">
        <v>14807952.141585225</v>
      </c>
      <c r="E783" s="54">
        <f>IF(B783&lt;&gt;"",hddtohms(getlatitude(B783,C783,D783)),"")</f>
        <v>45.193355129854346</v>
      </c>
      <c r="F783" s="54">
        <f>IF(B783&lt;&gt;"",hddtohms(-GetLongitude(B783,C783,D783)),"")</f>
        <v>117.53278844690959</v>
      </c>
      <c r="G783" s="59">
        <f t="shared" si="12"/>
        <v>2634.4000922124342</v>
      </c>
    </row>
    <row r="784" spans="1:7" ht="15.75" thickBot="1" x14ac:dyDescent="0.3">
      <c r="A784" s="68">
        <v>2024016</v>
      </c>
      <c r="B784" s="70">
        <v>-6915932.4650564156</v>
      </c>
      <c r="C784" s="70">
        <v>-13015770.489518803</v>
      </c>
      <c r="D784" s="70">
        <v>14807952.255817655</v>
      </c>
      <c r="E784" s="54">
        <f>IF(B784&lt;&gt;"",hddtohms(getlatitude(B784,C784,D784)),"")</f>
        <v>45.193342476500369</v>
      </c>
      <c r="F784" s="54">
        <f>IF(B784&lt;&gt;"",hddtohms(-GetLongitude(B784,C784,D784)),"")</f>
        <v>117.59022283814393</v>
      </c>
      <c r="G784" s="59">
        <f t="shared" si="12"/>
        <v>2647.2332956214887</v>
      </c>
    </row>
    <row r="785" spans="1:7" ht="15.75" thickBot="1" x14ac:dyDescent="0.3">
      <c r="A785" s="68">
        <v>2024017</v>
      </c>
      <c r="B785" s="70">
        <v>-6904228.2062929645</v>
      </c>
      <c r="C785" s="70">
        <v>-13021955.722424602</v>
      </c>
      <c r="D785" s="70">
        <v>14807962.40240813</v>
      </c>
      <c r="E785" s="54">
        <f>IF(B785&lt;&gt;"",hddtohms(getlatitude(B785,C785,D785)),"")</f>
        <v>45.193366316093218</v>
      </c>
      <c r="F785" s="54">
        <f>IF(B785&lt;&gt;"",hddtohms(-GetLongitude(B785,C785,D785)),"")</f>
        <v>117.55569692970465</v>
      </c>
      <c r="G785" s="59">
        <f t="shared" si="12"/>
        <v>2637.6260151403985</v>
      </c>
    </row>
    <row r="786" spans="1:7" ht="15.75" thickBot="1" x14ac:dyDescent="0.3">
      <c r="A786" s="68">
        <v>2024018</v>
      </c>
      <c r="B786" s="70">
        <v>-6906545.4780235672</v>
      </c>
      <c r="C786" s="70">
        <v>-13020718.524421506</v>
      </c>
      <c r="D786" s="70">
        <v>14807971.356069399</v>
      </c>
      <c r="E786" s="54">
        <f>IF(B786&lt;&gt;"",hddtohms(getlatitude(B786,C786,D786)),"")</f>
        <v>45.193377689424658</v>
      </c>
      <c r="F786" s="54">
        <f>IF(B786&lt;&gt;"",hddtohms(-GetLongitude(B786,C786,D786)),"")</f>
        <v>117.56337306347379</v>
      </c>
      <c r="G786" s="59">
        <f t="shared" si="12"/>
        <v>2638.8263893689927</v>
      </c>
    </row>
    <row r="787" spans="1:7" ht="15.75" thickBot="1" x14ac:dyDescent="0.3">
      <c r="A787" s="68">
        <v>2024019</v>
      </c>
      <c r="B787" s="70">
        <v>-6899508.7005932527</v>
      </c>
      <c r="C787" s="70">
        <v>-13024437.044192141</v>
      </c>
      <c r="D787" s="70">
        <v>14807975.599856792</v>
      </c>
      <c r="E787" s="54">
        <f>IF(B787&lt;&gt;"",hddtohms(getlatitude(B787,C787,D787)),"")</f>
        <v>45.193387796029931</v>
      </c>
      <c r="F787" s="54">
        <f>IF(B787&lt;&gt;"",hddtohms(-GetLongitude(B787,C787,D787)),"")</f>
        <v>117.54423506861403</v>
      </c>
      <c r="G787" s="59">
        <f t="shared" si="12"/>
        <v>2634.67223125278</v>
      </c>
    </row>
    <row r="788" spans="1:7" ht="15.75" thickBot="1" x14ac:dyDescent="0.3">
      <c r="A788" s="68"/>
      <c r="B788" s="70"/>
      <c r="C788" s="70"/>
      <c r="D788" s="70"/>
      <c r="E788" s="54" t="str">
        <f>IF(B788&lt;&gt;"",hddtohms(getlatitude(B788,C788,D788)),"")</f>
        <v/>
      </c>
      <c r="F788" s="54" t="str">
        <f>IF(B788&lt;&gt;"",hddtohms(-GetLongitude(B788,C788,D788)),"")</f>
        <v/>
      </c>
      <c r="G788" s="59" t="str">
        <f t="shared" si="12"/>
        <v/>
      </c>
    </row>
    <row r="789" spans="1:7" ht="15.75" thickBot="1" x14ac:dyDescent="0.3">
      <c r="A789" s="68" t="s">
        <v>10</v>
      </c>
      <c r="B789" s="70">
        <v>-6940119.6681554625</v>
      </c>
      <c r="C789" s="70">
        <v>-13092146.64883635</v>
      </c>
      <c r="D789" s="70">
        <v>14730434.619503399</v>
      </c>
      <c r="E789" s="54">
        <f>IF(B789&lt;&gt;"",hddtohms(getlatitude(B789,C789,D789)),"")</f>
        <v>45.012220016999606</v>
      </c>
      <c r="F789" s="54">
        <f>IF(B789&lt;&gt;"",hddtohms(-GetLongitude(B789,C789,D789)),"")</f>
        <v>117.55406900299998</v>
      </c>
      <c r="G789" s="59">
        <f t="shared" si="12"/>
        <v>3219.314122201833</v>
      </c>
    </row>
    <row r="790" spans="1:7" ht="15.75" thickBot="1" x14ac:dyDescent="0.3">
      <c r="A790" s="68">
        <v>9213</v>
      </c>
      <c r="B790" s="70">
        <v>-6882239.4877195414</v>
      </c>
      <c r="C790" s="70">
        <v>-13042274.676599033</v>
      </c>
      <c r="D790" s="70">
        <v>14800559.143614978</v>
      </c>
      <c r="E790" s="54">
        <f>IF(B790&lt;&gt;"",hddtohms(getlatitude(B790,C790,D790)),"")</f>
        <v>45.174836602999662</v>
      </c>
      <c r="F790" s="54">
        <f>IF(B790&lt;&gt;"",hddtohms(-GetLongitude(B790,C790,D790)),"")</f>
        <v>117.49121100499997</v>
      </c>
      <c r="G790" s="59">
        <f t="shared" si="12"/>
        <v>2775.3511084135353</v>
      </c>
    </row>
    <row r="791" spans="1:7" ht="15.75" thickBot="1" x14ac:dyDescent="0.3">
      <c r="A791" s="68">
        <v>9220</v>
      </c>
      <c r="B791" s="70">
        <v>-6936070.1394803543</v>
      </c>
      <c r="C791" s="70">
        <v>-13009489.785471898</v>
      </c>
      <c r="D791" s="70">
        <v>14804133.128745874</v>
      </c>
      <c r="E791" s="54">
        <f>IF(B791&lt;&gt;"",hddtohms(getlatitude(B791,C791,D791)),"")</f>
        <v>45.183941790999668</v>
      </c>
      <c r="F791" s="54">
        <f>IF(B791&lt;&gt;"",hddtohms(-GetLongitude(B791,C791,D791)),"")</f>
        <v>118.03522587099997</v>
      </c>
      <c r="G791" s="59">
        <f t="shared" si="12"/>
        <v>2686.2471050896147</v>
      </c>
    </row>
    <row r="792" spans="1:7" ht="15.75" thickBot="1" x14ac:dyDescent="0.3">
      <c r="A792" s="68">
        <v>200704</v>
      </c>
      <c r="B792" s="70">
        <v>-6900980.6780558266</v>
      </c>
      <c r="C792" s="70">
        <v>-12976673.643692398</v>
      </c>
      <c r="D792" s="70">
        <v>14848903.543187628</v>
      </c>
      <c r="E792" s="54">
        <f>IF(B792&lt;&gt;"",hddtohms(getlatitude(B792,C792,D792)),"")</f>
        <v>45.290926215999669</v>
      </c>
      <c r="F792" s="54">
        <f>IF(B792&lt;&gt;"",hddtohms(-GetLongitude(B792,C792,D792)),"")</f>
        <v>118.00143851399999</v>
      </c>
      <c r="G792" s="59">
        <f t="shared" si="12"/>
        <v>2643.9011053243066</v>
      </c>
    </row>
    <row r="793" spans="1:7" ht="15.75" thickBot="1" x14ac:dyDescent="0.3">
      <c r="A793" s="68" t="s">
        <v>11</v>
      </c>
      <c r="B793" s="70">
        <v>-6875371.2772180978</v>
      </c>
      <c r="C793" s="70">
        <v>-12964806.051298879</v>
      </c>
      <c r="D793" s="70">
        <v>14871070.554142416</v>
      </c>
      <c r="E793" s="54">
        <f>IF(B793&lt;&gt;"",hddtohms(getlatitude(B793,C793,D793)),"")</f>
        <v>45.342100344999658</v>
      </c>
      <c r="F793" s="54">
        <f>IF(B793&lt;&gt;"",hddtohms(-GetLongitude(B793,C793,D793)),"")</f>
        <v>117.56148980699997</v>
      </c>
      <c r="G793" s="59">
        <f t="shared" si="12"/>
        <v>2705.3251087374119</v>
      </c>
    </row>
    <row r="794" spans="1:7" ht="15.75" thickBot="1" x14ac:dyDescent="0.3">
      <c r="A794" s="68">
        <v>201502</v>
      </c>
      <c r="B794" s="70">
        <v>-7015742.7215040205</v>
      </c>
      <c r="C794" s="70">
        <v>-12984473.326287953</v>
      </c>
      <c r="D794" s="70">
        <v>14789516.546574457</v>
      </c>
      <c r="E794" s="54">
        <f>IF(B794&lt;&gt;"",hddtohms(getlatitude(B794,C794,D794)),"")</f>
        <v>45.150820727999587</v>
      </c>
      <c r="F794" s="54">
        <f>IF(B794&lt;&gt;"",hddtohms(-GetLongitude(B794,C794,D794)),"")</f>
        <v>118.22593197699999</v>
      </c>
      <c r="G794" s="59">
        <f t="shared" si="12"/>
        <v>3302.2341283901442</v>
      </c>
    </row>
    <row r="795" spans="1:7" ht="15.75" thickBot="1" x14ac:dyDescent="0.3">
      <c r="A795" s="68" t="s">
        <v>22</v>
      </c>
      <c r="B795" s="70">
        <v>-6941815.9198748069</v>
      </c>
      <c r="C795" s="70">
        <v>-13005533.011492392</v>
      </c>
      <c r="D795" s="70">
        <v>14805019.41894092</v>
      </c>
      <c r="E795" s="54">
        <f>IF(B795&lt;&gt;"",hddtohms(getlatitude(B795,C795,D795)),"")</f>
        <v>45.18510922399966</v>
      </c>
      <c r="F795" s="54">
        <f>IF(B795&lt;&gt;"",hddtohms(-GetLongitude(B795,C795,D795)),"")</f>
        <v>118.05292433299998</v>
      </c>
      <c r="G795" s="59">
        <f t="shared" si="12"/>
        <v>2763.1141081325459</v>
      </c>
    </row>
    <row r="796" spans="1:7" ht="15.75" thickBot="1" x14ac:dyDescent="0.3">
      <c r="A796" s="68">
        <v>9935</v>
      </c>
      <c r="B796" s="70">
        <v>-6902818.0036333613</v>
      </c>
      <c r="C796" s="70">
        <v>-13059014.670018168</v>
      </c>
      <c r="D796" s="70">
        <v>14776308.628110534</v>
      </c>
      <c r="E796" s="54">
        <f>IF(B796&lt;&gt;"",hddtohms(getlatitude(B796,C796,D796)),"")</f>
        <v>45.120866962999656</v>
      </c>
      <c r="F796" s="54">
        <f>IF(B796&lt;&gt;"",hddtohms(-GetLongitude(B796,C796,D796)),"")</f>
        <v>117.51371617799997</v>
      </c>
      <c r="G796" s="59">
        <f t="shared" si="12"/>
        <v>2740.1441059927129</v>
      </c>
    </row>
    <row r="797" spans="1:7" ht="15.75" thickBot="1" x14ac:dyDescent="0.3">
      <c r="A797" s="68"/>
      <c r="B797" s="70"/>
      <c r="C797" s="70"/>
      <c r="D797" s="70"/>
      <c r="E797" s="54" t="str">
        <f>IF(B797&lt;&gt;"",hddtohms(getlatitude(B797,C797,D797)),"")</f>
        <v/>
      </c>
      <c r="F797" s="54" t="str">
        <f>IF(B797&lt;&gt;"",hddtohms(-GetLongitude(B797,C797,D797)),"")</f>
        <v/>
      </c>
      <c r="G797" s="59" t="str">
        <f t="shared" si="12"/>
        <v/>
      </c>
    </row>
    <row r="798" spans="1:7" ht="15.75" thickBot="1" x14ac:dyDescent="0.3">
      <c r="A798" s="68"/>
      <c r="B798" s="70">
        <v>-6940120.6673250608</v>
      </c>
      <c r="C798" s="70">
        <v>-13092148.500744095</v>
      </c>
      <c r="D798" s="70">
        <v>14730437.093716508</v>
      </c>
      <c r="E798" s="54">
        <f>IF(B798&lt;&gt;"",hddtohms(getlatitude(B798,C798,D798)),"")</f>
        <v>45.012220274017871</v>
      </c>
      <c r="F798" s="54">
        <f>IF(B798&lt;&gt;"",hddtohms(-GetLongitude(B798,C798,D798)),"")</f>
        <v>117.55406902449484</v>
      </c>
      <c r="G798" s="59">
        <f t="shared" si="12"/>
        <v>3222.5516543164304</v>
      </c>
    </row>
    <row r="799" spans="1:7" ht="15.75" thickBot="1" x14ac:dyDescent="0.3">
      <c r="A799" s="68"/>
      <c r="B799" s="70"/>
      <c r="C799" s="70"/>
      <c r="D799" s="70"/>
      <c r="E799" s="54" t="str">
        <f>IF(B799&lt;&gt;"",hddtohms(getlatitude(B799,C799,D799)),"")</f>
        <v/>
      </c>
      <c r="F799" s="54" t="str">
        <f>IF(B799&lt;&gt;"",hddtohms(-GetLongitude(B799,C799,D799)),"")</f>
        <v/>
      </c>
      <c r="G799" s="59" t="str">
        <f t="shared" si="12"/>
        <v/>
      </c>
    </row>
    <row r="800" spans="1:7" ht="15.75" thickBot="1" x14ac:dyDescent="0.3">
      <c r="A800" s="68"/>
      <c r="B800" s="70">
        <v>-6940120.6688307803</v>
      </c>
      <c r="C800" s="70">
        <v>-13092148.50358454</v>
      </c>
      <c r="D800" s="70">
        <v>14730437.096912388</v>
      </c>
      <c r="E800" s="54">
        <f>IF(B800&lt;&gt;"",hddtohms(getlatitude(B800,C800,D800)),"")</f>
        <v>45.012220274002836</v>
      </c>
      <c r="F800" s="54">
        <f>IF(B800&lt;&gt;"",hddtohms(-GetLongitude(B800,C800,D800)),"")</f>
        <v>117.55406902449485</v>
      </c>
      <c r="G800" s="59">
        <f t="shared" si="12"/>
        <v>3222.556187389966</v>
      </c>
    </row>
    <row r="801" spans="1:15" ht="15.75" thickBot="1" x14ac:dyDescent="0.3">
      <c r="A801" s="68"/>
      <c r="B801" s="70">
        <v>-6882240.5315778591</v>
      </c>
      <c r="C801" s="70">
        <v>-13042276.587784991</v>
      </c>
      <c r="D801" s="70">
        <v>14800561.65079283</v>
      </c>
      <c r="E801" s="54">
        <f>IF(B801&lt;&gt;"",hddtohms(getlatitude(B801,C801,D801)),"")</f>
        <v>45.174836816223078</v>
      </c>
      <c r="F801" s="54">
        <f>IF(B801&lt;&gt;"",hddtohms(-GetLongitude(B801,C801,D801)),"")</f>
        <v>117.49121104872992</v>
      </c>
      <c r="G801" s="59">
        <f t="shared" si="12"/>
        <v>2778.6648048228508</v>
      </c>
    </row>
    <row r="802" spans="1:15" ht="15.75" thickBot="1" x14ac:dyDescent="0.3">
      <c r="A802" s="68"/>
      <c r="B802" s="70">
        <v>-6936071.149237249</v>
      </c>
      <c r="C802" s="70">
        <v>-13009491.672433676</v>
      </c>
      <c r="D802" s="70">
        <v>14804135.592793442</v>
      </c>
      <c r="E802" s="54">
        <f>IF(B802&lt;&gt;"",hddtohms(getlatitude(B802,C802,D802)),"")</f>
        <v>45.183941999652838</v>
      </c>
      <c r="F802" s="54">
        <f>IF(B802&lt;&gt;"",hddtohms(-GetLongitude(B802,C802,D802)),"")</f>
        <v>118.03522587558567</v>
      </c>
      <c r="G802" s="59">
        <f t="shared" si="12"/>
        <v>2689.503956432829</v>
      </c>
    </row>
    <row r="803" spans="1:15" ht="15.75" thickBot="1" x14ac:dyDescent="0.3">
      <c r="A803" s="68"/>
      <c r="B803" s="70">
        <v>-6900981.7142017586</v>
      </c>
      <c r="C803" s="70">
        <v>-12976675.565791845</v>
      </c>
      <c r="D803" s="70">
        <v>14848906.024774352</v>
      </c>
      <c r="E803" s="54">
        <f>IF(B803&lt;&gt;"",hddtohms(getlatitude(B803,C803,D803)),"")</f>
        <v>45.290926396410264</v>
      </c>
      <c r="F803" s="54">
        <f>IF(B803&lt;&gt;"",hddtohms(-GetLongitude(B803,C803,D803)),"")</f>
        <v>118.00143853131684</v>
      </c>
      <c r="G803" s="59">
        <f t="shared" si="12"/>
        <v>2647.201527373516</v>
      </c>
    </row>
    <row r="804" spans="1:15" ht="15.75" thickBot="1" x14ac:dyDescent="0.3">
      <c r="A804" s="68"/>
      <c r="B804" s="70">
        <v>-6875372.3316915231</v>
      </c>
      <c r="C804" s="70">
        <v>-12964807.994728506</v>
      </c>
      <c r="D804" s="70">
        <v>14871073.050889485</v>
      </c>
      <c r="E804" s="54">
        <f>IF(B804&lt;&gt;"",hddtohms(getlatitude(B804,C804,D804)),"")</f>
        <v>45.342100511632253</v>
      </c>
      <c r="F804" s="54">
        <f>IF(B804&lt;&gt;"",hddtohms(-GetLongitude(B804,C804,D804)),"")</f>
        <v>117.56148983661872</v>
      </c>
      <c r="G804" s="59">
        <f t="shared" si="12"/>
        <v>2708.6558205446527</v>
      </c>
    </row>
    <row r="805" spans="1:15" ht="15.75" thickBot="1" x14ac:dyDescent="0.3">
      <c r="A805" s="68"/>
      <c r="B805" s="70">
        <v>-7015743.6794164432</v>
      </c>
      <c r="C805" s="70">
        <v>-12984475.16903794</v>
      </c>
      <c r="D805" s="70">
        <v>14789518.951216402</v>
      </c>
      <c r="E805" s="54">
        <f>IF(B805&lt;&gt;"",hddtohms(getlatitude(B805,C805,D805)),"")</f>
        <v>45.150820943216473</v>
      </c>
      <c r="F805" s="54">
        <f>IF(B805&lt;&gt;"",hddtohms(-GetLongitude(B805,C805,D805)),"")</f>
        <v>118.22593193057308</v>
      </c>
      <c r="G805" s="59">
        <f t="shared" si="12"/>
        <v>3305.4038276837036</v>
      </c>
    </row>
    <row r="806" spans="1:15" ht="15.75" thickBot="1" x14ac:dyDescent="0.3">
      <c r="A806" s="68"/>
      <c r="B806" s="70">
        <v>-6941816.9261149755</v>
      </c>
      <c r="C806" s="70">
        <v>-13005534.896038869</v>
      </c>
      <c r="D806" s="70">
        <v>14805021.878263406</v>
      </c>
      <c r="E806" s="54">
        <f>IF(B806&lt;&gt;"",hddtohms(getlatitude(B806,C806,D806)),"")</f>
        <v>45.185109431846634</v>
      </c>
      <c r="F806" s="54">
        <f>IF(B806&lt;&gt;"",hddtohms(-GetLongitude(B806,C806,D806)),"")</f>
        <v>118.05292433342848</v>
      </c>
      <c r="G806" s="59">
        <f t="shared" si="12"/>
        <v>2766.3649500396659</v>
      </c>
    </row>
    <row r="807" spans="1:15" ht="15.75" thickBot="1" x14ac:dyDescent="0.3">
      <c r="A807" s="68"/>
      <c r="B807" s="70">
        <v>-6902819.0320665361</v>
      </c>
      <c r="C807" s="70">
        <v>-13059016.56148055</v>
      </c>
      <c r="D807" s="70">
        <v>14776311.124565111</v>
      </c>
      <c r="E807" s="54">
        <f>IF(B807&lt;&gt;"",hddtohms(getlatitude(B807,C807,D807)),"")</f>
        <v>45.120867191405061</v>
      </c>
      <c r="F807" s="54">
        <f>IF(B807&lt;&gt;"",hddtohms(-GetLongitude(B807,C807,D807)),"")</f>
        <v>117.51371621334725</v>
      </c>
      <c r="G807" s="59">
        <f t="shared" si="12"/>
        <v>2743.4324824976884</v>
      </c>
    </row>
    <row r="808" spans="1:15" ht="15.75" thickBot="1" x14ac:dyDescent="0.3">
      <c r="A808" s="68"/>
      <c r="B808" s="70"/>
      <c r="C808" s="70"/>
      <c r="D808" s="70"/>
      <c r="E808" s="54" t="str">
        <f>IF(B808&lt;&gt;"",hddtohms(getlatitude(B808,C808,D808)),"")</f>
        <v/>
      </c>
      <c r="F808" s="54" t="str">
        <f>IF(B808&lt;&gt;"",hddtohms(-GetLongitude(B808,C808,D808)),"")</f>
        <v/>
      </c>
      <c r="G808" s="59" t="str">
        <f t="shared" ref="G808:G871" si="13">IF(B808&lt;&gt;"",GetHeight(B808,C808,D808),"")</f>
        <v/>
      </c>
    </row>
    <row r="809" spans="1:15" ht="15.75" thickBot="1" x14ac:dyDescent="0.3">
      <c r="A809" s="68"/>
      <c r="B809" s="70">
        <v>-6972429.4600231694</v>
      </c>
      <c r="C809" s="70">
        <v>-13045346.913830273</v>
      </c>
      <c r="D809" s="70">
        <v>14756193.317631984</v>
      </c>
      <c r="E809" s="54">
        <f>IF(B809&lt;&gt;"",hddtohms(getlatitude(B809,C809,D809)),"")</f>
        <v>45.072442238688041</v>
      </c>
      <c r="F809" s="54">
        <f>IF(B809&lt;&gt;"",hddtohms(-GetLongitude(B809,C809,D809)),"")</f>
        <v>118.07244199212033</v>
      </c>
      <c r="G809" s="59">
        <f t="shared" si="13"/>
        <v>3003.2069005988269</v>
      </c>
      <c r="N809" s="87" cm="1">
        <f t="array" ref="N809">HMSTOHDD(E809)</f>
        <v>45.123450663022332</v>
      </c>
      <c r="O809" s="85" cm="1">
        <f t="array" ref="O809">HMSTOHDD(F809)</f>
        <v>118.12344997811203</v>
      </c>
    </row>
    <row r="810" spans="1:15" ht="15.75" thickBot="1" x14ac:dyDescent="0.3">
      <c r="A810" s="68"/>
      <c r="B810" s="70"/>
      <c r="C810" s="70"/>
      <c r="D810" s="70"/>
      <c r="E810" s="54" t="str">
        <f>IF(B810&lt;&gt;"",hddtohms(getlatitude(B810,C810,D810)),"")</f>
        <v/>
      </c>
      <c r="F810" s="54" t="str">
        <f>IF(B810&lt;&gt;"",hddtohms(-GetLongitude(B810,C810,D810)),"")</f>
        <v/>
      </c>
      <c r="G810" s="59" t="str">
        <f t="shared" si="13"/>
        <v/>
      </c>
    </row>
    <row r="811" spans="1:15" ht="15.75" thickBot="1" x14ac:dyDescent="0.3">
      <c r="A811" s="68"/>
      <c r="B811" s="70"/>
      <c r="C811" s="70"/>
      <c r="D811" s="70"/>
      <c r="E811" s="54" t="str">
        <f>IF(B811&lt;&gt;"",hddtohms(getlatitude(B811,C811,D811)),"")</f>
        <v/>
      </c>
      <c r="F811" s="54" t="str">
        <f>IF(B811&lt;&gt;"",hddtohms(-GetLongitude(B811,C811,D811)),"")</f>
        <v/>
      </c>
      <c r="G811" s="59" t="str">
        <f t="shared" si="13"/>
        <v/>
      </c>
    </row>
    <row r="812" spans="1:15" ht="15.75" thickBot="1" x14ac:dyDescent="0.3">
      <c r="A812" s="68"/>
      <c r="B812" s="70"/>
      <c r="C812" s="70"/>
      <c r="D812" s="70"/>
      <c r="E812" s="54" t="str">
        <f>IF(B812&lt;&gt;"",hddtohms(getlatitude(B812,C812,D812)),"")</f>
        <v/>
      </c>
      <c r="F812" s="54" t="str">
        <f>IF(B812&lt;&gt;"",hddtohms(-GetLongitude(B812,C812,D812)),"")</f>
        <v/>
      </c>
      <c r="G812" s="59" t="str">
        <f t="shared" si="13"/>
        <v/>
      </c>
    </row>
    <row r="813" spans="1:15" ht="15.75" thickBot="1" x14ac:dyDescent="0.3">
      <c r="A813" s="68"/>
      <c r="B813" s="70"/>
      <c r="C813" s="70"/>
      <c r="D813" s="70"/>
      <c r="E813" s="54" t="str">
        <f>IF(B813&lt;&gt;"",hddtohms(getlatitude(B813,C813,D813)),"")</f>
        <v/>
      </c>
      <c r="F813" s="54" t="str">
        <f>IF(B813&lt;&gt;"",hddtohms(-GetLongitude(B813,C813,D813)),"")</f>
        <v/>
      </c>
      <c r="G813" s="59" t="str">
        <f t="shared" si="13"/>
        <v/>
      </c>
    </row>
    <row r="814" spans="1:15" ht="15.75" thickBot="1" x14ac:dyDescent="0.3">
      <c r="A814" s="68"/>
      <c r="B814" s="70"/>
      <c r="C814" s="70"/>
      <c r="D814" s="70"/>
      <c r="E814" s="54" t="str">
        <f>IF(B814&lt;&gt;"",hddtohms(getlatitude(B814,C814,D814)),"")</f>
        <v/>
      </c>
      <c r="F814" s="54" t="str">
        <f>IF(B814&lt;&gt;"",hddtohms(-GetLongitude(B814,C814,D814)),"")</f>
        <v/>
      </c>
      <c r="G814" s="59" t="str">
        <f t="shared" si="13"/>
        <v/>
      </c>
    </row>
    <row r="815" spans="1:15" ht="15.75" thickBot="1" x14ac:dyDescent="0.3">
      <c r="A815" s="68"/>
      <c r="B815" s="70"/>
      <c r="C815" s="70"/>
      <c r="D815" s="70"/>
      <c r="E815" s="54" t="str">
        <f>IF(B815&lt;&gt;"",hddtohms(getlatitude(B815,C815,D815)),"")</f>
        <v/>
      </c>
      <c r="F815" s="54" t="str">
        <f>IF(B815&lt;&gt;"",hddtohms(-GetLongitude(B815,C815,D815)),"")</f>
        <v/>
      </c>
      <c r="G815" s="59" t="str">
        <f t="shared" si="13"/>
        <v/>
      </c>
    </row>
    <row r="816" spans="1:15" ht="15.75" thickBot="1" x14ac:dyDescent="0.3">
      <c r="A816" s="68"/>
      <c r="B816" s="70"/>
      <c r="C816" s="70"/>
      <c r="D816" s="70"/>
      <c r="E816" s="54" t="str">
        <f>IF(B816&lt;&gt;"",hddtohms(getlatitude(B816,C816,D816)),"")</f>
        <v/>
      </c>
      <c r="F816" s="54" t="str">
        <f>IF(B816&lt;&gt;"",hddtohms(-GetLongitude(B816,C816,D816)),"")</f>
        <v/>
      </c>
      <c r="G816" s="59" t="str">
        <f t="shared" si="13"/>
        <v/>
      </c>
    </row>
    <row r="817" spans="1:7" ht="15.75" thickBot="1" x14ac:dyDescent="0.3">
      <c r="A817" s="68"/>
      <c r="B817" s="70"/>
      <c r="C817" s="70"/>
      <c r="D817" s="70"/>
      <c r="E817" s="54" t="str">
        <f>IF(B817&lt;&gt;"",hddtohms(getlatitude(B817,C817,D817)),"")</f>
        <v/>
      </c>
      <c r="F817" s="54" t="str">
        <f>IF(B817&lt;&gt;"",hddtohms(-GetLongitude(B817,C817,D817)),"")</f>
        <v/>
      </c>
      <c r="G817" s="59" t="str">
        <f t="shared" si="13"/>
        <v/>
      </c>
    </row>
    <row r="818" spans="1:7" ht="15.75" thickBot="1" x14ac:dyDescent="0.3">
      <c r="A818" s="68"/>
      <c r="B818" s="70"/>
      <c r="C818" s="70"/>
      <c r="D818" s="70"/>
      <c r="E818" s="54" t="str">
        <f>IF(B818&lt;&gt;"",hddtohms(getlatitude(B818,C818,D818)),"")</f>
        <v/>
      </c>
      <c r="F818" s="54" t="str">
        <f>IF(B818&lt;&gt;"",hddtohms(-GetLongitude(B818,C818,D818)),"")</f>
        <v/>
      </c>
      <c r="G818" s="59" t="str">
        <f t="shared" si="13"/>
        <v/>
      </c>
    </row>
    <row r="819" spans="1:7" ht="15.75" thickBot="1" x14ac:dyDescent="0.3">
      <c r="A819" s="68"/>
      <c r="B819" s="70"/>
      <c r="C819" s="70"/>
      <c r="D819" s="70"/>
      <c r="E819" s="54" t="str">
        <f>IF(B819&lt;&gt;"",hddtohms(getlatitude(B819,C819,D819)),"")</f>
        <v/>
      </c>
      <c r="F819" s="54" t="str">
        <f>IF(B819&lt;&gt;"",hddtohms(-GetLongitude(B819,C819,D819)),"")</f>
        <v/>
      </c>
      <c r="G819" s="59" t="str">
        <f t="shared" si="13"/>
        <v/>
      </c>
    </row>
    <row r="820" spans="1:7" ht="15.75" thickBot="1" x14ac:dyDescent="0.3">
      <c r="A820" s="68"/>
      <c r="B820" s="70"/>
      <c r="C820" s="70"/>
      <c r="D820" s="70"/>
      <c r="E820" s="54" t="str">
        <f>IF(B820&lt;&gt;"",hddtohms(getlatitude(B820,C820,D820)),"")</f>
        <v/>
      </c>
      <c r="F820" s="54" t="str">
        <f>IF(B820&lt;&gt;"",hddtohms(-GetLongitude(B820,C820,D820)),"")</f>
        <v/>
      </c>
      <c r="G820" s="59" t="str">
        <f t="shared" si="13"/>
        <v/>
      </c>
    </row>
    <row r="821" spans="1:7" ht="15.75" thickBot="1" x14ac:dyDescent="0.3">
      <c r="A821" s="68"/>
      <c r="B821" s="70"/>
      <c r="C821" s="70"/>
      <c r="D821" s="70"/>
      <c r="E821" s="54" t="str">
        <f>IF(B821&lt;&gt;"",hddtohms(getlatitude(B821,C821,D821)),"")</f>
        <v/>
      </c>
      <c r="F821" s="54" t="str">
        <f>IF(B821&lt;&gt;"",hddtohms(-GetLongitude(B821,C821,D821)),"")</f>
        <v/>
      </c>
      <c r="G821" s="59" t="str">
        <f t="shared" si="13"/>
        <v/>
      </c>
    </row>
    <row r="822" spans="1:7" ht="15.75" thickBot="1" x14ac:dyDescent="0.3">
      <c r="A822" s="68"/>
      <c r="B822" s="70"/>
      <c r="C822" s="70"/>
      <c r="D822" s="70"/>
      <c r="E822" s="54" t="str">
        <f>IF(B822&lt;&gt;"",hddtohms(getlatitude(B822,C822,D822)),"")</f>
        <v/>
      </c>
      <c r="F822" s="54" t="str">
        <f>IF(B822&lt;&gt;"",hddtohms(-GetLongitude(B822,C822,D822)),"")</f>
        <v/>
      </c>
      <c r="G822" s="59" t="str">
        <f t="shared" si="13"/>
        <v/>
      </c>
    </row>
    <row r="823" spans="1:7" ht="15.75" thickBot="1" x14ac:dyDescent="0.3">
      <c r="A823" s="68"/>
      <c r="B823" s="70"/>
      <c r="C823" s="70"/>
      <c r="D823" s="70"/>
      <c r="E823" s="54" t="str">
        <f>IF(B823&lt;&gt;"",hddtohms(getlatitude(B823,C823,D823)),"")</f>
        <v/>
      </c>
      <c r="F823" s="54" t="str">
        <f>IF(B823&lt;&gt;"",hddtohms(-GetLongitude(B823,C823,D823)),"")</f>
        <v/>
      </c>
      <c r="G823" s="59" t="str">
        <f t="shared" si="13"/>
        <v/>
      </c>
    </row>
    <row r="824" spans="1:7" ht="15.75" thickBot="1" x14ac:dyDescent="0.3">
      <c r="A824" s="68"/>
      <c r="B824" s="70"/>
      <c r="C824" s="70"/>
      <c r="D824" s="70"/>
      <c r="E824" s="54" t="str">
        <f>IF(B824&lt;&gt;"",hddtohms(getlatitude(B824,C824,D824)),"")</f>
        <v/>
      </c>
      <c r="F824" s="54" t="str">
        <f>IF(B824&lt;&gt;"",hddtohms(-GetLongitude(B824,C824,D824)),"")</f>
        <v/>
      </c>
      <c r="G824" s="59" t="str">
        <f t="shared" si="13"/>
        <v/>
      </c>
    </row>
    <row r="825" spans="1:7" ht="15.75" thickBot="1" x14ac:dyDescent="0.3">
      <c r="A825" s="68"/>
      <c r="B825" s="70"/>
      <c r="C825" s="70"/>
      <c r="D825" s="70"/>
      <c r="E825" s="54" t="str">
        <f>IF(B825&lt;&gt;"",hddtohms(getlatitude(B825,C825,D825)),"")</f>
        <v/>
      </c>
      <c r="F825" s="54" t="str">
        <f>IF(B825&lt;&gt;"",hddtohms(-GetLongitude(B825,C825,D825)),"")</f>
        <v/>
      </c>
      <c r="G825" s="59" t="str">
        <f t="shared" si="13"/>
        <v/>
      </c>
    </row>
    <row r="826" spans="1:7" ht="15.75" thickBot="1" x14ac:dyDescent="0.3">
      <c r="A826" s="68"/>
      <c r="B826" s="70"/>
      <c r="C826" s="70"/>
      <c r="D826" s="70"/>
      <c r="E826" s="54" t="str">
        <f>IF(B826&lt;&gt;"",hddtohms(getlatitude(B826,C826,D826)),"")</f>
        <v/>
      </c>
      <c r="F826" s="54" t="str">
        <f>IF(B826&lt;&gt;"",hddtohms(-GetLongitude(B826,C826,D826)),"")</f>
        <v/>
      </c>
      <c r="G826" s="59" t="str">
        <f t="shared" si="13"/>
        <v/>
      </c>
    </row>
    <row r="827" spans="1:7" ht="15.75" thickBot="1" x14ac:dyDescent="0.3">
      <c r="A827" s="68"/>
      <c r="B827" s="70"/>
      <c r="C827" s="70"/>
      <c r="D827" s="70"/>
      <c r="E827" s="54" t="str">
        <f>IF(B827&lt;&gt;"",hddtohms(getlatitude(B827,C827,D827)),"")</f>
        <v/>
      </c>
      <c r="F827" s="54" t="str">
        <f>IF(B827&lt;&gt;"",hddtohms(-GetLongitude(B827,C827,D827)),"")</f>
        <v/>
      </c>
      <c r="G827" s="59" t="str">
        <f t="shared" si="13"/>
        <v/>
      </c>
    </row>
    <row r="828" spans="1:7" ht="15.75" thickBot="1" x14ac:dyDescent="0.3">
      <c r="A828" s="68"/>
      <c r="B828" s="70"/>
      <c r="C828" s="70"/>
      <c r="D828" s="70"/>
      <c r="E828" s="54" t="str">
        <f>IF(B828&lt;&gt;"",hddtohms(getlatitude(B828,C828,D828)),"")</f>
        <v/>
      </c>
      <c r="F828" s="54" t="str">
        <f>IF(B828&lt;&gt;"",hddtohms(-GetLongitude(B828,C828,D828)),"")</f>
        <v/>
      </c>
      <c r="G828" s="59" t="str">
        <f t="shared" si="13"/>
        <v/>
      </c>
    </row>
    <row r="829" spans="1:7" ht="15.75" thickBot="1" x14ac:dyDescent="0.3">
      <c r="A829" s="68"/>
      <c r="B829" s="70"/>
      <c r="C829" s="70"/>
      <c r="D829" s="70"/>
      <c r="E829" s="54" t="str">
        <f>IF(B829&lt;&gt;"",hddtohms(getlatitude(B829,C829,D829)),"")</f>
        <v/>
      </c>
      <c r="F829" s="54" t="str">
        <f>IF(B829&lt;&gt;"",hddtohms(-GetLongitude(B829,C829,D829)),"")</f>
        <v/>
      </c>
      <c r="G829" s="59" t="str">
        <f t="shared" si="13"/>
        <v/>
      </c>
    </row>
    <row r="830" spans="1:7" ht="15.75" thickBot="1" x14ac:dyDescent="0.3">
      <c r="A830" s="68"/>
      <c r="B830" s="70"/>
      <c r="C830" s="70"/>
      <c r="D830" s="70"/>
      <c r="E830" s="54" t="str">
        <f>IF(B830&lt;&gt;"",hddtohms(getlatitude(B830,C830,D830)),"")</f>
        <v/>
      </c>
      <c r="F830" s="54" t="str">
        <f>IF(B830&lt;&gt;"",hddtohms(-GetLongitude(B830,C830,D830)),"")</f>
        <v/>
      </c>
      <c r="G830" s="59" t="str">
        <f t="shared" si="13"/>
        <v/>
      </c>
    </row>
    <row r="831" spans="1:7" ht="15.75" thickBot="1" x14ac:dyDescent="0.3">
      <c r="A831" s="68"/>
      <c r="B831" s="70"/>
      <c r="C831" s="70"/>
      <c r="D831" s="70"/>
      <c r="E831" s="54" t="str">
        <f>IF(B831&lt;&gt;"",hddtohms(getlatitude(B831,C831,D831)),"")</f>
        <v/>
      </c>
      <c r="F831" s="54" t="str">
        <f>IF(B831&lt;&gt;"",hddtohms(-GetLongitude(B831,C831,D831)),"")</f>
        <v/>
      </c>
      <c r="G831" s="59" t="str">
        <f t="shared" si="13"/>
        <v/>
      </c>
    </row>
    <row r="832" spans="1:7" ht="15.75" thickBot="1" x14ac:dyDescent="0.3">
      <c r="A832" s="68"/>
      <c r="B832" s="70"/>
      <c r="C832" s="70"/>
      <c r="D832" s="70"/>
      <c r="E832" s="54" t="str">
        <f>IF(B832&lt;&gt;"",hddtohms(getlatitude(B832,C832,D832)),"")</f>
        <v/>
      </c>
      <c r="F832" s="54" t="str">
        <f>IF(B832&lt;&gt;"",hddtohms(-GetLongitude(B832,C832,D832)),"")</f>
        <v/>
      </c>
      <c r="G832" s="59" t="str">
        <f t="shared" si="13"/>
        <v/>
      </c>
    </row>
    <row r="833" spans="1:7" ht="15.75" thickBot="1" x14ac:dyDescent="0.3">
      <c r="A833" s="68"/>
      <c r="B833" s="70"/>
      <c r="C833" s="70"/>
      <c r="D833" s="70"/>
      <c r="E833" s="54" t="str">
        <f>IF(B833&lt;&gt;"",hddtohms(getlatitude(B833,C833,D833)),"")</f>
        <v/>
      </c>
      <c r="F833" s="54" t="str">
        <f>IF(B833&lt;&gt;"",hddtohms(-GetLongitude(B833,C833,D833)),"")</f>
        <v/>
      </c>
      <c r="G833" s="59" t="str">
        <f t="shared" si="13"/>
        <v/>
      </c>
    </row>
    <row r="834" spans="1:7" ht="15.75" thickBot="1" x14ac:dyDescent="0.3">
      <c r="A834" s="68"/>
      <c r="B834" s="70"/>
      <c r="C834" s="70"/>
      <c r="D834" s="70"/>
      <c r="E834" s="54" t="str">
        <f>IF(B834&lt;&gt;"",hddtohms(getlatitude(B834,C834,D834)),"")</f>
        <v/>
      </c>
      <c r="F834" s="54" t="str">
        <f>IF(B834&lt;&gt;"",hddtohms(-GetLongitude(B834,C834,D834)),"")</f>
        <v/>
      </c>
      <c r="G834" s="59" t="str">
        <f t="shared" si="13"/>
        <v/>
      </c>
    </row>
    <row r="835" spans="1:7" ht="15.75" thickBot="1" x14ac:dyDescent="0.3">
      <c r="A835" s="68"/>
      <c r="B835" s="70"/>
      <c r="C835" s="70"/>
      <c r="D835" s="70"/>
      <c r="E835" s="54" t="str">
        <f>IF(B835&lt;&gt;"",hddtohms(getlatitude(B835,C835,D835)),"")</f>
        <v/>
      </c>
      <c r="F835" s="54" t="str">
        <f>IF(B835&lt;&gt;"",hddtohms(-GetLongitude(B835,C835,D835)),"")</f>
        <v/>
      </c>
      <c r="G835" s="59" t="str">
        <f t="shared" si="13"/>
        <v/>
      </c>
    </row>
    <row r="836" spans="1:7" ht="15.75" thickBot="1" x14ac:dyDescent="0.3">
      <c r="A836" s="68"/>
      <c r="B836" s="70"/>
      <c r="C836" s="70"/>
      <c r="D836" s="70"/>
      <c r="E836" s="54" t="str">
        <f>IF(B836&lt;&gt;"",hddtohms(getlatitude(B836,C836,D836)),"")</f>
        <v/>
      </c>
      <c r="F836" s="54" t="str">
        <f>IF(B836&lt;&gt;"",hddtohms(-GetLongitude(B836,C836,D836)),"")</f>
        <v/>
      </c>
      <c r="G836" s="59" t="str">
        <f t="shared" si="13"/>
        <v/>
      </c>
    </row>
    <row r="837" spans="1:7" ht="15.75" thickBot="1" x14ac:dyDescent="0.3">
      <c r="A837" s="68"/>
      <c r="B837" s="70"/>
      <c r="C837" s="70"/>
      <c r="D837" s="70"/>
      <c r="E837" s="54" t="str">
        <f>IF(B837&lt;&gt;"",hddtohms(getlatitude(B837,C837,D837)),"")</f>
        <v/>
      </c>
      <c r="F837" s="54" t="str">
        <f>IF(B837&lt;&gt;"",hddtohms(-GetLongitude(B837,C837,D837)),"")</f>
        <v/>
      </c>
      <c r="G837" s="59" t="str">
        <f t="shared" si="13"/>
        <v/>
      </c>
    </row>
    <row r="838" spans="1:7" ht="15.75" thickBot="1" x14ac:dyDescent="0.3">
      <c r="A838" s="68"/>
      <c r="B838" s="70"/>
      <c r="C838" s="70"/>
      <c r="D838" s="70"/>
      <c r="E838" s="54" t="str">
        <f>IF(B838&lt;&gt;"",hddtohms(getlatitude(B838,C838,D838)),"")</f>
        <v/>
      </c>
      <c r="F838" s="54" t="str">
        <f>IF(B838&lt;&gt;"",hddtohms(-GetLongitude(B838,C838,D838)),"")</f>
        <v/>
      </c>
      <c r="G838" s="59" t="str">
        <f t="shared" si="13"/>
        <v/>
      </c>
    </row>
    <row r="839" spans="1:7" ht="15.75" thickBot="1" x14ac:dyDescent="0.3">
      <c r="A839" s="68"/>
      <c r="B839" s="70"/>
      <c r="C839" s="70"/>
      <c r="D839" s="70"/>
      <c r="E839" s="54" t="str">
        <f>IF(B839&lt;&gt;"",hddtohms(getlatitude(B839,C839,D839)),"")</f>
        <v/>
      </c>
      <c r="F839" s="54" t="str">
        <f>IF(B839&lt;&gt;"",hddtohms(-GetLongitude(B839,C839,D839)),"")</f>
        <v/>
      </c>
      <c r="G839" s="59" t="str">
        <f t="shared" si="13"/>
        <v/>
      </c>
    </row>
    <row r="840" spans="1:7" ht="15.75" thickBot="1" x14ac:dyDescent="0.3">
      <c r="A840" s="68"/>
      <c r="B840" s="70"/>
      <c r="C840" s="70"/>
      <c r="D840" s="70"/>
      <c r="E840" s="54" t="str">
        <f>IF(B840&lt;&gt;"",hddtohms(getlatitude(B840,C840,D840)),"")</f>
        <v/>
      </c>
      <c r="F840" s="54" t="str">
        <f>IF(B840&lt;&gt;"",hddtohms(-GetLongitude(B840,C840,D840)),"")</f>
        <v/>
      </c>
      <c r="G840" s="59" t="str">
        <f t="shared" si="13"/>
        <v/>
      </c>
    </row>
    <row r="841" spans="1:7" ht="15.75" thickBot="1" x14ac:dyDescent="0.3">
      <c r="A841" s="68"/>
      <c r="B841" s="70"/>
      <c r="C841" s="70"/>
      <c r="D841" s="70"/>
      <c r="E841" s="54" t="str">
        <f>IF(B841&lt;&gt;"",hddtohms(getlatitude(B841,C841,D841)),"")</f>
        <v/>
      </c>
      <c r="F841" s="54" t="str">
        <f>IF(B841&lt;&gt;"",hddtohms(-GetLongitude(B841,C841,D841)),"")</f>
        <v/>
      </c>
      <c r="G841" s="59" t="str">
        <f t="shared" si="13"/>
        <v/>
      </c>
    </row>
    <row r="842" spans="1:7" ht="15.75" thickBot="1" x14ac:dyDescent="0.3">
      <c r="A842" s="68"/>
      <c r="B842" s="70"/>
      <c r="C842" s="70"/>
      <c r="D842" s="70"/>
      <c r="E842" s="54" t="str">
        <f>IF(B842&lt;&gt;"",hddtohms(getlatitude(B842,C842,D842)),"")</f>
        <v/>
      </c>
      <c r="F842" s="54" t="str">
        <f>IF(B842&lt;&gt;"",hddtohms(-GetLongitude(B842,C842,D842)),"")</f>
        <v/>
      </c>
      <c r="G842" s="59" t="str">
        <f t="shared" si="13"/>
        <v/>
      </c>
    </row>
    <row r="843" spans="1:7" ht="15.75" thickBot="1" x14ac:dyDescent="0.3">
      <c r="A843" s="68"/>
      <c r="B843" s="70"/>
      <c r="C843" s="70"/>
      <c r="D843" s="70"/>
      <c r="E843" s="54" t="str">
        <f>IF(B843&lt;&gt;"",hddtohms(getlatitude(B843,C843,D843)),"")</f>
        <v/>
      </c>
      <c r="F843" s="54" t="str">
        <f>IF(B843&lt;&gt;"",hddtohms(-GetLongitude(B843,C843,D843)),"")</f>
        <v/>
      </c>
      <c r="G843" s="59" t="str">
        <f t="shared" si="13"/>
        <v/>
      </c>
    </row>
    <row r="844" spans="1:7" ht="15.75" thickBot="1" x14ac:dyDescent="0.3">
      <c r="A844" s="68"/>
      <c r="B844" s="70"/>
      <c r="C844" s="70"/>
      <c r="D844" s="70"/>
      <c r="E844" s="54" t="str">
        <f>IF(B844&lt;&gt;"",hddtohms(getlatitude(B844,C844,D844)),"")</f>
        <v/>
      </c>
      <c r="F844" s="54" t="str">
        <f>IF(B844&lt;&gt;"",hddtohms(-GetLongitude(B844,C844,D844)),"")</f>
        <v/>
      </c>
      <c r="G844" s="59" t="str">
        <f t="shared" si="13"/>
        <v/>
      </c>
    </row>
    <row r="845" spans="1:7" ht="15.75" thickBot="1" x14ac:dyDescent="0.3">
      <c r="A845" s="68"/>
      <c r="B845" s="70"/>
      <c r="C845" s="70"/>
      <c r="D845" s="70"/>
      <c r="E845" s="54" t="str">
        <f>IF(B845&lt;&gt;"",hddtohms(getlatitude(B845,C845,D845)),"")</f>
        <v/>
      </c>
      <c r="F845" s="54" t="str">
        <f>IF(B845&lt;&gt;"",hddtohms(-GetLongitude(B845,C845,D845)),"")</f>
        <v/>
      </c>
      <c r="G845" s="59" t="str">
        <f t="shared" si="13"/>
        <v/>
      </c>
    </row>
    <row r="846" spans="1:7" ht="15.75" thickBot="1" x14ac:dyDescent="0.3">
      <c r="A846" s="68"/>
      <c r="B846" s="70"/>
      <c r="C846" s="70"/>
      <c r="D846" s="70"/>
      <c r="E846" s="54" t="str">
        <f>IF(B846&lt;&gt;"",hddtohms(getlatitude(B846,C846,D846)),"")</f>
        <v/>
      </c>
      <c r="F846" s="54" t="str">
        <f>IF(B846&lt;&gt;"",hddtohms(-GetLongitude(B846,C846,D846)),"")</f>
        <v/>
      </c>
      <c r="G846" s="59" t="str">
        <f t="shared" si="13"/>
        <v/>
      </c>
    </row>
    <row r="847" spans="1:7" ht="15.75" thickBot="1" x14ac:dyDescent="0.3">
      <c r="A847" s="68"/>
      <c r="B847" s="70"/>
      <c r="C847" s="70"/>
      <c r="D847" s="70"/>
      <c r="E847" s="54" t="str">
        <f>IF(B847&lt;&gt;"",hddtohms(getlatitude(B847,C847,D847)),"")</f>
        <v/>
      </c>
      <c r="F847" s="54" t="str">
        <f>IF(B847&lt;&gt;"",hddtohms(-GetLongitude(B847,C847,D847)),"")</f>
        <v/>
      </c>
      <c r="G847" s="59" t="str">
        <f t="shared" si="13"/>
        <v/>
      </c>
    </row>
    <row r="848" spans="1:7" ht="15.75" thickBot="1" x14ac:dyDescent="0.3">
      <c r="A848" s="68"/>
      <c r="B848" s="70"/>
      <c r="C848" s="70"/>
      <c r="D848" s="70"/>
      <c r="E848" s="54" t="str">
        <f>IF(B848&lt;&gt;"",hddtohms(getlatitude(B848,C848,D848)),"")</f>
        <v/>
      </c>
      <c r="F848" s="54" t="str">
        <f>IF(B848&lt;&gt;"",hddtohms(-GetLongitude(B848,C848,D848)),"")</f>
        <v/>
      </c>
      <c r="G848" s="59" t="str">
        <f t="shared" si="13"/>
        <v/>
      </c>
    </row>
    <row r="849" spans="1:7" ht="15.75" thickBot="1" x14ac:dyDescent="0.3">
      <c r="A849" s="68"/>
      <c r="B849" s="70"/>
      <c r="C849" s="70"/>
      <c r="D849" s="70"/>
      <c r="E849" s="54" t="str">
        <f>IF(B849&lt;&gt;"",hddtohms(getlatitude(B849,C849,D849)),"")</f>
        <v/>
      </c>
      <c r="F849" s="54" t="str">
        <f>IF(B849&lt;&gt;"",hddtohms(-GetLongitude(B849,C849,D849)),"")</f>
        <v/>
      </c>
      <c r="G849" s="59" t="str">
        <f t="shared" si="13"/>
        <v/>
      </c>
    </row>
    <row r="850" spans="1:7" ht="15.75" thickBot="1" x14ac:dyDescent="0.3">
      <c r="A850" s="68"/>
      <c r="B850" s="70"/>
      <c r="C850" s="70"/>
      <c r="D850" s="70"/>
      <c r="E850" s="54" t="str">
        <f>IF(B850&lt;&gt;"",hddtohms(getlatitude(B850,C850,D850)),"")</f>
        <v/>
      </c>
      <c r="F850" s="54" t="str">
        <f>IF(B850&lt;&gt;"",hddtohms(-GetLongitude(B850,C850,D850)),"")</f>
        <v/>
      </c>
      <c r="G850" s="59" t="str">
        <f t="shared" si="13"/>
        <v/>
      </c>
    </row>
    <row r="851" spans="1:7" ht="15.75" thickBot="1" x14ac:dyDescent="0.3">
      <c r="A851" s="68"/>
      <c r="B851" s="70"/>
      <c r="C851" s="70"/>
      <c r="D851" s="70"/>
      <c r="E851" s="54" t="str">
        <f>IF(B851&lt;&gt;"",hddtohms(getlatitude(B851,C851,D851)),"")</f>
        <v/>
      </c>
      <c r="F851" s="54" t="str">
        <f>IF(B851&lt;&gt;"",hddtohms(-GetLongitude(B851,C851,D851)),"")</f>
        <v/>
      </c>
      <c r="G851" s="59" t="str">
        <f t="shared" si="13"/>
        <v/>
      </c>
    </row>
    <row r="852" spans="1:7" ht="15.75" thickBot="1" x14ac:dyDescent="0.3">
      <c r="A852" s="68"/>
      <c r="B852" s="70"/>
      <c r="C852" s="70"/>
      <c r="D852" s="70"/>
      <c r="E852" s="54" t="str">
        <f>IF(B852&lt;&gt;"",hddtohms(getlatitude(B852,C852,D852)),"")</f>
        <v/>
      </c>
      <c r="F852" s="54" t="str">
        <f>IF(B852&lt;&gt;"",hddtohms(-GetLongitude(B852,C852,D852)),"")</f>
        <v/>
      </c>
      <c r="G852" s="59" t="str">
        <f t="shared" si="13"/>
        <v/>
      </c>
    </row>
    <row r="853" spans="1:7" ht="15.75" thickBot="1" x14ac:dyDescent="0.3">
      <c r="A853" s="68"/>
      <c r="B853" s="70"/>
      <c r="C853" s="70"/>
      <c r="D853" s="70"/>
      <c r="E853" s="54" t="str">
        <f>IF(B853&lt;&gt;"",hddtohms(getlatitude(B853,C853,D853)),"")</f>
        <v/>
      </c>
      <c r="F853" s="54" t="str">
        <f>IF(B853&lt;&gt;"",hddtohms(-GetLongitude(B853,C853,D853)),"")</f>
        <v/>
      </c>
      <c r="G853" s="59" t="str">
        <f t="shared" si="13"/>
        <v/>
      </c>
    </row>
    <row r="854" spans="1:7" ht="15.75" thickBot="1" x14ac:dyDescent="0.3">
      <c r="A854" s="68"/>
      <c r="B854" s="70"/>
      <c r="C854" s="70"/>
      <c r="D854" s="70"/>
      <c r="E854" s="54" t="str">
        <f>IF(B854&lt;&gt;"",hddtohms(getlatitude(B854,C854,D854)),"")</f>
        <v/>
      </c>
      <c r="F854" s="54" t="str">
        <f>IF(B854&lt;&gt;"",hddtohms(-GetLongitude(B854,C854,D854)),"")</f>
        <v/>
      </c>
      <c r="G854" s="59" t="str">
        <f t="shared" si="13"/>
        <v/>
      </c>
    </row>
    <row r="855" spans="1:7" ht="15.75" thickBot="1" x14ac:dyDescent="0.3">
      <c r="A855" s="68"/>
      <c r="B855" s="70"/>
      <c r="C855" s="70"/>
      <c r="D855" s="70"/>
      <c r="E855" s="54" t="str">
        <f>IF(B855&lt;&gt;"",hddtohms(getlatitude(B855,C855,D855)),"")</f>
        <v/>
      </c>
      <c r="F855" s="54" t="str">
        <f>IF(B855&lt;&gt;"",hddtohms(-GetLongitude(B855,C855,D855)),"")</f>
        <v/>
      </c>
      <c r="G855" s="59" t="str">
        <f t="shared" si="13"/>
        <v/>
      </c>
    </row>
    <row r="856" spans="1:7" ht="15.75" thickBot="1" x14ac:dyDescent="0.3">
      <c r="A856" s="68"/>
      <c r="B856" s="70"/>
      <c r="C856" s="70"/>
      <c r="D856" s="70"/>
      <c r="E856" s="54" t="str">
        <f>IF(B856&lt;&gt;"",hddtohms(getlatitude(B856,C856,D856)),"")</f>
        <v/>
      </c>
      <c r="F856" s="54" t="str">
        <f>IF(B856&lt;&gt;"",hddtohms(-GetLongitude(B856,C856,D856)),"")</f>
        <v/>
      </c>
      <c r="G856" s="59" t="str">
        <f t="shared" si="13"/>
        <v/>
      </c>
    </row>
    <row r="857" spans="1:7" ht="15.75" thickBot="1" x14ac:dyDescent="0.3">
      <c r="A857" s="68"/>
      <c r="B857" s="70"/>
      <c r="C857" s="70"/>
      <c r="D857" s="70"/>
      <c r="E857" s="54" t="str">
        <f>IF(B857&lt;&gt;"",hddtohms(getlatitude(B857,C857,D857)),"")</f>
        <v/>
      </c>
      <c r="F857" s="54" t="str">
        <f>IF(B857&lt;&gt;"",hddtohms(-GetLongitude(B857,C857,D857)),"")</f>
        <v/>
      </c>
      <c r="G857" s="59" t="str">
        <f t="shared" si="13"/>
        <v/>
      </c>
    </row>
    <row r="858" spans="1:7" ht="15.75" thickBot="1" x14ac:dyDescent="0.3">
      <c r="A858" s="68"/>
      <c r="B858" s="70"/>
      <c r="C858" s="70"/>
      <c r="D858" s="70"/>
      <c r="E858" s="54" t="str">
        <f>IF(B858&lt;&gt;"",hddtohms(getlatitude(B858,C858,D858)),"")</f>
        <v/>
      </c>
      <c r="F858" s="54" t="str">
        <f>IF(B858&lt;&gt;"",hddtohms(-GetLongitude(B858,C858,D858)),"")</f>
        <v/>
      </c>
      <c r="G858" s="59" t="str">
        <f t="shared" si="13"/>
        <v/>
      </c>
    </row>
    <row r="859" spans="1:7" ht="15.75" thickBot="1" x14ac:dyDescent="0.3">
      <c r="A859" s="68"/>
      <c r="B859" s="70"/>
      <c r="C859" s="70"/>
      <c r="D859" s="70"/>
      <c r="E859" s="54" t="str">
        <f>IF(B859&lt;&gt;"",hddtohms(getlatitude(B859,C859,D859)),"")</f>
        <v/>
      </c>
      <c r="F859" s="54" t="str">
        <f>IF(B859&lt;&gt;"",hddtohms(-GetLongitude(B859,C859,D859)),"")</f>
        <v/>
      </c>
      <c r="G859" s="59" t="str">
        <f t="shared" si="13"/>
        <v/>
      </c>
    </row>
    <row r="860" spans="1:7" ht="15.75" thickBot="1" x14ac:dyDescent="0.3">
      <c r="A860" s="68"/>
      <c r="B860" s="70"/>
      <c r="C860" s="70"/>
      <c r="D860" s="70"/>
      <c r="E860" s="54" t="str">
        <f>IF(B860&lt;&gt;"",hddtohms(getlatitude(B860,C860,D860)),"")</f>
        <v/>
      </c>
      <c r="F860" s="54" t="str">
        <f>IF(B860&lt;&gt;"",hddtohms(-GetLongitude(B860,C860,D860)),"")</f>
        <v/>
      </c>
      <c r="G860" s="59" t="str">
        <f t="shared" si="13"/>
        <v/>
      </c>
    </row>
    <row r="861" spans="1:7" ht="15.75" thickBot="1" x14ac:dyDescent="0.3">
      <c r="A861" s="68"/>
      <c r="B861" s="70"/>
      <c r="C861" s="70"/>
      <c r="D861" s="70"/>
      <c r="E861" s="54" t="str">
        <f>IF(B861&lt;&gt;"",hddtohms(getlatitude(B861,C861,D861)),"")</f>
        <v/>
      </c>
      <c r="F861" s="54" t="str">
        <f>IF(B861&lt;&gt;"",hddtohms(-GetLongitude(B861,C861,D861)),"")</f>
        <v/>
      </c>
      <c r="G861" s="59" t="str">
        <f t="shared" si="13"/>
        <v/>
      </c>
    </row>
    <row r="862" spans="1:7" ht="15.75" thickBot="1" x14ac:dyDescent="0.3">
      <c r="A862" s="68"/>
      <c r="B862" s="70"/>
      <c r="C862" s="70"/>
      <c r="D862" s="70"/>
      <c r="E862" s="54" t="str">
        <f>IF(B862&lt;&gt;"",hddtohms(getlatitude(B862,C862,D862)),"")</f>
        <v/>
      </c>
      <c r="F862" s="54" t="str">
        <f>IF(B862&lt;&gt;"",hddtohms(-GetLongitude(B862,C862,D862)),"")</f>
        <v/>
      </c>
      <c r="G862" s="59" t="str">
        <f t="shared" si="13"/>
        <v/>
      </c>
    </row>
    <row r="863" spans="1:7" ht="15.75" thickBot="1" x14ac:dyDescent="0.3">
      <c r="A863" s="68"/>
      <c r="B863" s="70"/>
      <c r="C863" s="70"/>
      <c r="D863" s="70"/>
      <c r="E863" s="54" t="str">
        <f>IF(B863&lt;&gt;"",hddtohms(getlatitude(B863,C863,D863)),"")</f>
        <v/>
      </c>
      <c r="F863" s="54" t="str">
        <f>IF(B863&lt;&gt;"",hddtohms(-GetLongitude(B863,C863,D863)),"")</f>
        <v/>
      </c>
      <c r="G863" s="59" t="str">
        <f t="shared" si="13"/>
        <v/>
      </c>
    </row>
    <row r="864" spans="1:7" ht="15.75" thickBot="1" x14ac:dyDescent="0.3">
      <c r="A864" s="68"/>
      <c r="B864" s="70"/>
      <c r="C864" s="70"/>
      <c r="D864" s="70"/>
      <c r="E864" s="54" t="str">
        <f>IF(B864&lt;&gt;"",hddtohms(getlatitude(B864,C864,D864)),"")</f>
        <v/>
      </c>
      <c r="F864" s="54" t="str">
        <f>IF(B864&lt;&gt;"",hddtohms(-GetLongitude(B864,C864,D864)),"")</f>
        <v/>
      </c>
      <c r="G864" s="59" t="str">
        <f t="shared" si="13"/>
        <v/>
      </c>
    </row>
    <row r="865" spans="1:7" ht="15.75" thickBot="1" x14ac:dyDescent="0.3">
      <c r="A865" s="68"/>
      <c r="B865" s="70"/>
      <c r="C865" s="70"/>
      <c r="D865" s="70"/>
      <c r="E865" s="54" t="str">
        <f>IF(B865&lt;&gt;"",hddtohms(getlatitude(B865,C865,D865)),"")</f>
        <v/>
      </c>
      <c r="F865" s="54" t="str">
        <f>IF(B865&lt;&gt;"",hddtohms(-GetLongitude(B865,C865,D865)),"")</f>
        <v/>
      </c>
      <c r="G865" s="59" t="str">
        <f t="shared" si="13"/>
        <v/>
      </c>
    </row>
    <row r="866" spans="1:7" ht="15.75" thickBot="1" x14ac:dyDescent="0.3">
      <c r="A866" s="68"/>
      <c r="B866" s="70"/>
      <c r="C866" s="70"/>
      <c r="D866" s="70"/>
      <c r="E866" s="54" t="str">
        <f>IF(B866&lt;&gt;"",hddtohms(getlatitude(B866,C866,D866)),"")</f>
        <v/>
      </c>
      <c r="F866" s="54" t="str">
        <f>IF(B866&lt;&gt;"",hddtohms(-GetLongitude(B866,C866,D866)),"")</f>
        <v/>
      </c>
      <c r="G866" s="59" t="str">
        <f t="shared" si="13"/>
        <v/>
      </c>
    </row>
    <row r="867" spans="1:7" ht="15.75" thickBot="1" x14ac:dyDescent="0.3">
      <c r="A867" s="68"/>
      <c r="B867" s="70"/>
      <c r="C867" s="70"/>
      <c r="D867" s="70"/>
      <c r="E867" s="54" t="str">
        <f>IF(B867&lt;&gt;"",hddtohms(getlatitude(B867,C867,D867)),"")</f>
        <v/>
      </c>
      <c r="F867" s="54" t="str">
        <f>IF(B867&lt;&gt;"",hddtohms(-GetLongitude(B867,C867,D867)),"")</f>
        <v/>
      </c>
      <c r="G867" s="59" t="str">
        <f t="shared" si="13"/>
        <v/>
      </c>
    </row>
    <row r="868" spans="1:7" ht="15.75" thickBot="1" x14ac:dyDescent="0.3">
      <c r="A868" s="68"/>
      <c r="B868" s="70"/>
      <c r="C868" s="70"/>
      <c r="D868" s="70"/>
      <c r="E868" s="54" t="str">
        <f>IF(B868&lt;&gt;"",hddtohms(getlatitude(B868,C868,D868)),"")</f>
        <v/>
      </c>
      <c r="F868" s="54" t="str">
        <f>IF(B868&lt;&gt;"",hddtohms(-GetLongitude(B868,C868,D868)),"")</f>
        <v/>
      </c>
      <c r="G868" s="59" t="str">
        <f t="shared" si="13"/>
        <v/>
      </c>
    </row>
    <row r="869" spans="1:7" ht="15.75" thickBot="1" x14ac:dyDescent="0.3">
      <c r="A869" s="68"/>
      <c r="B869" s="70"/>
      <c r="C869" s="70"/>
      <c r="D869" s="70"/>
      <c r="E869" s="54" t="str">
        <f>IF(B869&lt;&gt;"",hddtohms(getlatitude(B869,C869,D869)),"")</f>
        <v/>
      </c>
      <c r="F869" s="54" t="str">
        <f>IF(B869&lt;&gt;"",hddtohms(-GetLongitude(B869,C869,D869)),"")</f>
        <v/>
      </c>
      <c r="G869" s="59" t="str">
        <f t="shared" si="13"/>
        <v/>
      </c>
    </row>
    <row r="870" spans="1:7" ht="15.75" thickBot="1" x14ac:dyDescent="0.3">
      <c r="A870" s="68"/>
      <c r="B870" s="70"/>
      <c r="C870" s="70"/>
      <c r="D870" s="70"/>
      <c r="E870" s="54" t="str">
        <f>IF(B870&lt;&gt;"",hddtohms(getlatitude(B870,C870,D870)),"")</f>
        <v/>
      </c>
      <c r="F870" s="54" t="str">
        <f>IF(B870&lt;&gt;"",hddtohms(-GetLongitude(B870,C870,D870)),"")</f>
        <v/>
      </c>
      <c r="G870" s="59" t="str">
        <f t="shared" si="13"/>
        <v/>
      </c>
    </row>
    <row r="871" spans="1:7" ht="15.75" thickBot="1" x14ac:dyDescent="0.3">
      <c r="A871" s="68"/>
      <c r="B871" s="70"/>
      <c r="C871" s="70"/>
      <c r="D871" s="70"/>
      <c r="E871" s="54" t="str">
        <f>IF(B871&lt;&gt;"",hddtohms(getlatitude(B871,C871,D871)),"")</f>
        <v/>
      </c>
      <c r="F871" s="54" t="str">
        <f>IF(B871&lt;&gt;"",hddtohms(-GetLongitude(B871,C871,D871)),"")</f>
        <v/>
      </c>
      <c r="G871" s="59" t="str">
        <f t="shared" si="13"/>
        <v/>
      </c>
    </row>
    <row r="872" spans="1:7" ht="15.75" thickBot="1" x14ac:dyDescent="0.3">
      <c r="A872" s="68"/>
      <c r="B872" s="70"/>
      <c r="C872" s="70"/>
      <c r="D872" s="70"/>
      <c r="E872" s="54" t="str">
        <f>IF(B872&lt;&gt;"",hddtohms(getlatitude(B872,C872,D872)),"")</f>
        <v/>
      </c>
      <c r="F872" s="54" t="str">
        <f>IF(B872&lt;&gt;"",hddtohms(-GetLongitude(B872,C872,D872)),"")</f>
        <v/>
      </c>
      <c r="G872" s="59" t="str">
        <f t="shared" ref="G872:G935" si="14">IF(B872&lt;&gt;"",GetHeight(B872,C872,D872),"")</f>
        <v/>
      </c>
    </row>
    <row r="873" spans="1:7" ht="15.75" thickBot="1" x14ac:dyDescent="0.3">
      <c r="A873" s="68"/>
      <c r="B873" s="70"/>
      <c r="C873" s="70"/>
      <c r="D873" s="70"/>
      <c r="E873" s="54" t="str">
        <f>IF(B873&lt;&gt;"",hddtohms(getlatitude(B873,C873,D873)),"")</f>
        <v/>
      </c>
      <c r="F873" s="54" t="str">
        <f>IF(B873&lt;&gt;"",hddtohms(-GetLongitude(B873,C873,D873)),"")</f>
        <v/>
      </c>
      <c r="G873" s="59" t="str">
        <f t="shared" si="14"/>
        <v/>
      </c>
    </row>
    <row r="874" spans="1:7" ht="15.75" thickBot="1" x14ac:dyDescent="0.3">
      <c r="A874" s="68"/>
      <c r="B874" s="70"/>
      <c r="C874" s="70"/>
      <c r="D874" s="70"/>
      <c r="E874" s="54" t="str">
        <f>IF(B874&lt;&gt;"",hddtohms(getlatitude(B874,C874,D874)),"")</f>
        <v/>
      </c>
      <c r="F874" s="54" t="str">
        <f>IF(B874&lt;&gt;"",hddtohms(-GetLongitude(B874,C874,D874)),"")</f>
        <v/>
      </c>
      <c r="G874" s="59" t="str">
        <f t="shared" si="14"/>
        <v/>
      </c>
    </row>
    <row r="875" spans="1:7" ht="15.75" thickBot="1" x14ac:dyDescent="0.3">
      <c r="A875" s="68"/>
      <c r="B875" s="70"/>
      <c r="C875" s="70"/>
      <c r="D875" s="70"/>
      <c r="E875" s="54" t="str">
        <f>IF(B875&lt;&gt;"",hddtohms(getlatitude(B875,C875,D875)),"")</f>
        <v/>
      </c>
      <c r="F875" s="54" t="str">
        <f>IF(B875&lt;&gt;"",hddtohms(-GetLongitude(B875,C875,D875)),"")</f>
        <v/>
      </c>
      <c r="G875" s="59" t="str">
        <f t="shared" si="14"/>
        <v/>
      </c>
    </row>
    <row r="876" spans="1:7" ht="15.75" thickBot="1" x14ac:dyDescent="0.3">
      <c r="A876" s="68"/>
      <c r="B876" s="70"/>
      <c r="C876" s="70"/>
      <c r="D876" s="70"/>
      <c r="E876" s="54" t="str">
        <f>IF(B876&lt;&gt;"",hddtohms(getlatitude(B876,C876,D876)),"")</f>
        <v/>
      </c>
      <c r="F876" s="54" t="str">
        <f>IF(B876&lt;&gt;"",hddtohms(-GetLongitude(B876,C876,D876)),"")</f>
        <v/>
      </c>
      <c r="G876" s="59" t="str">
        <f t="shared" si="14"/>
        <v/>
      </c>
    </row>
    <row r="877" spans="1:7" ht="15.75" thickBot="1" x14ac:dyDescent="0.3">
      <c r="A877" s="68"/>
      <c r="B877" s="70"/>
      <c r="C877" s="70"/>
      <c r="D877" s="70"/>
      <c r="E877" s="54" t="str">
        <f>IF(B877&lt;&gt;"",hddtohms(getlatitude(B877,C877,D877)),"")</f>
        <v/>
      </c>
      <c r="F877" s="54" t="str">
        <f>IF(B877&lt;&gt;"",hddtohms(-GetLongitude(B877,C877,D877)),"")</f>
        <v/>
      </c>
      <c r="G877" s="59" t="str">
        <f t="shared" si="14"/>
        <v/>
      </c>
    </row>
    <row r="878" spans="1:7" ht="15.75" thickBot="1" x14ac:dyDescent="0.3">
      <c r="A878" s="68"/>
      <c r="B878" s="70"/>
      <c r="C878" s="70"/>
      <c r="D878" s="70"/>
      <c r="E878" s="54" t="str">
        <f>IF(B878&lt;&gt;"",hddtohms(getlatitude(B878,C878,D878)),"")</f>
        <v/>
      </c>
      <c r="F878" s="54" t="str">
        <f>IF(B878&lt;&gt;"",hddtohms(-GetLongitude(B878,C878,D878)),"")</f>
        <v/>
      </c>
      <c r="G878" s="59" t="str">
        <f t="shared" si="14"/>
        <v/>
      </c>
    </row>
    <row r="879" spans="1:7" ht="15.75" thickBot="1" x14ac:dyDescent="0.3">
      <c r="A879" s="68"/>
      <c r="B879" s="70"/>
      <c r="C879" s="70"/>
      <c r="D879" s="70"/>
      <c r="E879" s="54" t="str">
        <f>IF(B879&lt;&gt;"",hddtohms(getlatitude(B879,C879,D879)),"")</f>
        <v/>
      </c>
      <c r="F879" s="54" t="str">
        <f>IF(B879&lt;&gt;"",hddtohms(-GetLongitude(B879,C879,D879)),"")</f>
        <v/>
      </c>
      <c r="G879" s="59" t="str">
        <f t="shared" si="14"/>
        <v/>
      </c>
    </row>
    <row r="880" spans="1:7" ht="15.75" thickBot="1" x14ac:dyDescent="0.3">
      <c r="A880" s="68"/>
      <c r="B880" s="70"/>
      <c r="C880" s="70"/>
      <c r="D880" s="70"/>
      <c r="E880" s="54" t="str">
        <f>IF(B880&lt;&gt;"",hddtohms(getlatitude(B880,C880,D880)),"")</f>
        <v/>
      </c>
      <c r="F880" s="54" t="str">
        <f>IF(B880&lt;&gt;"",hddtohms(-GetLongitude(B880,C880,D880)),"")</f>
        <v/>
      </c>
      <c r="G880" s="59" t="str">
        <f t="shared" si="14"/>
        <v/>
      </c>
    </row>
    <row r="881" spans="1:7" ht="15.75" thickBot="1" x14ac:dyDescent="0.3">
      <c r="A881" s="68"/>
      <c r="B881" s="70"/>
      <c r="C881" s="70"/>
      <c r="D881" s="70"/>
      <c r="E881" s="54" t="str">
        <f>IF(B881&lt;&gt;"",hddtohms(getlatitude(B881,C881,D881)),"")</f>
        <v/>
      </c>
      <c r="F881" s="54" t="str">
        <f>IF(B881&lt;&gt;"",hddtohms(-GetLongitude(B881,C881,D881)),"")</f>
        <v/>
      </c>
      <c r="G881" s="59" t="str">
        <f t="shared" si="14"/>
        <v/>
      </c>
    </row>
    <row r="882" spans="1:7" ht="15.75" thickBot="1" x14ac:dyDescent="0.3">
      <c r="A882" s="68"/>
      <c r="B882" s="70"/>
      <c r="C882" s="70"/>
      <c r="D882" s="70"/>
      <c r="E882" s="54" t="str">
        <f>IF(B882&lt;&gt;"",hddtohms(getlatitude(B882,C882,D882)),"")</f>
        <v/>
      </c>
      <c r="F882" s="54" t="str">
        <f>IF(B882&lt;&gt;"",hddtohms(-GetLongitude(B882,C882,D882)),"")</f>
        <v/>
      </c>
      <c r="G882" s="59" t="str">
        <f t="shared" si="14"/>
        <v/>
      </c>
    </row>
    <row r="883" spans="1:7" ht="15.75" thickBot="1" x14ac:dyDescent="0.3">
      <c r="A883" s="68"/>
      <c r="B883" s="70"/>
      <c r="C883" s="70"/>
      <c r="D883" s="70"/>
      <c r="E883" s="54" t="str">
        <f>IF(B883&lt;&gt;"",hddtohms(getlatitude(B883,C883,D883)),"")</f>
        <v/>
      </c>
      <c r="F883" s="54" t="str">
        <f>IF(B883&lt;&gt;"",hddtohms(-GetLongitude(B883,C883,D883)),"")</f>
        <v/>
      </c>
      <c r="G883" s="59" t="str">
        <f t="shared" si="14"/>
        <v/>
      </c>
    </row>
    <row r="884" spans="1:7" ht="15.75" thickBot="1" x14ac:dyDescent="0.3">
      <c r="A884" s="68"/>
      <c r="B884" s="70"/>
      <c r="C884" s="70"/>
      <c r="D884" s="70"/>
      <c r="E884" s="54" t="str">
        <f>IF(B884&lt;&gt;"",hddtohms(getlatitude(B884,C884,D884)),"")</f>
        <v/>
      </c>
      <c r="F884" s="54" t="str">
        <f>IF(B884&lt;&gt;"",hddtohms(-GetLongitude(B884,C884,D884)),"")</f>
        <v/>
      </c>
      <c r="G884" s="59" t="str">
        <f t="shared" si="14"/>
        <v/>
      </c>
    </row>
    <row r="885" spans="1:7" ht="15.75" thickBot="1" x14ac:dyDescent="0.3">
      <c r="A885" s="68"/>
      <c r="B885" s="70"/>
      <c r="C885" s="70"/>
      <c r="D885" s="70"/>
      <c r="E885" s="54" t="str">
        <f>IF(B885&lt;&gt;"",hddtohms(getlatitude(B885,C885,D885)),"")</f>
        <v/>
      </c>
      <c r="F885" s="54" t="str">
        <f>IF(B885&lt;&gt;"",hddtohms(-GetLongitude(B885,C885,D885)),"")</f>
        <v/>
      </c>
      <c r="G885" s="59" t="str">
        <f t="shared" si="14"/>
        <v/>
      </c>
    </row>
    <row r="886" spans="1:7" ht="15.75" thickBot="1" x14ac:dyDescent="0.3">
      <c r="A886" s="68"/>
      <c r="B886" s="70"/>
      <c r="C886" s="70"/>
      <c r="D886" s="70"/>
      <c r="E886" s="54" t="str">
        <f>IF(B886&lt;&gt;"",hddtohms(getlatitude(B886,C886,D886)),"")</f>
        <v/>
      </c>
      <c r="F886" s="54" t="str">
        <f>IF(B886&lt;&gt;"",hddtohms(-GetLongitude(B886,C886,D886)),"")</f>
        <v/>
      </c>
      <c r="G886" s="59" t="str">
        <f t="shared" si="14"/>
        <v/>
      </c>
    </row>
    <row r="887" spans="1:7" ht="15.75" thickBot="1" x14ac:dyDescent="0.3">
      <c r="A887" s="68"/>
      <c r="B887" s="70"/>
      <c r="C887" s="70"/>
      <c r="D887" s="70"/>
      <c r="E887" s="54" t="str">
        <f>IF(B887&lt;&gt;"",hddtohms(getlatitude(B887,C887,D887)),"")</f>
        <v/>
      </c>
      <c r="F887" s="54" t="str">
        <f>IF(B887&lt;&gt;"",hddtohms(-GetLongitude(B887,C887,D887)),"")</f>
        <v/>
      </c>
      <c r="G887" s="59" t="str">
        <f t="shared" si="14"/>
        <v/>
      </c>
    </row>
    <row r="888" spans="1:7" ht="15.75" thickBot="1" x14ac:dyDescent="0.3">
      <c r="A888" s="68"/>
      <c r="B888" s="70"/>
      <c r="C888" s="70"/>
      <c r="D888" s="70"/>
      <c r="E888" s="54" t="str">
        <f>IF(B888&lt;&gt;"",hddtohms(getlatitude(B888,C888,D888)),"")</f>
        <v/>
      </c>
      <c r="F888" s="54" t="str">
        <f>IF(B888&lt;&gt;"",hddtohms(-GetLongitude(B888,C888,D888)),"")</f>
        <v/>
      </c>
      <c r="G888" s="59" t="str">
        <f t="shared" si="14"/>
        <v/>
      </c>
    </row>
    <row r="889" spans="1:7" ht="15.75" thickBot="1" x14ac:dyDescent="0.3">
      <c r="A889" s="68"/>
      <c r="B889" s="70"/>
      <c r="C889" s="70"/>
      <c r="D889" s="70"/>
      <c r="E889" s="54" t="str">
        <f>IF(B889&lt;&gt;"",hddtohms(getlatitude(B889,C889,D889)),"")</f>
        <v/>
      </c>
      <c r="F889" s="54" t="str">
        <f>IF(B889&lt;&gt;"",hddtohms(-GetLongitude(B889,C889,D889)),"")</f>
        <v/>
      </c>
      <c r="G889" s="59" t="str">
        <f t="shared" si="14"/>
        <v/>
      </c>
    </row>
    <row r="890" spans="1:7" ht="15.75" thickBot="1" x14ac:dyDescent="0.3">
      <c r="A890" s="68"/>
      <c r="B890" s="70"/>
      <c r="C890" s="70"/>
      <c r="D890" s="70"/>
      <c r="E890" s="54" t="str">
        <f>IF(B890&lt;&gt;"",hddtohms(getlatitude(B890,C890,D890)),"")</f>
        <v/>
      </c>
      <c r="F890" s="54" t="str">
        <f>IF(B890&lt;&gt;"",hddtohms(-GetLongitude(B890,C890,D890)),"")</f>
        <v/>
      </c>
      <c r="G890" s="59" t="str">
        <f t="shared" si="14"/>
        <v/>
      </c>
    </row>
    <row r="891" spans="1:7" ht="15.75" thickBot="1" x14ac:dyDescent="0.3">
      <c r="A891" s="68"/>
      <c r="B891" s="70"/>
      <c r="C891" s="70"/>
      <c r="D891" s="70"/>
      <c r="E891" s="54" t="str">
        <f>IF(B891&lt;&gt;"",hddtohms(getlatitude(B891,C891,D891)),"")</f>
        <v/>
      </c>
      <c r="F891" s="54" t="str">
        <f>IF(B891&lt;&gt;"",hddtohms(-GetLongitude(B891,C891,D891)),"")</f>
        <v/>
      </c>
      <c r="G891" s="59" t="str">
        <f t="shared" si="14"/>
        <v/>
      </c>
    </row>
    <row r="892" spans="1:7" ht="15.75" thickBot="1" x14ac:dyDescent="0.3">
      <c r="A892" s="68"/>
      <c r="B892" s="70"/>
      <c r="C892" s="70"/>
      <c r="D892" s="70"/>
      <c r="E892" s="54" t="str">
        <f>IF(B892&lt;&gt;"",hddtohms(getlatitude(B892,C892,D892)),"")</f>
        <v/>
      </c>
      <c r="F892" s="54" t="str">
        <f>IF(B892&lt;&gt;"",hddtohms(-GetLongitude(B892,C892,D892)),"")</f>
        <v/>
      </c>
      <c r="G892" s="59" t="str">
        <f t="shared" si="14"/>
        <v/>
      </c>
    </row>
    <row r="893" spans="1:7" ht="15.75" thickBot="1" x14ac:dyDescent="0.3">
      <c r="A893" s="68"/>
      <c r="B893" s="70"/>
      <c r="C893" s="70"/>
      <c r="D893" s="70"/>
      <c r="E893" s="54" t="str">
        <f>IF(B893&lt;&gt;"",hddtohms(getlatitude(B893,C893,D893)),"")</f>
        <v/>
      </c>
      <c r="F893" s="54" t="str">
        <f>IF(B893&lt;&gt;"",hddtohms(-GetLongitude(B893,C893,D893)),"")</f>
        <v/>
      </c>
      <c r="G893" s="59" t="str">
        <f t="shared" si="14"/>
        <v/>
      </c>
    </row>
    <row r="894" spans="1:7" ht="15.75" thickBot="1" x14ac:dyDescent="0.3">
      <c r="A894" s="68"/>
      <c r="B894" s="70"/>
      <c r="C894" s="70"/>
      <c r="D894" s="70"/>
      <c r="E894" s="54" t="str">
        <f>IF(B894&lt;&gt;"",hddtohms(getlatitude(B894,C894,D894)),"")</f>
        <v/>
      </c>
      <c r="F894" s="54" t="str">
        <f>IF(B894&lt;&gt;"",hddtohms(-GetLongitude(B894,C894,D894)),"")</f>
        <v/>
      </c>
      <c r="G894" s="59" t="str">
        <f t="shared" si="14"/>
        <v/>
      </c>
    </row>
    <row r="895" spans="1:7" ht="15.75" thickBot="1" x14ac:dyDescent="0.3">
      <c r="A895" s="68"/>
      <c r="B895" s="70"/>
      <c r="C895" s="70"/>
      <c r="D895" s="70"/>
      <c r="E895" s="54" t="str">
        <f>IF(B895&lt;&gt;"",hddtohms(getlatitude(B895,C895,D895)),"")</f>
        <v/>
      </c>
      <c r="F895" s="54" t="str">
        <f>IF(B895&lt;&gt;"",hddtohms(-GetLongitude(B895,C895,D895)),"")</f>
        <v/>
      </c>
      <c r="G895" s="59" t="str">
        <f t="shared" si="14"/>
        <v/>
      </c>
    </row>
    <row r="896" spans="1:7" ht="15.75" thickBot="1" x14ac:dyDescent="0.3">
      <c r="A896" s="68"/>
      <c r="B896" s="70"/>
      <c r="C896" s="70"/>
      <c r="D896" s="70"/>
      <c r="E896" s="54" t="str">
        <f>IF(B896&lt;&gt;"",hddtohms(getlatitude(B896,C896,D896)),"")</f>
        <v/>
      </c>
      <c r="F896" s="54" t="str">
        <f>IF(B896&lt;&gt;"",hddtohms(-GetLongitude(B896,C896,D896)),"")</f>
        <v/>
      </c>
      <c r="G896" s="59" t="str">
        <f t="shared" si="14"/>
        <v/>
      </c>
    </row>
    <row r="897" spans="1:7" ht="15.75" thickBot="1" x14ac:dyDescent="0.3">
      <c r="A897" s="68"/>
      <c r="B897" s="70"/>
      <c r="C897" s="70"/>
      <c r="D897" s="70"/>
      <c r="E897" s="54" t="str">
        <f>IF(B897&lt;&gt;"",hddtohms(getlatitude(B897,C897,D897)),"")</f>
        <v/>
      </c>
      <c r="F897" s="54" t="str">
        <f>IF(B897&lt;&gt;"",hddtohms(-GetLongitude(B897,C897,D897)),"")</f>
        <v/>
      </c>
      <c r="G897" s="59" t="str">
        <f t="shared" si="14"/>
        <v/>
      </c>
    </row>
    <row r="898" spans="1:7" ht="15.75" thickBot="1" x14ac:dyDescent="0.3">
      <c r="A898" s="68"/>
      <c r="B898" s="70"/>
      <c r="C898" s="70"/>
      <c r="D898" s="70"/>
      <c r="E898" s="54" t="str">
        <f>IF(B898&lt;&gt;"",hddtohms(getlatitude(B898,C898,D898)),"")</f>
        <v/>
      </c>
      <c r="F898" s="54" t="str">
        <f>IF(B898&lt;&gt;"",hddtohms(-GetLongitude(B898,C898,D898)),"")</f>
        <v/>
      </c>
      <c r="G898" s="59" t="str">
        <f t="shared" si="14"/>
        <v/>
      </c>
    </row>
    <row r="899" spans="1:7" ht="15.75" thickBot="1" x14ac:dyDescent="0.3">
      <c r="A899" s="68"/>
      <c r="B899" s="70"/>
      <c r="C899" s="70"/>
      <c r="D899" s="70"/>
      <c r="E899" s="54" t="str">
        <f>IF(B899&lt;&gt;"",hddtohms(getlatitude(B899,C899,D899)),"")</f>
        <v/>
      </c>
      <c r="F899" s="54" t="str">
        <f>IF(B899&lt;&gt;"",hddtohms(-GetLongitude(B899,C899,D899)),"")</f>
        <v/>
      </c>
      <c r="G899" s="59" t="str">
        <f t="shared" si="14"/>
        <v/>
      </c>
    </row>
    <row r="900" spans="1:7" ht="15.75" thickBot="1" x14ac:dyDescent="0.3">
      <c r="A900" s="68"/>
      <c r="B900" s="70"/>
      <c r="C900" s="70"/>
      <c r="D900" s="70"/>
      <c r="E900" s="54" t="str">
        <f>IF(B900&lt;&gt;"",hddtohms(getlatitude(B900,C900,D900)),"")</f>
        <v/>
      </c>
      <c r="F900" s="54" t="str">
        <f>IF(B900&lt;&gt;"",hddtohms(-GetLongitude(B900,C900,D900)),"")</f>
        <v/>
      </c>
      <c r="G900" s="59" t="str">
        <f t="shared" si="14"/>
        <v/>
      </c>
    </row>
    <row r="901" spans="1:7" ht="15.75" thickBot="1" x14ac:dyDescent="0.3">
      <c r="A901" s="68"/>
      <c r="B901" s="70"/>
      <c r="C901" s="70"/>
      <c r="D901" s="70"/>
      <c r="E901" s="54" t="str">
        <f>IF(B901&lt;&gt;"",hddtohms(getlatitude(B901,C901,D901)),"")</f>
        <v/>
      </c>
      <c r="F901" s="54" t="str">
        <f>IF(B901&lt;&gt;"",hddtohms(-GetLongitude(B901,C901,D901)),"")</f>
        <v/>
      </c>
      <c r="G901" s="59" t="str">
        <f t="shared" si="14"/>
        <v/>
      </c>
    </row>
    <row r="902" spans="1:7" ht="15.75" thickBot="1" x14ac:dyDescent="0.3">
      <c r="A902" s="68"/>
      <c r="B902" s="70"/>
      <c r="C902" s="70"/>
      <c r="D902" s="70"/>
      <c r="E902" s="54" t="str">
        <f>IF(B902&lt;&gt;"",hddtohms(getlatitude(B902,C902,D902)),"")</f>
        <v/>
      </c>
      <c r="F902" s="54" t="str">
        <f>IF(B902&lt;&gt;"",hddtohms(-GetLongitude(B902,C902,D902)),"")</f>
        <v/>
      </c>
      <c r="G902" s="59" t="str">
        <f t="shared" si="14"/>
        <v/>
      </c>
    </row>
    <row r="903" spans="1:7" ht="15.75" thickBot="1" x14ac:dyDescent="0.3">
      <c r="A903" s="68"/>
      <c r="B903" s="70"/>
      <c r="C903" s="70"/>
      <c r="D903" s="70"/>
      <c r="E903" s="54" t="str">
        <f>IF(B903&lt;&gt;"",hddtohms(getlatitude(B903,C903,D903)),"")</f>
        <v/>
      </c>
      <c r="F903" s="54" t="str">
        <f>IF(B903&lt;&gt;"",hddtohms(-GetLongitude(B903,C903,D903)),"")</f>
        <v/>
      </c>
      <c r="G903" s="59" t="str">
        <f t="shared" si="14"/>
        <v/>
      </c>
    </row>
    <row r="904" spans="1:7" ht="15.75" thickBot="1" x14ac:dyDescent="0.3">
      <c r="A904" s="68"/>
      <c r="B904" s="70"/>
      <c r="C904" s="70"/>
      <c r="D904" s="70"/>
      <c r="E904" s="54" t="str">
        <f>IF(B904&lt;&gt;"",hddtohms(getlatitude(B904,C904,D904)),"")</f>
        <v/>
      </c>
      <c r="F904" s="54" t="str">
        <f>IF(B904&lt;&gt;"",hddtohms(-GetLongitude(B904,C904,D904)),"")</f>
        <v/>
      </c>
      <c r="G904" s="59" t="str">
        <f t="shared" si="14"/>
        <v/>
      </c>
    </row>
    <row r="905" spans="1:7" ht="15.75" thickBot="1" x14ac:dyDescent="0.3">
      <c r="A905" s="68"/>
      <c r="B905" s="70"/>
      <c r="C905" s="70"/>
      <c r="D905" s="70"/>
      <c r="E905" s="54" t="str">
        <f>IF(B905&lt;&gt;"",hddtohms(getlatitude(B905,C905,D905)),"")</f>
        <v/>
      </c>
      <c r="F905" s="54" t="str">
        <f>IF(B905&lt;&gt;"",hddtohms(-GetLongitude(B905,C905,D905)),"")</f>
        <v/>
      </c>
      <c r="G905" s="59" t="str">
        <f t="shared" si="14"/>
        <v/>
      </c>
    </row>
    <row r="906" spans="1:7" ht="15.75" thickBot="1" x14ac:dyDescent="0.3">
      <c r="A906" s="68"/>
      <c r="B906" s="70"/>
      <c r="C906" s="70"/>
      <c r="D906" s="70"/>
      <c r="E906" s="54" t="str">
        <f>IF(B906&lt;&gt;"",hddtohms(getlatitude(B906,C906,D906)),"")</f>
        <v/>
      </c>
      <c r="F906" s="54" t="str">
        <f>IF(B906&lt;&gt;"",hddtohms(-GetLongitude(B906,C906,D906)),"")</f>
        <v/>
      </c>
      <c r="G906" s="59" t="str">
        <f t="shared" si="14"/>
        <v/>
      </c>
    </row>
    <row r="907" spans="1:7" ht="15.75" thickBot="1" x14ac:dyDescent="0.3">
      <c r="A907" s="68"/>
      <c r="B907" s="70"/>
      <c r="C907" s="70"/>
      <c r="D907" s="70"/>
      <c r="E907" s="54" t="str">
        <f>IF(B907&lt;&gt;"",hddtohms(getlatitude(B907,C907,D907)),"")</f>
        <v/>
      </c>
      <c r="F907" s="54" t="str">
        <f>IF(B907&lt;&gt;"",hddtohms(-GetLongitude(B907,C907,D907)),"")</f>
        <v/>
      </c>
      <c r="G907" s="59" t="str">
        <f t="shared" si="14"/>
        <v/>
      </c>
    </row>
    <row r="908" spans="1:7" ht="15.75" thickBot="1" x14ac:dyDescent="0.3">
      <c r="A908" s="68"/>
      <c r="B908" s="70"/>
      <c r="C908" s="70"/>
      <c r="D908" s="70"/>
      <c r="E908" s="54" t="str">
        <f>IF(B908&lt;&gt;"",hddtohms(getlatitude(B908,C908,D908)),"")</f>
        <v/>
      </c>
      <c r="F908" s="54" t="str">
        <f>IF(B908&lt;&gt;"",hddtohms(-GetLongitude(B908,C908,D908)),"")</f>
        <v/>
      </c>
      <c r="G908" s="59" t="str">
        <f t="shared" si="14"/>
        <v/>
      </c>
    </row>
    <row r="909" spans="1:7" ht="15.75" thickBot="1" x14ac:dyDescent="0.3">
      <c r="A909" s="68"/>
      <c r="B909" s="70"/>
      <c r="C909" s="70"/>
      <c r="D909" s="70"/>
      <c r="E909" s="54" t="str">
        <f>IF(B909&lt;&gt;"",hddtohms(getlatitude(B909,C909,D909)),"")</f>
        <v/>
      </c>
      <c r="F909" s="54" t="str">
        <f>IF(B909&lt;&gt;"",hddtohms(-GetLongitude(B909,C909,D909)),"")</f>
        <v/>
      </c>
      <c r="G909" s="59" t="str">
        <f t="shared" si="14"/>
        <v/>
      </c>
    </row>
    <row r="910" spans="1:7" ht="15.75" thickBot="1" x14ac:dyDescent="0.3">
      <c r="A910" s="68"/>
      <c r="B910" s="70"/>
      <c r="C910" s="70"/>
      <c r="D910" s="70"/>
      <c r="E910" s="54" t="str">
        <f>IF(B910&lt;&gt;"",hddtohms(getlatitude(B910,C910,D910)),"")</f>
        <v/>
      </c>
      <c r="F910" s="54" t="str">
        <f>IF(B910&lt;&gt;"",hddtohms(-GetLongitude(B910,C910,D910)),"")</f>
        <v/>
      </c>
      <c r="G910" s="59" t="str">
        <f t="shared" si="14"/>
        <v/>
      </c>
    </row>
    <row r="911" spans="1:7" ht="15.75" thickBot="1" x14ac:dyDescent="0.3">
      <c r="A911" s="68"/>
      <c r="B911" s="70"/>
      <c r="C911" s="70"/>
      <c r="D911" s="70"/>
      <c r="E911" s="54" t="str">
        <f>IF(B911&lt;&gt;"",hddtohms(getlatitude(B911,C911,D911)),"")</f>
        <v/>
      </c>
      <c r="F911" s="54" t="str">
        <f>IF(B911&lt;&gt;"",hddtohms(-GetLongitude(B911,C911,D911)),"")</f>
        <v/>
      </c>
      <c r="G911" s="59" t="str">
        <f t="shared" si="14"/>
        <v/>
      </c>
    </row>
    <row r="912" spans="1:7" ht="15.75" thickBot="1" x14ac:dyDescent="0.3">
      <c r="A912" s="68"/>
      <c r="B912" s="70"/>
      <c r="C912" s="70"/>
      <c r="D912" s="70"/>
      <c r="E912" s="54" t="str">
        <f>IF(B912&lt;&gt;"",hddtohms(getlatitude(B912,C912,D912)),"")</f>
        <v/>
      </c>
      <c r="F912" s="54" t="str">
        <f>IF(B912&lt;&gt;"",hddtohms(-GetLongitude(B912,C912,D912)),"")</f>
        <v/>
      </c>
      <c r="G912" s="59" t="str">
        <f t="shared" si="14"/>
        <v/>
      </c>
    </row>
    <row r="913" spans="1:7" ht="15.75" thickBot="1" x14ac:dyDescent="0.3">
      <c r="A913" s="68"/>
      <c r="B913" s="70"/>
      <c r="C913" s="70"/>
      <c r="D913" s="70"/>
      <c r="E913" s="54" t="str">
        <f>IF(B913&lt;&gt;"",hddtohms(getlatitude(B913,C913,D913)),"")</f>
        <v/>
      </c>
      <c r="F913" s="54" t="str">
        <f>IF(B913&lt;&gt;"",hddtohms(-GetLongitude(B913,C913,D913)),"")</f>
        <v/>
      </c>
      <c r="G913" s="59" t="str">
        <f t="shared" si="14"/>
        <v/>
      </c>
    </row>
    <row r="914" spans="1:7" ht="15.75" thickBot="1" x14ac:dyDescent="0.3">
      <c r="A914" s="68"/>
      <c r="B914" s="70"/>
      <c r="C914" s="70"/>
      <c r="D914" s="70"/>
      <c r="E914" s="54" t="str">
        <f>IF(B914&lt;&gt;"",hddtohms(getlatitude(B914,C914,D914)),"")</f>
        <v/>
      </c>
      <c r="F914" s="54" t="str">
        <f>IF(B914&lt;&gt;"",hddtohms(-GetLongitude(B914,C914,D914)),"")</f>
        <v/>
      </c>
      <c r="G914" s="59" t="str">
        <f t="shared" si="14"/>
        <v/>
      </c>
    </row>
    <row r="915" spans="1:7" ht="15.75" thickBot="1" x14ac:dyDescent="0.3">
      <c r="A915" s="68"/>
      <c r="B915" s="70"/>
      <c r="C915" s="70"/>
      <c r="D915" s="70"/>
      <c r="E915" s="54" t="str">
        <f>IF(B915&lt;&gt;"",hddtohms(getlatitude(B915,C915,D915)),"")</f>
        <v/>
      </c>
      <c r="F915" s="54" t="str">
        <f>IF(B915&lt;&gt;"",hddtohms(-GetLongitude(B915,C915,D915)),"")</f>
        <v/>
      </c>
      <c r="G915" s="59" t="str">
        <f t="shared" si="14"/>
        <v/>
      </c>
    </row>
    <row r="916" spans="1:7" ht="15.75" thickBot="1" x14ac:dyDescent="0.3">
      <c r="A916" s="68"/>
      <c r="B916" s="70"/>
      <c r="C916" s="70"/>
      <c r="D916" s="70"/>
      <c r="E916" s="54" t="str">
        <f>IF(B916&lt;&gt;"",hddtohms(getlatitude(B916,C916,D916)),"")</f>
        <v/>
      </c>
      <c r="F916" s="54" t="str">
        <f>IF(B916&lt;&gt;"",hddtohms(-GetLongitude(B916,C916,D916)),"")</f>
        <v/>
      </c>
      <c r="G916" s="59" t="str">
        <f t="shared" si="14"/>
        <v/>
      </c>
    </row>
    <row r="917" spans="1:7" ht="15.75" thickBot="1" x14ac:dyDescent="0.3">
      <c r="A917" s="68"/>
      <c r="B917" s="70"/>
      <c r="C917" s="70"/>
      <c r="D917" s="70"/>
      <c r="E917" s="54" t="str">
        <f>IF(B917&lt;&gt;"",hddtohms(getlatitude(B917,C917,D917)),"")</f>
        <v/>
      </c>
      <c r="F917" s="54" t="str">
        <f>IF(B917&lt;&gt;"",hddtohms(-GetLongitude(B917,C917,D917)),"")</f>
        <v/>
      </c>
      <c r="G917" s="59" t="str">
        <f t="shared" si="14"/>
        <v/>
      </c>
    </row>
    <row r="918" spans="1:7" ht="15.75" thickBot="1" x14ac:dyDescent="0.3">
      <c r="A918" s="68"/>
      <c r="B918" s="70"/>
      <c r="C918" s="70"/>
      <c r="D918" s="70"/>
      <c r="E918" s="54" t="str">
        <f>IF(B918&lt;&gt;"",hddtohms(getlatitude(B918,C918,D918)),"")</f>
        <v/>
      </c>
      <c r="F918" s="54" t="str">
        <f>IF(B918&lt;&gt;"",hddtohms(-GetLongitude(B918,C918,D918)),"")</f>
        <v/>
      </c>
      <c r="G918" s="59" t="str">
        <f t="shared" si="14"/>
        <v/>
      </c>
    </row>
    <row r="919" spans="1:7" ht="15.75" thickBot="1" x14ac:dyDescent="0.3">
      <c r="A919" s="68"/>
      <c r="B919" s="70"/>
      <c r="C919" s="70"/>
      <c r="D919" s="70"/>
      <c r="E919" s="54" t="str">
        <f>IF(B919&lt;&gt;"",hddtohms(getlatitude(B919,C919,D919)),"")</f>
        <v/>
      </c>
      <c r="F919" s="54" t="str">
        <f>IF(B919&lt;&gt;"",hddtohms(-GetLongitude(B919,C919,D919)),"")</f>
        <v/>
      </c>
      <c r="G919" s="59" t="str">
        <f t="shared" si="14"/>
        <v/>
      </c>
    </row>
    <row r="920" spans="1:7" ht="15.75" thickBot="1" x14ac:dyDescent="0.3">
      <c r="A920" s="68"/>
      <c r="B920" s="70"/>
      <c r="C920" s="70"/>
      <c r="D920" s="70"/>
      <c r="E920" s="54" t="str">
        <f>IF(B920&lt;&gt;"",hddtohms(getlatitude(B920,C920,D920)),"")</f>
        <v/>
      </c>
      <c r="F920" s="54" t="str">
        <f>IF(B920&lt;&gt;"",hddtohms(-GetLongitude(B920,C920,D920)),"")</f>
        <v/>
      </c>
      <c r="G920" s="59" t="str">
        <f t="shared" si="14"/>
        <v/>
      </c>
    </row>
    <row r="921" spans="1:7" ht="15.75" thickBot="1" x14ac:dyDescent="0.3">
      <c r="A921" s="68"/>
      <c r="B921" s="70"/>
      <c r="C921" s="70"/>
      <c r="D921" s="70"/>
      <c r="E921" s="54" t="str">
        <f>IF(B921&lt;&gt;"",hddtohms(getlatitude(B921,C921,D921)),"")</f>
        <v/>
      </c>
      <c r="F921" s="54" t="str">
        <f>IF(B921&lt;&gt;"",hddtohms(-GetLongitude(B921,C921,D921)),"")</f>
        <v/>
      </c>
      <c r="G921" s="59" t="str">
        <f t="shared" si="14"/>
        <v/>
      </c>
    </row>
    <row r="922" spans="1:7" ht="15.75" thickBot="1" x14ac:dyDescent="0.3">
      <c r="A922" s="68"/>
      <c r="B922" s="70"/>
      <c r="C922" s="70"/>
      <c r="D922" s="70"/>
      <c r="E922" s="54" t="str">
        <f>IF(B922&lt;&gt;"",hddtohms(getlatitude(B922,C922,D922)),"")</f>
        <v/>
      </c>
      <c r="F922" s="54" t="str">
        <f>IF(B922&lt;&gt;"",hddtohms(-GetLongitude(B922,C922,D922)),"")</f>
        <v/>
      </c>
      <c r="G922" s="59" t="str">
        <f t="shared" si="14"/>
        <v/>
      </c>
    </row>
    <row r="923" spans="1:7" ht="15.75" thickBot="1" x14ac:dyDescent="0.3">
      <c r="A923" s="68"/>
      <c r="B923" s="70"/>
      <c r="C923" s="70"/>
      <c r="D923" s="70"/>
      <c r="E923" s="54" t="str">
        <f>IF(B923&lt;&gt;"",hddtohms(getlatitude(B923,C923,D923)),"")</f>
        <v/>
      </c>
      <c r="F923" s="54" t="str">
        <f>IF(B923&lt;&gt;"",hddtohms(-GetLongitude(B923,C923,D923)),"")</f>
        <v/>
      </c>
      <c r="G923" s="59" t="str">
        <f t="shared" si="14"/>
        <v/>
      </c>
    </row>
    <row r="924" spans="1:7" ht="15.75" thickBot="1" x14ac:dyDescent="0.3">
      <c r="A924" s="68"/>
      <c r="B924" s="70"/>
      <c r="C924" s="70"/>
      <c r="D924" s="70"/>
      <c r="E924" s="54" t="str">
        <f>IF(B924&lt;&gt;"",hddtohms(getlatitude(B924,C924,D924)),"")</f>
        <v/>
      </c>
      <c r="F924" s="54" t="str">
        <f>IF(B924&lt;&gt;"",hddtohms(-GetLongitude(B924,C924,D924)),"")</f>
        <v/>
      </c>
      <c r="G924" s="59" t="str">
        <f t="shared" si="14"/>
        <v/>
      </c>
    </row>
    <row r="925" spans="1:7" ht="15.75" thickBot="1" x14ac:dyDescent="0.3">
      <c r="A925" s="68"/>
      <c r="B925" s="70"/>
      <c r="C925" s="70"/>
      <c r="D925" s="70"/>
      <c r="E925" s="54" t="str">
        <f>IF(B925&lt;&gt;"",hddtohms(getlatitude(B925,C925,D925)),"")</f>
        <v/>
      </c>
      <c r="F925" s="54" t="str">
        <f>IF(B925&lt;&gt;"",hddtohms(-GetLongitude(B925,C925,D925)),"")</f>
        <v/>
      </c>
      <c r="G925" s="59" t="str">
        <f t="shared" si="14"/>
        <v/>
      </c>
    </row>
    <row r="926" spans="1:7" ht="15.75" thickBot="1" x14ac:dyDescent="0.3">
      <c r="A926" s="68"/>
      <c r="B926" s="70"/>
      <c r="C926" s="70"/>
      <c r="D926" s="70"/>
      <c r="E926" s="54" t="str">
        <f>IF(B926&lt;&gt;"",hddtohms(getlatitude(B926,C926,D926)),"")</f>
        <v/>
      </c>
      <c r="F926" s="54" t="str">
        <f>IF(B926&lt;&gt;"",hddtohms(-GetLongitude(B926,C926,D926)),"")</f>
        <v/>
      </c>
      <c r="G926" s="59" t="str">
        <f t="shared" si="14"/>
        <v/>
      </c>
    </row>
    <row r="927" spans="1:7" ht="15.75" thickBot="1" x14ac:dyDescent="0.3">
      <c r="A927" s="68"/>
      <c r="B927" s="70"/>
      <c r="C927" s="70"/>
      <c r="D927" s="70"/>
      <c r="E927" s="54" t="str">
        <f>IF(B927&lt;&gt;"",hddtohms(getlatitude(B927,C927,D927)),"")</f>
        <v/>
      </c>
      <c r="F927" s="54" t="str">
        <f>IF(B927&lt;&gt;"",hddtohms(-GetLongitude(B927,C927,D927)),"")</f>
        <v/>
      </c>
      <c r="G927" s="59" t="str">
        <f t="shared" si="14"/>
        <v/>
      </c>
    </row>
    <row r="928" spans="1:7" ht="15.75" thickBot="1" x14ac:dyDescent="0.3">
      <c r="A928" s="68"/>
      <c r="B928" s="70"/>
      <c r="C928" s="70"/>
      <c r="D928" s="70"/>
      <c r="E928" s="54" t="str">
        <f>IF(B928&lt;&gt;"",hddtohms(getlatitude(B928,C928,D928)),"")</f>
        <v/>
      </c>
      <c r="F928" s="54" t="str">
        <f>IF(B928&lt;&gt;"",hddtohms(-GetLongitude(B928,C928,D928)),"")</f>
        <v/>
      </c>
      <c r="G928" s="59" t="str">
        <f t="shared" si="14"/>
        <v/>
      </c>
    </row>
    <row r="929" spans="1:7" ht="15.75" thickBot="1" x14ac:dyDescent="0.3">
      <c r="A929" s="68"/>
      <c r="B929" s="70"/>
      <c r="C929" s="70"/>
      <c r="D929" s="70"/>
      <c r="E929" s="54" t="str">
        <f>IF(B929&lt;&gt;"",hddtohms(getlatitude(B929,C929,D929)),"")</f>
        <v/>
      </c>
      <c r="F929" s="54" t="str">
        <f>IF(B929&lt;&gt;"",hddtohms(-GetLongitude(B929,C929,D929)),"")</f>
        <v/>
      </c>
      <c r="G929" s="59" t="str">
        <f t="shared" si="14"/>
        <v/>
      </c>
    </row>
    <row r="930" spans="1:7" ht="15.75" thickBot="1" x14ac:dyDescent="0.3">
      <c r="A930" s="68"/>
      <c r="B930" s="70"/>
      <c r="C930" s="70"/>
      <c r="D930" s="70"/>
      <c r="E930" s="54" t="str">
        <f>IF(B930&lt;&gt;"",hddtohms(getlatitude(B930,C930,D930)),"")</f>
        <v/>
      </c>
      <c r="F930" s="54" t="str">
        <f>IF(B930&lt;&gt;"",hddtohms(-GetLongitude(B930,C930,D930)),"")</f>
        <v/>
      </c>
      <c r="G930" s="59" t="str">
        <f t="shared" si="14"/>
        <v/>
      </c>
    </row>
    <row r="931" spans="1:7" ht="15.75" thickBot="1" x14ac:dyDescent="0.3">
      <c r="A931" s="68"/>
      <c r="B931" s="70"/>
      <c r="C931" s="70"/>
      <c r="D931" s="70"/>
      <c r="E931" s="54" t="str">
        <f>IF(B931&lt;&gt;"",hddtohms(getlatitude(B931,C931,D931)),"")</f>
        <v/>
      </c>
      <c r="F931" s="54" t="str">
        <f>IF(B931&lt;&gt;"",hddtohms(-GetLongitude(B931,C931,D931)),"")</f>
        <v/>
      </c>
      <c r="G931" s="59" t="str">
        <f t="shared" si="14"/>
        <v/>
      </c>
    </row>
    <row r="932" spans="1:7" ht="15.75" thickBot="1" x14ac:dyDescent="0.3">
      <c r="A932" s="68"/>
      <c r="B932" s="70"/>
      <c r="C932" s="70"/>
      <c r="D932" s="70"/>
      <c r="E932" s="54" t="str">
        <f>IF(B932&lt;&gt;"",hddtohms(getlatitude(B932,C932,D932)),"")</f>
        <v/>
      </c>
      <c r="F932" s="54" t="str">
        <f>IF(B932&lt;&gt;"",hddtohms(-GetLongitude(B932,C932,D932)),"")</f>
        <v/>
      </c>
      <c r="G932" s="59" t="str">
        <f t="shared" si="14"/>
        <v/>
      </c>
    </row>
    <row r="933" spans="1:7" ht="15.75" thickBot="1" x14ac:dyDescent="0.3">
      <c r="A933" s="68"/>
      <c r="B933" s="70"/>
      <c r="C933" s="70"/>
      <c r="D933" s="70"/>
      <c r="E933" s="54" t="str">
        <f>IF(B933&lt;&gt;"",hddtohms(getlatitude(B933,C933,D933)),"")</f>
        <v/>
      </c>
      <c r="F933" s="54" t="str">
        <f>IF(B933&lt;&gt;"",hddtohms(-GetLongitude(B933,C933,D933)),"")</f>
        <v/>
      </c>
      <c r="G933" s="59" t="str">
        <f t="shared" si="14"/>
        <v/>
      </c>
    </row>
    <row r="934" spans="1:7" ht="15.75" thickBot="1" x14ac:dyDescent="0.3">
      <c r="A934" s="68"/>
      <c r="B934" s="70"/>
      <c r="C934" s="70"/>
      <c r="D934" s="70"/>
      <c r="E934" s="54" t="str">
        <f>IF(B934&lt;&gt;"",hddtohms(getlatitude(B934,C934,D934)),"")</f>
        <v/>
      </c>
      <c r="F934" s="54" t="str">
        <f>IF(B934&lt;&gt;"",hddtohms(-GetLongitude(B934,C934,D934)),"")</f>
        <v/>
      </c>
      <c r="G934" s="59" t="str">
        <f t="shared" si="14"/>
        <v/>
      </c>
    </row>
    <row r="935" spans="1:7" ht="15.75" thickBot="1" x14ac:dyDescent="0.3">
      <c r="A935" s="68"/>
      <c r="B935" s="70"/>
      <c r="C935" s="70"/>
      <c r="D935" s="70"/>
      <c r="E935" s="54" t="str">
        <f>IF(B935&lt;&gt;"",hddtohms(getlatitude(B935,C935,D935)),"")</f>
        <v/>
      </c>
      <c r="F935" s="54" t="str">
        <f>IF(B935&lt;&gt;"",hddtohms(-GetLongitude(B935,C935,D935)),"")</f>
        <v/>
      </c>
      <c r="G935" s="59" t="str">
        <f t="shared" si="14"/>
        <v/>
      </c>
    </row>
    <row r="936" spans="1:7" ht="15.75" thickBot="1" x14ac:dyDescent="0.3">
      <c r="A936" s="68"/>
      <c r="B936" s="70"/>
      <c r="C936" s="70"/>
      <c r="D936" s="70"/>
      <c r="E936" s="54" t="str">
        <f>IF(B936&lt;&gt;"",hddtohms(getlatitude(B936,C936,D936)),"")</f>
        <v/>
      </c>
      <c r="F936" s="54" t="str">
        <f>IF(B936&lt;&gt;"",hddtohms(-GetLongitude(B936,C936,D936)),"")</f>
        <v/>
      </c>
      <c r="G936" s="59" t="str">
        <f t="shared" ref="G936:G999" si="15">IF(B936&lt;&gt;"",GetHeight(B936,C936,D936),"")</f>
        <v/>
      </c>
    </row>
    <row r="937" spans="1:7" ht="15.75" thickBot="1" x14ac:dyDescent="0.3">
      <c r="A937" s="68"/>
      <c r="B937" s="70"/>
      <c r="C937" s="70"/>
      <c r="D937" s="70"/>
      <c r="E937" s="54" t="str">
        <f>IF(B937&lt;&gt;"",hddtohms(getlatitude(B937,C937,D937)),"")</f>
        <v/>
      </c>
      <c r="F937" s="54" t="str">
        <f>IF(B937&lt;&gt;"",hddtohms(-GetLongitude(B937,C937,D937)),"")</f>
        <v/>
      </c>
      <c r="G937" s="59" t="str">
        <f t="shared" si="15"/>
        <v/>
      </c>
    </row>
    <row r="938" spans="1:7" ht="15.75" thickBot="1" x14ac:dyDescent="0.3">
      <c r="A938" s="68"/>
      <c r="B938" s="70"/>
      <c r="C938" s="70"/>
      <c r="D938" s="70"/>
      <c r="E938" s="54" t="str">
        <f>IF(B938&lt;&gt;"",hddtohms(getlatitude(B938,C938,D938)),"")</f>
        <v/>
      </c>
      <c r="F938" s="54" t="str">
        <f>IF(B938&lt;&gt;"",hddtohms(-GetLongitude(B938,C938,D938)),"")</f>
        <v/>
      </c>
      <c r="G938" s="59" t="str">
        <f t="shared" si="15"/>
        <v/>
      </c>
    </row>
    <row r="939" spans="1:7" ht="15.75" thickBot="1" x14ac:dyDescent="0.3">
      <c r="A939" s="68"/>
      <c r="B939" s="70"/>
      <c r="C939" s="70"/>
      <c r="D939" s="70"/>
      <c r="E939" s="54" t="str">
        <f>IF(B939&lt;&gt;"",hddtohms(getlatitude(B939,C939,D939)),"")</f>
        <v/>
      </c>
      <c r="F939" s="54" t="str">
        <f>IF(B939&lt;&gt;"",hddtohms(-GetLongitude(B939,C939,D939)),"")</f>
        <v/>
      </c>
      <c r="G939" s="59" t="str">
        <f t="shared" si="15"/>
        <v/>
      </c>
    </row>
    <row r="940" spans="1:7" ht="15.75" thickBot="1" x14ac:dyDescent="0.3">
      <c r="A940" s="68"/>
      <c r="B940" s="70"/>
      <c r="C940" s="70"/>
      <c r="D940" s="70"/>
      <c r="E940" s="54" t="str">
        <f>IF(B940&lt;&gt;"",hddtohms(getlatitude(B940,C940,D940)),"")</f>
        <v/>
      </c>
      <c r="F940" s="54" t="str">
        <f>IF(B940&lt;&gt;"",hddtohms(-GetLongitude(B940,C940,D940)),"")</f>
        <v/>
      </c>
      <c r="G940" s="59" t="str">
        <f t="shared" si="15"/>
        <v/>
      </c>
    </row>
    <row r="941" spans="1:7" ht="15.75" thickBot="1" x14ac:dyDescent="0.3">
      <c r="A941" s="68"/>
      <c r="B941" s="70"/>
      <c r="C941" s="70"/>
      <c r="D941" s="70"/>
      <c r="E941" s="54" t="str">
        <f>IF(B941&lt;&gt;"",hddtohms(getlatitude(B941,C941,D941)),"")</f>
        <v/>
      </c>
      <c r="F941" s="54" t="str">
        <f>IF(B941&lt;&gt;"",hddtohms(-GetLongitude(B941,C941,D941)),"")</f>
        <v/>
      </c>
      <c r="G941" s="59" t="str">
        <f t="shared" si="15"/>
        <v/>
      </c>
    </row>
    <row r="942" spans="1:7" ht="15.75" thickBot="1" x14ac:dyDescent="0.3">
      <c r="A942" s="68"/>
      <c r="B942" s="70"/>
      <c r="C942" s="70"/>
      <c r="D942" s="70"/>
      <c r="E942" s="54" t="str">
        <f>IF(B942&lt;&gt;"",hddtohms(getlatitude(B942,C942,D942)),"")</f>
        <v/>
      </c>
      <c r="F942" s="54" t="str">
        <f>IF(B942&lt;&gt;"",hddtohms(-GetLongitude(B942,C942,D942)),"")</f>
        <v/>
      </c>
      <c r="G942" s="59" t="str">
        <f t="shared" si="15"/>
        <v/>
      </c>
    </row>
    <row r="943" spans="1:7" ht="15.75" thickBot="1" x14ac:dyDescent="0.3">
      <c r="A943" s="68"/>
      <c r="B943" s="70"/>
      <c r="C943" s="70"/>
      <c r="D943" s="70"/>
      <c r="E943" s="54" t="str">
        <f>IF(B943&lt;&gt;"",hddtohms(getlatitude(B943,C943,D943)),"")</f>
        <v/>
      </c>
      <c r="F943" s="54" t="str">
        <f>IF(B943&lt;&gt;"",hddtohms(-GetLongitude(B943,C943,D943)),"")</f>
        <v/>
      </c>
      <c r="G943" s="59" t="str">
        <f t="shared" si="15"/>
        <v/>
      </c>
    </row>
    <row r="944" spans="1:7" ht="15.75" thickBot="1" x14ac:dyDescent="0.3">
      <c r="A944" s="68"/>
      <c r="B944" s="70"/>
      <c r="C944" s="70"/>
      <c r="D944" s="70"/>
      <c r="E944" s="54" t="str">
        <f>IF(B944&lt;&gt;"",hddtohms(getlatitude(B944,C944,D944)),"")</f>
        <v/>
      </c>
      <c r="F944" s="54" t="str">
        <f>IF(B944&lt;&gt;"",hddtohms(-GetLongitude(B944,C944,D944)),"")</f>
        <v/>
      </c>
      <c r="G944" s="59" t="str">
        <f t="shared" si="15"/>
        <v/>
      </c>
    </row>
    <row r="945" spans="1:7" ht="15.75" thickBot="1" x14ac:dyDescent="0.3">
      <c r="A945" s="68"/>
      <c r="B945" s="70"/>
      <c r="C945" s="70"/>
      <c r="D945" s="70"/>
      <c r="E945" s="54" t="str">
        <f>IF(B945&lt;&gt;"",hddtohms(getlatitude(B945,C945,D945)),"")</f>
        <v/>
      </c>
      <c r="F945" s="54" t="str">
        <f>IF(B945&lt;&gt;"",hddtohms(-GetLongitude(B945,C945,D945)),"")</f>
        <v/>
      </c>
      <c r="G945" s="59" t="str">
        <f t="shared" si="15"/>
        <v/>
      </c>
    </row>
    <row r="946" spans="1:7" ht="15.75" thickBot="1" x14ac:dyDescent="0.3">
      <c r="A946" s="68"/>
      <c r="B946" s="70"/>
      <c r="C946" s="70"/>
      <c r="D946" s="70"/>
      <c r="E946" s="54" t="str">
        <f>IF(B946&lt;&gt;"",hddtohms(getlatitude(B946,C946,D946)),"")</f>
        <v/>
      </c>
      <c r="F946" s="54" t="str">
        <f>IF(B946&lt;&gt;"",hddtohms(-GetLongitude(B946,C946,D946)),"")</f>
        <v/>
      </c>
      <c r="G946" s="59" t="str">
        <f t="shared" si="15"/>
        <v/>
      </c>
    </row>
    <row r="947" spans="1:7" ht="15.75" thickBot="1" x14ac:dyDescent="0.3">
      <c r="A947" s="68"/>
      <c r="B947" s="70"/>
      <c r="C947" s="70"/>
      <c r="D947" s="70"/>
      <c r="E947" s="54" t="str">
        <f>IF(B947&lt;&gt;"",hddtohms(getlatitude(B947,C947,D947)),"")</f>
        <v/>
      </c>
      <c r="F947" s="54" t="str">
        <f>IF(B947&lt;&gt;"",hddtohms(-GetLongitude(B947,C947,D947)),"")</f>
        <v/>
      </c>
      <c r="G947" s="59" t="str">
        <f t="shared" si="15"/>
        <v/>
      </c>
    </row>
    <row r="948" spans="1:7" ht="15.75" thickBot="1" x14ac:dyDescent="0.3">
      <c r="A948" s="68"/>
      <c r="B948" s="70"/>
      <c r="C948" s="70"/>
      <c r="D948" s="70"/>
      <c r="E948" s="54" t="str">
        <f>IF(B948&lt;&gt;"",hddtohms(getlatitude(B948,C948,D948)),"")</f>
        <v/>
      </c>
      <c r="F948" s="54" t="str">
        <f>IF(B948&lt;&gt;"",hddtohms(-GetLongitude(B948,C948,D948)),"")</f>
        <v/>
      </c>
      <c r="G948" s="59" t="str">
        <f t="shared" si="15"/>
        <v/>
      </c>
    </row>
    <row r="949" spans="1:7" ht="15.75" thickBot="1" x14ac:dyDescent="0.3">
      <c r="A949" s="68"/>
      <c r="B949" s="70"/>
      <c r="C949" s="70"/>
      <c r="D949" s="70"/>
      <c r="E949" s="54" t="str">
        <f>IF(B949&lt;&gt;"",hddtohms(getlatitude(B949,C949,D949)),"")</f>
        <v/>
      </c>
      <c r="F949" s="54" t="str">
        <f>IF(B949&lt;&gt;"",hddtohms(-GetLongitude(B949,C949,D949)),"")</f>
        <v/>
      </c>
      <c r="G949" s="59" t="str">
        <f t="shared" si="15"/>
        <v/>
      </c>
    </row>
    <row r="950" spans="1:7" ht="15.75" thickBot="1" x14ac:dyDescent="0.3">
      <c r="A950" s="68"/>
      <c r="B950" s="70"/>
      <c r="C950" s="70"/>
      <c r="D950" s="70"/>
      <c r="E950" s="54" t="str">
        <f>IF(B950&lt;&gt;"",hddtohms(getlatitude(B950,C950,D950)),"")</f>
        <v/>
      </c>
      <c r="F950" s="54" t="str">
        <f>IF(B950&lt;&gt;"",hddtohms(-GetLongitude(B950,C950,D950)),"")</f>
        <v/>
      </c>
      <c r="G950" s="59" t="str">
        <f t="shared" si="15"/>
        <v/>
      </c>
    </row>
    <row r="951" spans="1:7" ht="15.75" thickBot="1" x14ac:dyDescent="0.3">
      <c r="A951" s="68"/>
      <c r="B951" s="70"/>
      <c r="C951" s="70"/>
      <c r="D951" s="70"/>
      <c r="E951" s="54" t="str">
        <f>IF(B951&lt;&gt;"",hddtohms(getlatitude(B951,C951,D951)),"")</f>
        <v/>
      </c>
      <c r="F951" s="54" t="str">
        <f>IF(B951&lt;&gt;"",hddtohms(-GetLongitude(B951,C951,D951)),"")</f>
        <v/>
      </c>
      <c r="G951" s="59" t="str">
        <f t="shared" si="15"/>
        <v/>
      </c>
    </row>
    <row r="952" spans="1:7" ht="15.75" thickBot="1" x14ac:dyDescent="0.3">
      <c r="A952" s="68"/>
      <c r="B952" s="70"/>
      <c r="C952" s="70"/>
      <c r="D952" s="70"/>
      <c r="E952" s="54" t="str">
        <f>IF(B952&lt;&gt;"",hddtohms(getlatitude(B952,C952,D952)),"")</f>
        <v/>
      </c>
      <c r="F952" s="54" t="str">
        <f>IF(B952&lt;&gt;"",hddtohms(-GetLongitude(B952,C952,D952)),"")</f>
        <v/>
      </c>
      <c r="G952" s="59" t="str">
        <f t="shared" si="15"/>
        <v/>
      </c>
    </row>
    <row r="953" spans="1:7" ht="15.75" thickBot="1" x14ac:dyDescent="0.3">
      <c r="A953" s="68"/>
      <c r="B953" s="70"/>
      <c r="C953" s="70"/>
      <c r="D953" s="70"/>
      <c r="E953" s="54" t="str">
        <f>IF(B953&lt;&gt;"",hddtohms(getlatitude(B953,C953,D953)),"")</f>
        <v/>
      </c>
      <c r="F953" s="54" t="str">
        <f>IF(B953&lt;&gt;"",hddtohms(-GetLongitude(B953,C953,D953)),"")</f>
        <v/>
      </c>
      <c r="G953" s="59" t="str">
        <f t="shared" si="15"/>
        <v/>
      </c>
    </row>
    <row r="954" spans="1:7" ht="15.75" thickBot="1" x14ac:dyDescent="0.3">
      <c r="A954" s="68"/>
      <c r="B954" s="70"/>
      <c r="C954" s="70"/>
      <c r="D954" s="70"/>
      <c r="E954" s="54" t="str">
        <f>IF(B954&lt;&gt;"",hddtohms(getlatitude(B954,C954,D954)),"")</f>
        <v/>
      </c>
      <c r="F954" s="54" t="str">
        <f>IF(B954&lt;&gt;"",hddtohms(-GetLongitude(B954,C954,D954)),"")</f>
        <v/>
      </c>
      <c r="G954" s="59" t="str">
        <f t="shared" si="15"/>
        <v/>
      </c>
    </row>
    <row r="955" spans="1:7" ht="15.75" thickBot="1" x14ac:dyDescent="0.3">
      <c r="A955" s="68"/>
      <c r="B955" s="70"/>
      <c r="C955" s="70"/>
      <c r="D955" s="70"/>
      <c r="E955" s="54" t="str">
        <f>IF(B955&lt;&gt;"",hddtohms(getlatitude(B955,C955,D955)),"")</f>
        <v/>
      </c>
      <c r="F955" s="54" t="str">
        <f>IF(B955&lt;&gt;"",hddtohms(-GetLongitude(B955,C955,D955)),"")</f>
        <v/>
      </c>
      <c r="G955" s="59" t="str">
        <f t="shared" si="15"/>
        <v/>
      </c>
    </row>
    <row r="956" spans="1:7" ht="15.75" thickBot="1" x14ac:dyDescent="0.3">
      <c r="A956" s="68"/>
      <c r="B956" s="70"/>
      <c r="C956" s="70"/>
      <c r="D956" s="70"/>
      <c r="E956" s="54" t="str">
        <f>IF(B956&lt;&gt;"",hddtohms(getlatitude(B956,C956,D956)),"")</f>
        <v/>
      </c>
      <c r="F956" s="54" t="str">
        <f>IF(B956&lt;&gt;"",hddtohms(-GetLongitude(B956,C956,D956)),"")</f>
        <v/>
      </c>
      <c r="G956" s="59" t="str">
        <f t="shared" si="15"/>
        <v/>
      </c>
    </row>
    <row r="957" spans="1:7" ht="15.75" thickBot="1" x14ac:dyDescent="0.3">
      <c r="A957" s="68"/>
      <c r="B957" s="70"/>
      <c r="C957" s="70"/>
      <c r="D957" s="70"/>
      <c r="E957" s="54" t="str">
        <f>IF(B957&lt;&gt;"",hddtohms(getlatitude(B957,C957,D957)),"")</f>
        <v/>
      </c>
      <c r="F957" s="54" t="str">
        <f>IF(B957&lt;&gt;"",hddtohms(-GetLongitude(B957,C957,D957)),"")</f>
        <v/>
      </c>
      <c r="G957" s="59" t="str">
        <f t="shared" si="15"/>
        <v/>
      </c>
    </row>
    <row r="958" spans="1:7" ht="15.75" thickBot="1" x14ac:dyDescent="0.3">
      <c r="A958" s="68"/>
      <c r="B958" s="70"/>
      <c r="C958" s="70"/>
      <c r="D958" s="70"/>
      <c r="E958" s="54" t="str">
        <f>IF(B958&lt;&gt;"",hddtohms(getlatitude(B958,C958,D958)),"")</f>
        <v/>
      </c>
      <c r="F958" s="54" t="str">
        <f>IF(B958&lt;&gt;"",hddtohms(-GetLongitude(B958,C958,D958)),"")</f>
        <v/>
      </c>
      <c r="G958" s="59" t="str">
        <f t="shared" si="15"/>
        <v/>
      </c>
    </row>
    <row r="959" spans="1:7" ht="15.75" thickBot="1" x14ac:dyDescent="0.3">
      <c r="A959" s="68"/>
      <c r="B959" s="70"/>
      <c r="C959" s="70"/>
      <c r="D959" s="70"/>
      <c r="E959" s="54" t="str">
        <f>IF(B959&lt;&gt;"",hddtohms(getlatitude(B959,C959,D959)),"")</f>
        <v/>
      </c>
      <c r="F959" s="54" t="str">
        <f>IF(B959&lt;&gt;"",hddtohms(-GetLongitude(B959,C959,D959)),"")</f>
        <v/>
      </c>
      <c r="G959" s="59" t="str">
        <f t="shared" si="15"/>
        <v/>
      </c>
    </row>
    <row r="960" spans="1:7" ht="15.75" thickBot="1" x14ac:dyDescent="0.3">
      <c r="A960" s="68"/>
      <c r="B960" s="70"/>
      <c r="C960" s="70"/>
      <c r="D960" s="70"/>
      <c r="E960" s="54" t="str">
        <f>IF(B960&lt;&gt;"",hddtohms(getlatitude(B960,C960,D960)),"")</f>
        <v/>
      </c>
      <c r="F960" s="54" t="str">
        <f>IF(B960&lt;&gt;"",hddtohms(-GetLongitude(B960,C960,D960)),"")</f>
        <v/>
      </c>
      <c r="G960" s="59" t="str">
        <f t="shared" si="15"/>
        <v/>
      </c>
    </row>
    <row r="961" spans="1:7" ht="15.75" thickBot="1" x14ac:dyDescent="0.3">
      <c r="A961" s="68"/>
      <c r="B961" s="70"/>
      <c r="C961" s="70"/>
      <c r="D961" s="70"/>
      <c r="E961" s="54" t="str">
        <f>IF(B961&lt;&gt;"",hddtohms(getlatitude(B961,C961,D961)),"")</f>
        <v/>
      </c>
      <c r="F961" s="54" t="str">
        <f>IF(B961&lt;&gt;"",hddtohms(-GetLongitude(B961,C961,D961)),"")</f>
        <v/>
      </c>
      <c r="G961" s="59" t="str">
        <f t="shared" si="15"/>
        <v/>
      </c>
    </row>
    <row r="962" spans="1:7" ht="15.75" thickBot="1" x14ac:dyDescent="0.3">
      <c r="A962" s="68"/>
      <c r="B962" s="70"/>
      <c r="C962" s="70"/>
      <c r="D962" s="70"/>
      <c r="E962" s="54" t="str">
        <f>IF(B962&lt;&gt;"",hddtohms(getlatitude(B962,C962,D962)),"")</f>
        <v/>
      </c>
      <c r="F962" s="54" t="str">
        <f>IF(B962&lt;&gt;"",hddtohms(-GetLongitude(B962,C962,D962)),"")</f>
        <v/>
      </c>
      <c r="G962" s="59" t="str">
        <f t="shared" si="15"/>
        <v/>
      </c>
    </row>
    <row r="963" spans="1:7" ht="15.75" thickBot="1" x14ac:dyDescent="0.3">
      <c r="A963" s="68"/>
      <c r="B963" s="70"/>
      <c r="C963" s="70"/>
      <c r="D963" s="70"/>
      <c r="E963" s="54" t="str">
        <f>IF(B963&lt;&gt;"",hddtohms(getlatitude(B963,C963,D963)),"")</f>
        <v/>
      </c>
      <c r="F963" s="54" t="str">
        <f>IF(B963&lt;&gt;"",hddtohms(-GetLongitude(B963,C963,D963)),"")</f>
        <v/>
      </c>
      <c r="G963" s="59" t="str">
        <f t="shared" si="15"/>
        <v/>
      </c>
    </row>
    <row r="964" spans="1:7" ht="15.75" thickBot="1" x14ac:dyDescent="0.3">
      <c r="A964" s="68"/>
      <c r="B964" s="70"/>
      <c r="C964" s="70"/>
      <c r="D964" s="70"/>
      <c r="E964" s="54" t="str">
        <f>IF(B964&lt;&gt;"",hddtohms(getlatitude(B964,C964,D964)),"")</f>
        <v/>
      </c>
      <c r="F964" s="54" t="str">
        <f>IF(B964&lt;&gt;"",hddtohms(-GetLongitude(B964,C964,D964)),"")</f>
        <v/>
      </c>
      <c r="G964" s="59" t="str">
        <f t="shared" si="15"/>
        <v/>
      </c>
    </row>
    <row r="965" spans="1:7" ht="15.75" thickBot="1" x14ac:dyDescent="0.3">
      <c r="A965" s="68"/>
      <c r="B965" s="70"/>
      <c r="C965" s="70"/>
      <c r="D965" s="70"/>
      <c r="E965" s="54" t="str">
        <f>IF(B965&lt;&gt;"",hddtohms(getlatitude(B965,C965,D965)),"")</f>
        <v/>
      </c>
      <c r="F965" s="54" t="str">
        <f>IF(B965&lt;&gt;"",hddtohms(-GetLongitude(B965,C965,D965)),"")</f>
        <v/>
      </c>
      <c r="G965" s="59" t="str">
        <f t="shared" si="15"/>
        <v/>
      </c>
    </row>
    <row r="966" spans="1:7" ht="15.75" thickBot="1" x14ac:dyDescent="0.3">
      <c r="A966" s="68"/>
      <c r="B966" s="70"/>
      <c r="C966" s="70"/>
      <c r="D966" s="70"/>
      <c r="E966" s="54" t="str">
        <f>IF(B966&lt;&gt;"",hddtohms(getlatitude(B966,C966,D966)),"")</f>
        <v/>
      </c>
      <c r="F966" s="54" t="str">
        <f>IF(B966&lt;&gt;"",hddtohms(-GetLongitude(B966,C966,D966)),"")</f>
        <v/>
      </c>
      <c r="G966" s="59" t="str">
        <f t="shared" si="15"/>
        <v/>
      </c>
    </row>
    <row r="967" spans="1:7" ht="15.75" thickBot="1" x14ac:dyDescent="0.3">
      <c r="A967" s="68"/>
      <c r="B967" s="70"/>
      <c r="C967" s="70"/>
      <c r="D967" s="70"/>
      <c r="E967" s="54" t="str">
        <f>IF(B967&lt;&gt;"",hddtohms(getlatitude(B967,C967,D967)),"")</f>
        <v/>
      </c>
      <c r="F967" s="54" t="str">
        <f>IF(B967&lt;&gt;"",hddtohms(-GetLongitude(B967,C967,D967)),"")</f>
        <v/>
      </c>
      <c r="G967" s="59" t="str">
        <f t="shared" si="15"/>
        <v/>
      </c>
    </row>
    <row r="968" spans="1:7" ht="15.75" thickBot="1" x14ac:dyDescent="0.3">
      <c r="A968" s="68"/>
      <c r="B968" s="70"/>
      <c r="C968" s="70"/>
      <c r="D968" s="70"/>
      <c r="E968" s="54" t="str">
        <f>IF(B968&lt;&gt;"",hddtohms(getlatitude(B968,C968,D968)),"")</f>
        <v/>
      </c>
      <c r="F968" s="54" t="str">
        <f>IF(B968&lt;&gt;"",hddtohms(-GetLongitude(B968,C968,D968)),"")</f>
        <v/>
      </c>
      <c r="G968" s="59" t="str">
        <f t="shared" si="15"/>
        <v/>
      </c>
    </row>
    <row r="969" spans="1:7" ht="15.75" thickBot="1" x14ac:dyDescent="0.3">
      <c r="A969" s="68"/>
      <c r="B969" s="70"/>
      <c r="C969" s="70"/>
      <c r="D969" s="70"/>
      <c r="E969" s="54" t="str">
        <f>IF(B969&lt;&gt;"",hddtohms(getlatitude(B969,C969,D969)),"")</f>
        <v/>
      </c>
      <c r="F969" s="54" t="str">
        <f>IF(B969&lt;&gt;"",hddtohms(-GetLongitude(B969,C969,D969)),"")</f>
        <v/>
      </c>
      <c r="G969" s="59" t="str">
        <f t="shared" si="15"/>
        <v/>
      </c>
    </row>
    <row r="970" spans="1:7" ht="15.75" thickBot="1" x14ac:dyDescent="0.3">
      <c r="A970" s="68"/>
      <c r="B970" s="70"/>
      <c r="C970" s="70"/>
      <c r="D970" s="70"/>
      <c r="E970" s="54" t="str">
        <f>IF(B970&lt;&gt;"",hddtohms(getlatitude(B970,C970,D970)),"")</f>
        <v/>
      </c>
      <c r="F970" s="54" t="str">
        <f>IF(B970&lt;&gt;"",hddtohms(-GetLongitude(B970,C970,D970)),"")</f>
        <v/>
      </c>
      <c r="G970" s="59" t="str">
        <f t="shared" si="15"/>
        <v/>
      </c>
    </row>
    <row r="971" spans="1:7" ht="15.75" thickBot="1" x14ac:dyDescent="0.3">
      <c r="A971" s="68"/>
      <c r="B971" s="70"/>
      <c r="C971" s="70"/>
      <c r="D971" s="70"/>
      <c r="E971" s="54" t="str">
        <f>IF(B971&lt;&gt;"",hddtohms(getlatitude(B971,C971,D971)),"")</f>
        <v/>
      </c>
      <c r="F971" s="54" t="str">
        <f>IF(B971&lt;&gt;"",hddtohms(-GetLongitude(B971,C971,D971)),"")</f>
        <v/>
      </c>
      <c r="G971" s="59" t="str">
        <f t="shared" si="15"/>
        <v/>
      </c>
    </row>
    <row r="972" spans="1:7" ht="15.75" thickBot="1" x14ac:dyDescent="0.3">
      <c r="A972" s="68"/>
      <c r="B972" s="70"/>
      <c r="C972" s="70"/>
      <c r="D972" s="70"/>
      <c r="E972" s="54" t="str">
        <f>IF(B972&lt;&gt;"",hddtohms(getlatitude(B972,C972,D972)),"")</f>
        <v/>
      </c>
      <c r="F972" s="54" t="str">
        <f>IF(B972&lt;&gt;"",hddtohms(-GetLongitude(B972,C972,D972)),"")</f>
        <v/>
      </c>
      <c r="G972" s="59" t="str">
        <f t="shared" si="15"/>
        <v/>
      </c>
    </row>
    <row r="973" spans="1:7" ht="15.75" thickBot="1" x14ac:dyDescent="0.3">
      <c r="A973" s="68"/>
      <c r="B973" s="70"/>
      <c r="C973" s="70"/>
      <c r="D973" s="70"/>
      <c r="E973" s="54" t="str">
        <f>IF(B973&lt;&gt;"",hddtohms(getlatitude(B973,C973,D973)),"")</f>
        <v/>
      </c>
      <c r="F973" s="54" t="str">
        <f>IF(B973&lt;&gt;"",hddtohms(-GetLongitude(B973,C973,D973)),"")</f>
        <v/>
      </c>
      <c r="G973" s="59" t="str">
        <f t="shared" si="15"/>
        <v/>
      </c>
    </row>
    <row r="974" spans="1:7" ht="15.75" thickBot="1" x14ac:dyDescent="0.3">
      <c r="A974" s="68"/>
      <c r="B974" s="70"/>
      <c r="C974" s="70"/>
      <c r="D974" s="70"/>
      <c r="E974" s="54" t="str">
        <f>IF(B974&lt;&gt;"",hddtohms(getlatitude(B974,C974,D974)),"")</f>
        <v/>
      </c>
      <c r="F974" s="54" t="str">
        <f>IF(B974&lt;&gt;"",hddtohms(-GetLongitude(B974,C974,D974)),"")</f>
        <v/>
      </c>
      <c r="G974" s="59" t="str">
        <f t="shared" si="15"/>
        <v/>
      </c>
    </row>
    <row r="975" spans="1:7" ht="15.75" thickBot="1" x14ac:dyDescent="0.3">
      <c r="A975" s="68"/>
      <c r="B975" s="70"/>
      <c r="C975" s="70"/>
      <c r="D975" s="70"/>
      <c r="E975" s="54" t="str">
        <f>IF(B975&lt;&gt;"",hddtohms(getlatitude(B975,C975,D975)),"")</f>
        <v/>
      </c>
      <c r="F975" s="54" t="str">
        <f>IF(B975&lt;&gt;"",hddtohms(-GetLongitude(B975,C975,D975)),"")</f>
        <v/>
      </c>
      <c r="G975" s="59" t="str">
        <f t="shared" si="15"/>
        <v/>
      </c>
    </row>
    <row r="976" spans="1:7" ht="15.75" thickBot="1" x14ac:dyDescent="0.3">
      <c r="A976" s="68"/>
      <c r="B976" s="70"/>
      <c r="C976" s="70"/>
      <c r="D976" s="70"/>
      <c r="E976" s="54" t="str">
        <f>IF(B976&lt;&gt;"",hddtohms(getlatitude(B976,C976,D976)),"")</f>
        <v/>
      </c>
      <c r="F976" s="54" t="str">
        <f>IF(B976&lt;&gt;"",hddtohms(-GetLongitude(B976,C976,D976)),"")</f>
        <v/>
      </c>
      <c r="G976" s="59" t="str">
        <f t="shared" si="15"/>
        <v/>
      </c>
    </row>
    <row r="977" spans="1:7" ht="15.75" thickBot="1" x14ac:dyDescent="0.3">
      <c r="A977" s="68"/>
      <c r="B977" s="70"/>
      <c r="C977" s="70"/>
      <c r="D977" s="70"/>
      <c r="E977" s="54" t="str">
        <f>IF(B977&lt;&gt;"",hddtohms(getlatitude(B977,C977,D977)),"")</f>
        <v/>
      </c>
      <c r="F977" s="54" t="str">
        <f>IF(B977&lt;&gt;"",hddtohms(-GetLongitude(B977,C977,D977)),"")</f>
        <v/>
      </c>
      <c r="G977" s="59" t="str">
        <f t="shared" si="15"/>
        <v/>
      </c>
    </row>
    <row r="978" spans="1:7" ht="15.75" thickBot="1" x14ac:dyDescent="0.3">
      <c r="A978" s="68"/>
      <c r="B978" s="70"/>
      <c r="C978" s="70"/>
      <c r="D978" s="70"/>
      <c r="E978" s="54" t="str">
        <f>IF(B978&lt;&gt;"",hddtohms(getlatitude(B978,C978,D978)),"")</f>
        <v/>
      </c>
      <c r="F978" s="54" t="str">
        <f>IF(B978&lt;&gt;"",hddtohms(-GetLongitude(B978,C978,D978)),"")</f>
        <v/>
      </c>
      <c r="G978" s="59" t="str">
        <f t="shared" si="15"/>
        <v/>
      </c>
    </row>
    <row r="979" spans="1:7" ht="15.75" thickBot="1" x14ac:dyDescent="0.3">
      <c r="A979" s="68"/>
      <c r="B979" s="70"/>
      <c r="C979" s="70"/>
      <c r="D979" s="70"/>
      <c r="E979" s="54" t="str">
        <f>IF(B979&lt;&gt;"",hddtohms(getlatitude(B979,C979,D979)),"")</f>
        <v/>
      </c>
      <c r="F979" s="54" t="str">
        <f>IF(B979&lt;&gt;"",hddtohms(-GetLongitude(B979,C979,D979)),"")</f>
        <v/>
      </c>
      <c r="G979" s="59" t="str">
        <f t="shared" si="15"/>
        <v/>
      </c>
    </row>
    <row r="980" spans="1:7" ht="15.75" thickBot="1" x14ac:dyDescent="0.3">
      <c r="A980" s="68"/>
      <c r="B980" s="70"/>
      <c r="C980" s="70"/>
      <c r="D980" s="70"/>
      <c r="E980" s="54" t="str">
        <f>IF(B980&lt;&gt;"",hddtohms(getlatitude(B980,C980,D980)),"")</f>
        <v/>
      </c>
      <c r="F980" s="54" t="str">
        <f>IF(B980&lt;&gt;"",hddtohms(-GetLongitude(B980,C980,D980)),"")</f>
        <v/>
      </c>
      <c r="G980" s="59" t="str">
        <f t="shared" si="15"/>
        <v/>
      </c>
    </row>
    <row r="981" spans="1:7" ht="15.75" thickBot="1" x14ac:dyDescent="0.3">
      <c r="A981" s="68"/>
      <c r="B981" s="70"/>
      <c r="C981" s="70"/>
      <c r="D981" s="70"/>
      <c r="E981" s="54" t="str">
        <f>IF(B981&lt;&gt;"",hddtohms(getlatitude(B981,C981,D981)),"")</f>
        <v/>
      </c>
      <c r="F981" s="54" t="str">
        <f>IF(B981&lt;&gt;"",hddtohms(-GetLongitude(B981,C981,D981)),"")</f>
        <v/>
      </c>
      <c r="G981" s="59" t="str">
        <f t="shared" si="15"/>
        <v/>
      </c>
    </row>
    <row r="982" spans="1:7" ht="15.75" thickBot="1" x14ac:dyDescent="0.3">
      <c r="A982" s="68"/>
      <c r="B982" s="70"/>
      <c r="C982" s="70"/>
      <c r="D982" s="70"/>
      <c r="E982" s="54" t="str">
        <f>IF(B982&lt;&gt;"",hddtohms(getlatitude(B982,C982,D982)),"")</f>
        <v/>
      </c>
      <c r="F982" s="54" t="str">
        <f>IF(B982&lt;&gt;"",hddtohms(-GetLongitude(B982,C982,D982)),"")</f>
        <v/>
      </c>
      <c r="G982" s="59" t="str">
        <f t="shared" si="15"/>
        <v/>
      </c>
    </row>
    <row r="983" spans="1:7" ht="15.75" thickBot="1" x14ac:dyDescent="0.3">
      <c r="A983" s="68"/>
      <c r="B983" s="70"/>
      <c r="C983" s="70"/>
      <c r="D983" s="70"/>
      <c r="E983" s="54" t="str">
        <f>IF(B983&lt;&gt;"",hddtohms(getlatitude(B983,C983,D983)),"")</f>
        <v/>
      </c>
      <c r="F983" s="54" t="str">
        <f>IF(B983&lt;&gt;"",hddtohms(-GetLongitude(B983,C983,D983)),"")</f>
        <v/>
      </c>
      <c r="G983" s="59" t="str">
        <f t="shared" si="15"/>
        <v/>
      </c>
    </row>
    <row r="984" spans="1:7" ht="15.75" thickBot="1" x14ac:dyDescent="0.3">
      <c r="A984" s="68"/>
      <c r="B984" s="70"/>
      <c r="C984" s="70"/>
      <c r="D984" s="70"/>
      <c r="E984" s="54" t="str">
        <f>IF(B984&lt;&gt;"",hddtohms(getlatitude(B984,C984,D984)),"")</f>
        <v/>
      </c>
      <c r="F984" s="54" t="str">
        <f>IF(B984&lt;&gt;"",hddtohms(-GetLongitude(B984,C984,D984)),"")</f>
        <v/>
      </c>
      <c r="G984" s="59" t="str">
        <f t="shared" si="15"/>
        <v/>
      </c>
    </row>
    <row r="985" spans="1:7" ht="15.75" thickBot="1" x14ac:dyDescent="0.3">
      <c r="A985" s="68"/>
      <c r="B985" s="70"/>
      <c r="C985" s="70"/>
      <c r="D985" s="70"/>
      <c r="E985" s="54" t="str">
        <f>IF(B985&lt;&gt;"",hddtohms(getlatitude(B985,C985,D985)),"")</f>
        <v/>
      </c>
      <c r="F985" s="54" t="str">
        <f>IF(B985&lt;&gt;"",hddtohms(-GetLongitude(B985,C985,D985)),"")</f>
        <v/>
      </c>
      <c r="G985" s="59" t="str">
        <f t="shared" si="15"/>
        <v/>
      </c>
    </row>
    <row r="986" spans="1:7" ht="15.75" thickBot="1" x14ac:dyDescent="0.3">
      <c r="A986" s="68"/>
      <c r="B986" s="70"/>
      <c r="C986" s="70"/>
      <c r="D986" s="70"/>
      <c r="E986" s="54" t="str">
        <f>IF(B986&lt;&gt;"",hddtohms(getlatitude(B986,C986,D986)),"")</f>
        <v/>
      </c>
      <c r="F986" s="54" t="str">
        <f>IF(B986&lt;&gt;"",hddtohms(-GetLongitude(B986,C986,D986)),"")</f>
        <v/>
      </c>
      <c r="G986" s="59" t="str">
        <f t="shared" si="15"/>
        <v/>
      </c>
    </row>
    <row r="987" spans="1:7" ht="15.75" thickBot="1" x14ac:dyDescent="0.3">
      <c r="A987" s="68"/>
      <c r="B987" s="70"/>
      <c r="C987" s="70"/>
      <c r="D987" s="70"/>
      <c r="E987" s="54" t="str">
        <f>IF(B987&lt;&gt;"",hddtohms(getlatitude(B987,C987,D987)),"")</f>
        <v/>
      </c>
      <c r="F987" s="54" t="str">
        <f>IF(B987&lt;&gt;"",hddtohms(-GetLongitude(B987,C987,D987)),"")</f>
        <v/>
      </c>
      <c r="G987" s="59" t="str">
        <f t="shared" si="15"/>
        <v/>
      </c>
    </row>
    <row r="988" spans="1:7" ht="15.75" thickBot="1" x14ac:dyDescent="0.3">
      <c r="A988" s="68"/>
      <c r="B988" s="70"/>
      <c r="C988" s="70"/>
      <c r="D988" s="70"/>
      <c r="E988" s="54" t="str">
        <f>IF(B988&lt;&gt;"",hddtohms(getlatitude(B988,C988,D988)),"")</f>
        <v/>
      </c>
      <c r="F988" s="54" t="str">
        <f>IF(B988&lt;&gt;"",hddtohms(-GetLongitude(B988,C988,D988)),"")</f>
        <v/>
      </c>
      <c r="G988" s="59" t="str">
        <f t="shared" si="15"/>
        <v/>
      </c>
    </row>
    <row r="989" spans="1:7" ht="15.75" thickBot="1" x14ac:dyDescent="0.3">
      <c r="A989" s="68"/>
      <c r="B989" s="70"/>
      <c r="C989" s="70"/>
      <c r="D989" s="70"/>
      <c r="E989" s="54" t="str">
        <f>IF(B989&lt;&gt;"",hddtohms(getlatitude(B989,C989,D989)),"")</f>
        <v/>
      </c>
      <c r="F989" s="54" t="str">
        <f>IF(B989&lt;&gt;"",hddtohms(-GetLongitude(B989,C989,D989)),"")</f>
        <v/>
      </c>
      <c r="G989" s="59" t="str">
        <f t="shared" si="15"/>
        <v/>
      </c>
    </row>
    <row r="990" spans="1:7" ht="15.75" thickBot="1" x14ac:dyDescent="0.3">
      <c r="A990" s="68"/>
      <c r="B990" s="70"/>
      <c r="C990" s="70"/>
      <c r="D990" s="70"/>
      <c r="E990" s="54" t="str">
        <f>IF(B990&lt;&gt;"",hddtohms(getlatitude(B990,C990,D990)),"")</f>
        <v/>
      </c>
      <c r="F990" s="54" t="str">
        <f>IF(B990&lt;&gt;"",hddtohms(-GetLongitude(B990,C990,D990)),"")</f>
        <v/>
      </c>
      <c r="G990" s="59" t="str">
        <f t="shared" si="15"/>
        <v/>
      </c>
    </row>
    <row r="991" spans="1:7" ht="15.75" thickBot="1" x14ac:dyDescent="0.3">
      <c r="A991" s="68"/>
      <c r="B991" s="70"/>
      <c r="C991" s="70"/>
      <c r="D991" s="70"/>
      <c r="E991" s="54" t="str">
        <f>IF(B991&lt;&gt;"",hddtohms(getlatitude(B991,C991,D991)),"")</f>
        <v/>
      </c>
      <c r="F991" s="54" t="str">
        <f>IF(B991&lt;&gt;"",hddtohms(-GetLongitude(B991,C991,D991)),"")</f>
        <v/>
      </c>
      <c r="G991" s="59" t="str">
        <f t="shared" si="15"/>
        <v/>
      </c>
    </row>
    <row r="992" spans="1:7" ht="15.75" thickBot="1" x14ac:dyDescent="0.3">
      <c r="A992" s="68"/>
      <c r="B992" s="70"/>
      <c r="C992" s="70"/>
      <c r="D992" s="70"/>
      <c r="E992" s="54" t="str">
        <f>IF(B992&lt;&gt;"",hddtohms(getlatitude(B992,C992,D992)),"")</f>
        <v/>
      </c>
      <c r="F992" s="54" t="str">
        <f>IF(B992&lt;&gt;"",hddtohms(-GetLongitude(B992,C992,D992)),"")</f>
        <v/>
      </c>
      <c r="G992" s="59" t="str">
        <f t="shared" si="15"/>
        <v/>
      </c>
    </row>
    <row r="993" spans="1:7" ht="15.75" thickBot="1" x14ac:dyDescent="0.3">
      <c r="A993" s="68"/>
      <c r="B993" s="70"/>
      <c r="C993" s="70"/>
      <c r="D993" s="70"/>
      <c r="E993" s="54" t="str">
        <f>IF(B993&lt;&gt;"",hddtohms(getlatitude(B993,C993,D993)),"")</f>
        <v/>
      </c>
      <c r="F993" s="54" t="str">
        <f>IF(B993&lt;&gt;"",hddtohms(-GetLongitude(B993,C993,D993)),"")</f>
        <v/>
      </c>
      <c r="G993" s="59" t="str">
        <f t="shared" si="15"/>
        <v/>
      </c>
    </row>
    <row r="994" spans="1:7" ht="15.75" thickBot="1" x14ac:dyDescent="0.3">
      <c r="A994" s="68"/>
      <c r="B994" s="70"/>
      <c r="C994" s="70"/>
      <c r="D994" s="70"/>
      <c r="E994" s="54" t="str">
        <f>IF(B994&lt;&gt;"",hddtohms(getlatitude(B994,C994,D994)),"")</f>
        <v/>
      </c>
      <c r="F994" s="54" t="str">
        <f>IF(B994&lt;&gt;"",hddtohms(-GetLongitude(B994,C994,D994)),"")</f>
        <v/>
      </c>
      <c r="G994" s="59" t="str">
        <f t="shared" si="15"/>
        <v/>
      </c>
    </row>
    <row r="995" spans="1:7" ht="15.75" thickBot="1" x14ac:dyDescent="0.3">
      <c r="A995" s="68"/>
      <c r="B995" s="70"/>
      <c r="C995" s="70"/>
      <c r="D995" s="70"/>
      <c r="E995" s="54" t="str">
        <f>IF(B995&lt;&gt;"",hddtohms(getlatitude(B995,C995,D995)),"")</f>
        <v/>
      </c>
      <c r="F995" s="54" t="str">
        <f>IF(B995&lt;&gt;"",hddtohms(-GetLongitude(B995,C995,D995)),"")</f>
        <v/>
      </c>
      <c r="G995" s="59" t="str">
        <f t="shared" si="15"/>
        <v/>
      </c>
    </row>
    <row r="996" spans="1:7" ht="15.75" thickBot="1" x14ac:dyDescent="0.3">
      <c r="A996" s="68"/>
      <c r="B996" s="70"/>
      <c r="C996" s="70"/>
      <c r="D996" s="70"/>
      <c r="E996" s="54" t="str">
        <f>IF(B996&lt;&gt;"",hddtohms(getlatitude(B996,C996,D996)),"")</f>
        <v/>
      </c>
      <c r="F996" s="54" t="str">
        <f>IF(B996&lt;&gt;"",hddtohms(-GetLongitude(B996,C996,D996)),"")</f>
        <v/>
      </c>
      <c r="G996" s="59" t="str">
        <f t="shared" si="15"/>
        <v/>
      </c>
    </row>
    <row r="997" spans="1:7" ht="15.75" thickBot="1" x14ac:dyDescent="0.3">
      <c r="A997" s="68"/>
      <c r="B997" s="70"/>
      <c r="C997" s="70"/>
      <c r="D997" s="70"/>
      <c r="E997" s="54" t="str">
        <f>IF(B997&lt;&gt;"",hddtohms(getlatitude(B997,C997,D997)),"")</f>
        <v/>
      </c>
      <c r="F997" s="54" t="str">
        <f>IF(B997&lt;&gt;"",hddtohms(-GetLongitude(B997,C997,D997)),"")</f>
        <v/>
      </c>
      <c r="G997" s="59" t="str">
        <f t="shared" si="15"/>
        <v/>
      </c>
    </row>
    <row r="998" spans="1:7" ht="15.75" thickBot="1" x14ac:dyDescent="0.3">
      <c r="A998" s="68"/>
      <c r="B998" s="70"/>
      <c r="C998" s="70"/>
      <c r="D998" s="70"/>
      <c r="E998" s="54" t="str">
        <f>IF(B998&lt;&gt;"",hddtohms(getlatitude(B998,C998,D998)),"")</f>
        <v/>
      </c>
      <c r="F998" s="54" t="str">
        <f>IF(B998&lt;&gt;"",hddtohms(-GetLongitude(B998,C998,D998)),"")</f>
        <v/>
      </c>
      <c r="G998" s="59" t="str">
        <f t="shared" si="15"/>
        <v/>
      </c>
    </row>
    <row r="999" spans="1:7" ht="15.75" thickBot="1" x14ac:dyDescent="0.3">
      <c r="A999" s="68"/>
      <c r="B999" s="70"/>
      <c r="C999" s="70"/>
      <c r="D999" s="70"/>
      <c r="E999" s="54" t="str">
        <f>IF(B999&lt;&gt;"",hddtohms(getlatitude(B999,C999,D999)),"")</f>
        <v/>
      </c>
      <c r="F999" s="54" t="str">
        <f>IF(B999&lt;&gt;"",hddtohms(-GetLongitude(B999,C999,D999)),"")</f>
        <v/>
      </c>
      <c r="G999" s="59" t="str">
        <f t="shared" si="15"/>
        <v/>
      </c>
    </row>
    <row r="1000" spans="1:7" ht="15.75" thickBot="1" x14ac:dyDescent="0.3">
      <c r="A1000" s="68"/>
      <c r="B1000" s="70"/>
      <c r="C1000" s="70"/>
      <c r="D1000" s="70"/>
      <c r="E1000" s="54" t="str">
        <f>IF(B1000&lt;&gt;"",hddtohms(getlatitude(B1000,C1000,D1000)),"")</f>
        <v/>
      </c>
      <c r="F1000" s="54" t="str">
        <f>IF(B1000&lt;&gt;"",hddtohms(-GetLongitude(B1000,C1000,D1000)),"")</f>
        <v/>
      </c>
      <c r="G1000" s="59" t="str">
        <f t="shared" ref="G1000:G1046" si="16">IF(B1000&lt;&gt;"",GetHeight(B1000,C1000,D1000),"")</f>
        <v/>
      </c>
    </row>
    <row r="1001" spans="1:7" ht="15.75" thickBot="1" x14ac:dyDescent="0.3">
      <c r="A1001" s="68"/>
      <c r="B1001" s="70"/>
      <c r="C1001" s="70"/>
      <c r="D1001" s="70"/>
      <c r="E1001" s="54" t="str">
        <f>IF(B1001&lt;&gt;"",hddtohms(getlatitude(B1001,C1001,D1001)),"")</f>
        <v/>
      </c>
      <c r="F1001" s="54" t="str">
        <f>IF(B1001&lt;&gt;"",hddtohms(-GetLongitude(B1001,C1001,D1001)),"")</f>
        <v/>
      </c>
      <c r="G1001" s="59" t="str">
        <f t="shared" si="16"/>
        <v/>
      </c>
    </row>
    <row r="1002" spans="1:7" ht="15.75" thickBot="1" x14ac:dyDescent="0.3">
      <c r="A1002" s="68"/>
      <c r="B1002" s="70"/>
      <c r="C1002" s="70"/>
      <c r="D1002" s="70"/>
      <c r="E1002" s="54" t="str">
        <f>IF(B1002&lt;&gt;"",hddtohms(getlatitude(B1002,C1002,D1002)),"")</f>
        <v/>
      </c>
      <c r="F1002" s="54" t="str">
        <f>IF(B1002&lt;&gt;"",hddtohms(-GetLongitude(B1002,C1002,D1002)),"")</f>
        <v/>
      </c>
      <c r="G1002" s="59" t="str">
        <f t="shared" si="16"/>
        <v/>
      </c>
    </row>
    <row r="1003" spans="1:7" ht="15.75" thickBot="1" x14ac:dyDescent="0.3">
      <c r="A1003" s="68"/>
      <c r="B1003" s="70"/>
      <c r="C1003" s="70"/>
      <c r="D1003" s="70"/>
      <c r="E1003" s="54" t="str">
        <f>IF(B1003&lt;&gt;"",hddtohms(getlatitude(B1003,C1003,D1003)),"")</f>
        <v/>
      </c>
      <c r="F1003" s="54" t="str">
        <f>IF(B1003&lt;&gt;"",hddtohms(-GetLongitude(B1003,C1003,D1003)),"")</f>
        <v/>
      </c>
      <c r="G1003" s="59" t="str">
        <f t="shared" si="16"/>
        <v/>
      </c>
    </row>
    <row r="1004" spans="1:7" ht="15.75" thickBot="1" x14ac:dyDescent="0.3">
      <c r="A1004" s="68"/>
      <c r="B1004" s="70"/>
      <c r="C1004" s="70"/>
      <c r="D1004" s="70"/>
      <c r="E1004" s="54" t="str">
        <f>IF(B1004&lt;&gt;"",hddtohms(getlatitude(B1004,C1004,D1004)),"")</f>
        <v/>
      </c>
      <c r="F1004" s="54" t="str">
        <f>IF(B1004&lt;&gt;"",hddtohms(-GetLongitude(B1004,C1004,D1004)),"")</f>
        <v/>
      </c>
      <c r="G1004" s="59" t="str">
        <f t="shared" si="16"/>
        <v/>
      </c>
    </row>
    <row r="1005" spans="1:7" ht="15.75" thickBot="1" x14ac:dyDescent="0.3">
      <c r="A1005" s="68"/>
      <c r="B1005" s="70"/>
      <c r="C1005" s="70"/>
      <c r="D1005" s="70"/>
      <c r="E1005" s="54" t="str">
        <f>IF(B1005&lt;&gt;"",hddtohms(getlatitude(B1005,C1005,D1005)),"")</f>
        <v/>
      </c>
      <c r="F1005" s="54" t="str">
        <f>IF(B1005&lt;&gt;"",hddtohms(-GetLongitude(B1005,C1005,D1005)),"")</f>
        <v/>
      </c>
      <c r="G1005" s="59" t="str">
        <f t="shared" si="16"/>
        <v/>
      </c>
    </row>
    <row r="1006" spans="1:7" ht="15.75" thickBot="1" x14ac:dyDescent="0.3">
      <c r="A1006" s="68"/>
      <c r="B1006" s="70"/>
      <c r="C1006" s="70"/>
      <c r="D1006" s="70"/>
      <c r="E1006" s="54" t="str">
        <f>IF(B1006&lt;&gt;"",hddtohms(getlatitude(B1006,C1006,D1006)),"")</f>
        <v/>
      </c>
      <c r="F1006" s="54" t="str">
        <f>IF(B1006&lt;&gt;"",hddtohms(-GetLongitude(B1006,C1006,D1006)),"")</f>
        <v/>
      </c>
      <c r="G1006" s="59" t="str">
        <f t="shared" si="16"/>
        <v/>
      </c>
    </row>
    <row r="1007" spans="1:7" ht="15.75" thickBot="1" x14ac:dyDescent="0.3">
      <c r="A1007" s="68"/>
      <c r="B1007" s="70"/>
      <c r="C1007" s="70"/>
      <c r="D1007" s="70"/>
      <c r="E1007" s="54" t="str">
        <f>IF(B1007&lt;&gt;"",hddtohms(getlatitude(B1007,C1007,D1007)),"")</f>
        <v/>
      </c>
      <c r="F1007" s="54" t="str">
        <f>IF(B1007&lt;&gt;"",hddtohms(-GetLongitude(B1007,C1007,D1007)),"")</f>
        <v/>
      </c>
      <c r="G1007" s="59" t="str">
        <f t="shared" si="16"/>
        <v/>
      </c>
    </row>
    <row r="1008" spans="1:7" ht="15.75" thickBot="1" x14ac:dyDescent="0.3">
      <c r="A1008" s="68"/>
      <c r="B1008" s="70"/>
      <c r="C1008" s="70"/>
      <c r="D1008" s="70"/>
      <c r="E1008" s="54" t="str">
        <f>IF(B1008&lt;&gt;"",hddtohms(getlatitude(B1008,C1008,D1008)),"")</f>
        <v/>
      </c>
      <c r="F1008" s="54" t="str">
        <f>IF(B1008&lt;&gt;"",hddtohms(-GetLongitude(B1008,C1008,D1008)),"")</f>
        <v/>
      </c>
      <c r="G1008" s="59" t="str">
        <f t="shared" si="16"/>
        <v/>
      </c>
    </row>
    <row r="1009" spans="1:7" ht="15.75" thickBot="1" x14ac:dyDescent="0.3">
      <c r="A1009" s="68"/>
      <c r="B1009" s="70"/>
      <c r="C1009" s="70"/>
      <c r="D1009" s="70"/>
      <c r="E1009" s="54" t="str">
        <f>IF(B1009&lt;&gt;"",hddtohms(getlatitude(B1009,C1009,D1009)),"")</f>
        <v/>
      </c>
      <c r="F1009" s="54" t="str">
        <f>IF(B1009&lt;&gt;"",hddtohms(-GetLongitude(B1009,C1009,D1009)),"")</f>
        <v/>
      </c>
      <c r="G1009" s="59" t="str">
        <f t="shared" si="16"/>
        <v/>
      </c>
    </row>
    <row r="1010" spans="1:7" ht="15.75" thickBot="1" x14ac:dyDescent="0.3">
      <c r="A1010" s="68"/>
      <c r="B1010" s="70"/>
      <c r="C1010" s="70"/>
      <c r="D1010" s="70"/>
      <c r="E1010" s="54" t="str">
        <f>IF(B1010&lt;&gt;"",hddtohms(getlatitude(B1010,C1010,D1010)),"")</f>
        <v/>
      </c>
      <c r="F1010" s="54" t="str">
        <f>IF(B1010&lt;&gt;"",hddtohms(-GetLongitude(B1010,C1010,D1010)),"")</f>
        <v/>
      </c>
      <c r="G1010" s="59" t="str">
        <f t="shared" si="16"/>
        <v/>
      </c>
    </row>
    <row r="1011" spans="1:7" ht="15.75" thickBot="1" x14ac:dyDescent="0.3">
      <c r="A1011" s="68"/>
      <c r="B1011" s="70"/>
      <c r="C1011" s="70"/>
      <c r="D1011" s="70"/>
      <c r="E1011" s="54" t="str">
        <f>IF(B1011&lt;&gt;"",hddtohms(getlatitude(B1011,C1011,D1011)),"")</f>
        <v/>
      </c>
      <c r="F1011" s="54" t="str">
        <f>IF(B1011&lt;&gt;"",hddtohms(-GetLongitude(B1011,C1011,D1011)),"")</f>
        <v/>
      </c>
      <c r="G1011" s="59" t="str">
        <f t="shared" si="16"/>
        <v/>
      </c>
    </row>
    <row r="1012" spans="1:7" ht="15.75" thickBot="1" x14ac:dyDescent="0.3">
      <c r="A1012" s="68"/>
      <c r="B1012" s="70"/>
      <c r="C1012" s="70"/>
      <c r="D1012" s="70"/>
      <c r="E1012" s="54" t="str">
        <f>IF(B1012&lt;&gt;"",hddtohms(getlatitude(B1012,C1012,D1012)),"")</f>
        <v/>
      </c>
      <c r="F1012" s="54" t="str">
        <f>IF(B1012&lt;&gt;"",hddtohms(-GetLongitude(B1012,C1012,D1012)),"")</f>
        <v/>
      </c>
      <c r="G1012" s="59" t="str">
        <f t="shared" si="16"/>
        <v/>
      </c>
    </row>
    <row r="1013" spans="1:7" ht="15.75" thickBot="1" x14ac:dyDescent="0.3">
      <c r="A1013" s="68"/>
      <c r="B1013" s="70"/>
      <c r="C1013" s="70"/>
      <c r="D1013" s="70"/>
      <c r="E1013" s="54" t="str">
        <f>IF(B1013&lt;&gt;"",hddtohms(getlatitude(B1013,C1013,D1013)),"")</f>
        <v/>
      </c>
      <c r="F1013" s="54" t="str">
        <f>IF(B1013&lt;&gt;"",hddtohms(-GetLongitude(B1013,C1013,D1013)),"")</f>
        <v/>
      </c>
      <c r="G1013" s="59" t="str">
        <f t="shared" si="16"/>
        <v/>
      </c>
    </row>
    <row r="1014" spans="1:7" ht="15.75" thickBot="1" x14ac:dyDescent="0.3">
      <c r="A1014" s="68"/>
      <c r="B1014" s="70"/>
      <c r="C1014" s="70"/>
      <c r="D1014" s="70"/>
      <c r="E1014" s="54" t="str">
        <f>IF(B1014&lt;&gt;"",hddtohms(getlatitude(B1014,C1014,D1014)),"")</f>
        <v/>
      </c>
      <c r="F1014" s="54" t="str">
        <f>IF(B1014&lt;&gt;"",hddtohms(-GetLongitude(B1014,C1014,D1014)),"")</f>
        <v/>
      </c>
      <c r="G1014" s="59" t="str">
        <f t="shared" si="16"/>
        <v/>
      </c>
    </row>
    <row r="1015" spans="1:7" ht="15.75" thickBot="1" x14ac:dyDescent="0.3">
      <c r="A1015" s="68"/>
      <c r="B1015" s="70"/>
      <c r="C1015" s="70"/>
      <c r="D1015" s="70"/>
      <c r="E1015" s="54" t="str">
        <f>IF(B1015&lt;&gt;"",hddtohms(getlatitude(B1015,C1015,D1015)),"")</f>
        <v/>
      </c>
      <c r="F1015" s="54" t="str">
        <f>IF(B1015&lt;&gt;"",hddtohms(-GetLongitude(B1015,C1015,D1015)),"")</f>
        <v/>
      </c>
      <c r="G1015" s="59" t="str">
        <f t="shared" si="16"/>
        <v/>
      </c>
    </row>
    <row r="1016" spans="1:7" ht="15.75" thickBot="1" x14ac:dyDescent="0.3">
      <c r="A1016" s="68"/>
      <c r="B1016" s="70"/>
      <c r="C1016" s="70"/>
      <c r="D1016" s="70"/>
      <c r="E1016" s="54" t="str">
        <f>IF(B1016&lt;&gt;"",hddtohms(getlatitude(B1016,C1016,D1016)),"")</f>
        <v/>
      </c>
      <c r="F1016" s="54" t="str">
        <f>IF(B1016&lt;&gt;"",hddtohms(-GetLongitude(B1016,C1016,D1016)),"")</f>
        <v/>
      </c>
      <c r="G1016" s="59" t="str">
        <f t="shared" si="16"/>
        <v/>
      </c>
    </row>
    <row r="1017" spans="1:7" ht="15.75" thickBot="1" x14ac:dyDescent="0.3">
      <c r="A1017" s="68"/>
      <c r="B1017" s="70"/>
      <c r="C1017" s="70"/>
      <c r="D1017" s="70"/>
      <c r="E1017" s="54" t="str">
        <f>IF(B1017&lt;&gt;"",hddtohms(getlatitude(B1017,C1017,D1017)),"")</f>
        <v/>
      </c>
      <c r="F1017" s="54" t="str">
        <f>IF(B1017&lt;&gt;"",hddtohms(-GetLongitude(B1017,C1017,D1017)),"")</f>
        <v/>
      </c>
      <c r="G1017" s="59" t="str">
        <f t="shared" si="16"/>
        <v/>
      </c>
    </row>
    <row r="1018" spans="1:7" ht="15.75" thickBot="1" x14ac:dyDescent="0.3">
      <c r="A1018" s="68"/>
      <c r="B1018" s="70"/>
      <c r="C1018" s="70"/>
      <c r="D1018" s="70"/>
      <c r="E1018" s="54" t="str">
        <f>IF(B1018&lt;&gt;"",hddtohms(getlatitude(B1018,C1018,D1018)),"")</f>
        <v/>
      </c>
      <c r="F1018" s="54" t="str">
        <f>IF(B1018&lt;&gt;"",hddtohms(-GetLongitude(B1018,C1018,D1018)),"")</f>
        <v/>
      </c>
      <c r="G1018" s="59" t="str">
        <f t="shared" si="16"/>
        <v/>
      </c>
    </row>
    <row r="1019" spans="1:7" ht="15.75" thickBot="1" x14ac:dyDescent="0.3">
      <c r="A1019" s="68"/>
      <c r="B1019" s="70"/>
      <c r="C1019" s="70"/>
      <c r="D1019" s="70"/>
      <c r="E1019" s="54" t="str">
        <f>IF(B1019&lt;&gt;"",hddtohms(getlatitude(B1019,C1019,D1019)),"")</f>
        <v/>
      </c>
      <c r="F1019" s="54" t="str">
        <f>IF(B1019&lt;&gt;"",hddtohms(-GetLongitude(B1019,C1019,D1019)),"")</f>
        <v/>
      </c>
      <c r="G1019" s="59" t="str">
        <f t="shared" si="16"/>
        <v/>
      </c>
    </row>
    <row r="1020" spans="1:7" ht="15.75" thickBot="1" x14ac:dyDescent="0.3">
      <c r="A1020" s="68"/>
      <c r="B1020" s="70"/>
      <c r="C1020" s="70"/>
      <c r="D1020" s="70"/>
      <c r="E1020" s="54" t="str">
        <f>IF(B1020&lt;&gt;"",hddtohms(getlatitude(B1020,C1020,D1020)),"")</f>
        <v/>
      </c>
      <c r="F1020" s="54" t="str">
        <f>IF(B1020&lt;&gt;"",hddtohms(-GetLongitude(B1020,C1020,D1020)),"")</f>
        <v/>
      </c>
      <c r="G1020" s="59" t="str">
        <f t="shared" si="16"/>
        <v/>
      </c>
    </row>
    <row r="1021" spans="1:7" ht="15.75" thickBot="1" x14ac:dyDescent="0.3">
      <c r="A1021" s="68"/>
      <c r="B1021" s="70"/>
      <c r="C1021" s="70"/>
      <c r="D1021" s="70"/>
      <c r="E1021" s="54" t="str">
        <f>IF(B1021&lt;&gt;"",hddtohms(getlatitude(B1021,C1021,D1021)),"")</f>
        <v/>
      </c>
      <c r="F1021" s="54" t="str">
        <f>IF(B1021&lt;&gt;"",hddtohms(-GetLongitude(B1021,C1021,D1021)),"")</f>
        <v/>
      </c>
      <c r="G1021" s="59" t="str">
        <f t="shared" si="16"/>
        <v/>
      </c>
    </row>
    <row r="1022" spans="1:7" ht="15.75" thickBot="1" x14ac:dyDescent="0.3">
      <c r="A1022" s="68"/>
      <c r="B1022" s="70"/>
      <c r="C1022" s="70"/>
      <c r="D1022" s="70"/>
      <c r="E1022" s="54" t="str">
        <f>IF(B1022&lt;&gt;"",hddtohms(getlatitude(B1022,C1022,D1022)),"")</f>
        <v/>
      </c>
      <c r="F1022" s="54" t="str">
        <f>IF(B1022&lt;&gt;"",hddtohms(-GetLongitude(B1022,C1022,D1022)),"")</f>
        <v/>
      </c>
      <c r="G1022" s="59" t="str">
        <f t="shared" si="16"/>
        <v/>
      </c>
    </row>
    <row r="1023" spans="1:7" ht="15.75" thickBot="1" x14ac:dyDescent="0.3">
      <c r="A1023" s="68"/>
      <c r="B1023" s="70"/>
      <c r="C1023" s="70"/>
      <c r="D1023" s="70"/>
      <c r="E1023" s="54" t="str">
        <f>IF(B1023&lt;&gt;"",hddtohms(getlatitude(B1023,C1023,D1023)),"")</f>
        <v/>
      </c>
      <c r="F1023" s="54" t="str">
        <f>IF(B1023&lt;&gt;"",hddtohms(-GetLongitude(B1023,C1023,D1023)),"")</f>
        <v/>
      </c>
      <c r="G1023" s="59" t="str">
        <f t="shared" si="16"/>
        <v/>
      </c>
    </row>
    <row r="1024" spans="1:7" ht="15.75" thickBot="1" x14ac:dyDescent="0.3">
      <c r="A1024" s="68"/>
      <c r="B1024" s="70"/>
      <c r="C1024" s="70"/>
      <c r="D1024" s="70"/>
      <c r="E1024" s="54" t="str">
        <f>IF(B1024&lt;&gt;"",hddtohms(getlatitude(B1024,C1024,D1024)),"")</f>
        <v/>
      </c>
      <c r="F1024" s="54" t="str">
        <f>IF(B1024&lt;&gt;"",hddtohms(-GetLongitude(B1024,C1024,D1024)),"")</f>
        <v/>
      </c>
      <c r="G1024" s="59" t="str">
        <f t="shared" si="16"/>
        <v/>
      </c>
    </row>
    <row r="1025" spans="1:7" ht="15.75" thickBot="1" x14ac:dyDescent="0.3">
      <c r="A1025" s="68"/>
      <c r="B1025" s="70"/>
      <c r="C1025" s="70"/>
      <c r="D1025" s="70"/>
      <c r="E1025" s="54" t="str">
        <f>IF(B1025&lt;&gt;"",hddtohms(getlatitude(B1025,C1025,D1025)),"")</f>
        <v/>
      </c>
      <c r="F1025" s="54" t="str">
        <f>IF(B1025&lt;&gt;"",hddtohms(-GetLongitude(B1025,C1025,D1025)),"")</f>
        <v/>
      </c>
      <c r="G1025" s="59" t="str">
        <f t="shared" si="16"/>
        <v/>
      </c>
    </row>
    <row r="1026" spans="1:7" ht="15.75" thickBot="1" x14ac:dyDescent="0.3">
      <c r="A1026" s="68"/>
      <c r="B1026" s="70"/>
      <c r="C1026" s="70"/>
      <c r="D1026" s="70"/>
      <c r="E1026" s="54" t="str">
        <f>IF(B1026&lt;&gt;"",hddtohms(getlatitude(B1026,C1026,D1026)),"")</f>
        <v/>
      </c>
      <c r="F1026" s="54" t="str">
        <f>IF(B1026&lt;&gt;"",hddtohms(-GetLongitude(B1026,C1026,D1026)),"")</f>
        <v/>
      </c>
      <c r="G1026" s="59" t="str">
        <f t="shared" si="16"/>
        <v/>
      </c>
    </row>
    <row r="1027" spans="1:7" ht="15.75" thickBot="1" x14ac:dyDescent="0.3">
      <c r="A1027" s="68"/>
      <c r="B1027" s="70"/>
      <c r="C1027" s="70"/>
      <c r="D1027" s="70"/>
      <c r="E1027" s="54" t="str">
        <f>IF(B1027&lt;&gt;"",hddtohms(getlatitude(B1027,C1027,D1027)),"")</f>
        <v/>
      </c>
      <c r="F1027" s="54" t="str">
        <f>IF(B1027&lt;&gt;"",hddtohms(-GetLongitude(B1027,C1027,D1027)),"")</f>
        <v/>
      </c>
      <c r="G1027" s="59" t="str">
        <f t="shared" si="16"/>
        <v/>
      </c>
    </row>
    <row r="1028" spans="1:7" ht="15.75" thickBot="1" x14ac:dyDescent="0.3">
      <c r="A1028" s="68"/>
      <c r="B1028" s="70"/>
      <c r="C1028" s="70"/>
      <c r="D1028" s="70"/>
      <c r="E1028" s="54" t="str">
        <f>IF(B1028&lt;&gt;"",hddtohms(getlatitude(B1028,C1028,D1028)),"")</f>
        <v/>
      </c>
      <c r="F1028" s="54" t="str">
        <f>IF(B1028&lt;&gt;"",hddtohms(-GetLongitude(B1028,C1028,D1028)),"")</f>
        <v/>
      </c>
      <c r="G1028" s="59" t="str">
        <f t="shared" si="16"/>
        <v/>
      </c>
    </row>
    <row r="1029" spans="1:7" ht="15.75" thickBot="1" x14ac:dyDescent="0.3">
      <c r="A1029" s="68"/>
      <c r="B1029" s="70"/>
      <c r="C1029" s="70"/>
      <c r="D1029" s="70"/>
      <c r="E1029" s="54" t="str">
        <f>IF(B1029&lt;&gt;"",hddtohms(getlatitude(B1029,C1029,D1029)),"")</f>
        <v/>
      </c>
      <c r="F1029" s="54" t="str">
        <f>IF(B1029&lt;&gt;"",hddtohms(-GetLongitude(B1029,C1029,D1029)),"")</f>
        <v/>
      </c>
      <c r="G1029" s="59" t="str">
        <f t="shared" si="16"/>
        <v/>
      </c>
    </row>
    <row r="1030" spans="1:7" ht="15.75" thickBot="1" x14ac:dyDescent="0.3">
      <c r="A1030" s="68"/>
      <c r="B1030" s="70"/>
      <c r="C1030" s="70"/>
      <c r="D1030" s="70"/>
      <c r="E1030" s="54" t="str">
        <f>IF(B1030&lt;&gt;"",hddtohms(getlatitude(B1030,C1030,D1030)),"")</f>
        <v/>
      </c>
      <c r="F1030" s="54" t="str">
        <f>IF(B1030&lt;&gt;"",hddtohms(-GetLongitude(B1030,C1030,D1030)),"")</f>
        <v/>
      </c>
      <c r="G1030" s="59" t="str">
        <f t="shared" si="16"/>
        <v/>
      </c>
    </row>
    <row r="1031" spans="1:7" ht="15.75" thickBot="1" x14ac:dyDescent="0.3">
      <c r="A1031" s="68"/>
      <c r="B1031" s="70"/>
      <c r="C1031" s="70"/>
      <c r="D1031" s="70"/>
      <c r="E1031" s="54" t="str">
        <f>IF(B1031&lt;&gt;"",hddtohms(getlatitude(B1031,C1031,D1031)),"")</f>
        <v/>
      </c>
      <c r="F1031" s="54" t="str">
        <f>IF(B1031&lt;&gt;"",hddtohms(-GetLongitude(B1031,C1031,D1031)),"")</f>
        <v/>
      </c>
      <c r="G1031" s="59" t="str">
        <f t="shared" si="16"/>
        <v/>
      </c>
    </row>
    <row r="1032" spans="1:7" ht="15.75" thickBot="1" x14ac:dyDescent="0.3">
      <c r="A1032" s="68"/>
      <c r="B1032" s="70"/>
      <c r="C1032" s="70"/>
      <c r="D1032" s="70"/>
      <c r="E1032" s="54" t="str">
        <f>IF(B1032&lt;&gt;"",hddtohms(getlatitude(B1032,C1032,D1032)),"")</f>
        <v/>
      </c>
      <c r="F1032" s="54" t="str">
        <f>IF(B1032&lt;&gt;"",hddtohms(-GetLongitude(B1032,C1032,D1032)),"")</f>
        <v/>
      </c>
      <c r="G1032" s="59" t="str">
        <f t="shared" si="16"/>
        <v/>
      </c>
    </row>
    <row r="1033" spans="1:7" ht="15.75" thickBot="1" x14ac:dyDescent="0.3">
      <c r="A1033" s="68"/>
      <c r="B1033" s="70"/>
      <c r="C1033" s="70"/>
      <c r="D1033" s="70"/>
      <c r="E1033" s="54" t="str">
        <f>IF(B1033&lt;&gt;"",hddtohms(getlatitude(B1033,C1033,D1033)),"")</f>
        <v/>
      </c>
      <c r="F1033" s="54" t="str">
        <f>IF(B1033&lt;&gt;"",hddtohms(-GetLongitude(B1033,C1033,D1033)),"")</f>
        <v/>
      </c>
      <c r="G1033" s="59" t="str">
        <f t="shared" si="16"/>
        <v/>
      </c>
    </row>
    <row r="1034" spans="1:7" ht="15.75" thickBot="1" x14ac:dyDescent="0.3">
      <c r="A1034" s="68"/>
      <c r="B1034" s="70"/>
      <c r="C1034" s="70"/>
      <c r="D1034" s="70"/>
      <c r="E1034" s="54" t="str">
        <f>IF(B1034&lt;&gt;"",hddtohms(getlatitude(B1034,C1034,D1034)),"")</f>
        <v/>
      </c>
      <c r="F1034" s="54" t="str">
        <f>IF(B1034&lt;&gt;"",hddtohms(-GetLongitude(B1034,C1034,D1034)),"")</f>
        <v/>
      </c>
      <c r="G1034" s="59" t="str">
        <f t="shared" si="16"/>
        <v/>
      </c>
    </row>
    <row r="1035" spans="1:7" ht="15.75" thickBot="1" x14ac:dyDescent="0.3">
      <c r="A1035" s="68"/>
      <c r="B1035" s="70"/>
      <c r="C1035" s="70"/>
      <c r="D1035" s="70"/>
      <c r="E1035" s="54" t="str">
        <f>IF(B1035&lt;&gt;"",hddtohms(getlatitude(B1035,C1035,D1035)),"")</f>
        <v/>
      </c>
      <c r="F1035" s="54" t="str">
        <f>IF(B1035&lt;&gt;"",hddtohms(-GetLongitude(B1035,C1035,D1035)),"")</f>
        <v/>
      </c>
      <c r="G1035" s="59" t="str">
        <f t="shared" si="16"/>
        <v/>
      </c>
    </row>
    <row r="1036" spans="1:7" ht="15.75" thickBot="1" x14ac:dyDescent="0.3">
      <c r="A1036" s="68"/>
      <c r="B1036" s="70"/>
      <c r="C1036" s="70"/>
      <c r="D1036" s="70"/>
      <c r="E1036" s="54" t="str">
        <f>IF(B1036&lt;&gt;"",hddtohms(getlatitude(B1036,C1036,D1036)),"")</f>
        <v/>
      </c>
      <c r="F1036" s="54" t="str">
        <f>IF(B1036&lt;&gt;"",hddtohms(-GetLongitude(B1036,C1036,D1036)),"")</f>
        <v/>
      </c>
      <c r="G1036" s="59" t="str">
        <f t="shared" si="16"/>
        <v/>
      </c>
    </row>
    <row r="1037" spans="1:7" ht="15.75" thickBot="1" x14ac:dyDescent="0.3">
      <c r="A1037" s="68"/>
      <c r="B1037" s="70"/>
      <c r="C1037" s="70"/>
      <c r="D1037" s="70"/>
      <c r="E1037" s="54" t="str">
        <f>IF(B1037&lt;&gt;"",hddtohms(getlatitude(B1037,C1037,D1037)),"")</f>
        <v/>
      </c>
      <c r="F1037" s="54" t="str">
        <f>IF(B1037&lt;&gt;"",hddtohms(-GetLongitude(B1037,C1037,D1037)),"")</f>
        <v/>
      </c>
      <c r="G1037" s="59" t="str">
        <f t="shared" si="16"/>
        <v/>
      </c>
    </row>
    <row r="1038" spans="1:7" ht="15.75" thickBot="1" x14ac:dyDescent="0.3">
      <c r="A1038" s="68"/>
      <c r="B1038" s="70"/>
      <c r="C1038" s="70"/>
      <c r="D1038" s="70"/>
      <c r="E1038" s="54" t="str">
        <f>IF(B1038&lt;&gt;"",hddtohms(getlatitude(B1038,C1038,D1038)),"")</f>
        <v/>
      </c>
      <c r="F1038" s="54" t="str">
        <f>IF(B1038&lt;&gt;"",hddtohms(-GetLongitude(B1038,C1038,D1038)),"")</f>
        <v/>
      </c>
      <c r="G1038" s="59" t="str">
        <f t="shared" si="16"/>
        <v/>
      </c>
    </row>
    <row r="1039" spans="1:7" ht="15.75" thickBot="1" x14ac:dyDescent="0.3">
      <c r="A1039" s="68"/>
      <c r="B1039" s="70"/>
      <c r="C1039" s="70"/>
      <c r="D1039" s="70"/>
      <c r="E1039" s="54" t="str">
        <f>IF(B1039&lt;&gt;"",hddtohms(getlatitude(B1039,C1039,D1039)),"")</f>
        <v/>
      </c>
      <c r="F1039" s="54" t="str">
        <f>IF(B1039&lt;&gt;"",hddtohms(-GetLongitude(B1039,C1039,D1039)),"")</f>
        <v/>
      </c>
      <c r="G1039" s="59" t="str">
        <f t="shared" si="16"/>
        <v/>
      </c>
    </row>
    <row r="1040" spans="1:7" ht="15.75" thickBot="1" x14ac:dyDescent="0.3">
      <c r="A1040" s="68"/>
      <c r="B1040" s="70"/>
      <c r="C1040" s="70"/>
      <c r="D1040" s="70"/>
      <c r="E1040" s="54" t="str">
        <f>IF(B1040&lt;&gt;"",hddtohms(getlatitude(B1040,C1040,D1040)),"")</f>
        <v/>
      </c>
      <c r="F1040" s="54" t="str">
        <f>IF(B1040&lt;&gt;"",hddtohms(-GetLongitude(B1040,C1040,D1040)),"")</f>
        <v/>
      </c>
      <c r="G1040" s="59" t="str">
        <f t="shared" si="16"/>
        <v/>
      </c>
    </row>
    <row r="1041" spans="1:7" ht="15.75" thickBot="1" x14ac:dyDescent="0.3">
      <c r="A1041" s="68"/>
      <c r="B1041" s="70"/>
      <c r="C1041" s="70"/>
      <c r="D1041" s="70"/>
      <c r="E1041" s="54" t="str">
        <f>IF(B1041&lt;&gt;"",hddtohms(getlatitude(B1041,C1041,D1041)),"")</f>
        <v/>
      </c>
      <c r="F1041" s="54" t="str">
        <f>IF(B1041&lt;&gt;"",hddtohms(-GetLongitude(B1041,C1041,D1041)),"")</f>
        <v/>
      </c>
      <c r="G1041" s="59" t="str">
        <f t="shared" si="16"/>
        <v/>
      </c>
    </row>
    <row r="1042" spans="1:7" ht="15.75" thickBot="1" x14ac:dyDescent="0.3">
      <c r="A1042" s="68"/>
      <c r="B1042" s="70"/>
      <c r="C1042" s="70"/>
      <c r="D1042" s="70"/>
      <c r="E1042" s="54" t="str">
        <f>IF(B1042&lt;&gt;"",hddtohms(getlatitude(B1042,C1042,D1042)),"")</f>
        <v/>
      </c>
      <c r="F1042" s="54" t="str">
        <f>IF(B1042&lt;&gt;"",hddtohms(-GetLongitude(B1042,C1042,D1042)),"")</f>
        <v/>
      </c>
      <c r="G1042" s="59" t="str">
        <f t="shared" si="16"/>
        <v/>
      </c>
    </row>
    <row r="1043" spans="1:7" ht="15.75" thickBot="1" x14ac:dyDescent="0.3">
      <c r="A1043" s="68"/>
      <c r="B1043" s="70"/>
      <c r="C1043" s="70"/>
      <c r="D1043" s="70"/>
      <c r="E1043" s="54" t="str">
        <f>IF(B1043&lt;&gt;"",hddtohms(getlatitude(B1043,C1043,D1043)),"")</f>
        <v/>
      </c>
      <c r="F1043" s="54" t="str">
        <f>IF(B1043&lt;&gt;"",hddtohms(-GetLongitude(B1043,C1043,D1043)),"")</f>
        <v/>
      </c>
      <c r="G1043" s="59" t="str">
        <f t="shared" si="16"/>
        <v/>
      </c>
    </row>
    <row r="1044" spans="1:7" ht="15.75" thickBot="1" x14ac:dyDescent="0.3">
      <c r="A1044" s="68"/>
      <c r="B1044" s="70"/>
      <c r="C1044" s="70"/>
      <c r="D1044" s="70"/>
      <c r="E1044" s="54" t="str">
        <f>IF(B1044&lt;&gt;"",hddtohms(getlatitude(B1044,C1044,D1044)),"")</f>
        <v/>
      </c>
      <c r="F1044" s="54" t="str">
        <f>IF(B1044&lt;&gt;"",hddtohms(-GetLongitude(B1044,C1044,D1044)),"")</f>
        <v/>
      </c>
      <c r="G1044" s="59" t="str">
        <f t="shared" si="16"/>
        <v/>
      </c>
    </row>
    <row r="1045" spans="1:7" ht="15.75" thickBot="1" x14ac:dyDescent="0.3">
      <c r="A1045" s="68"/>
      <c r="B1045" s="70"/>
      <c r="C1045" s="70"/>
      <c r="D1045" s="70"/>
      <c r="E1045" s="54" t="str">
        <f>IF(B1045&lt;&gt;"",hddtohms(getlatitude(B1045,C1045,D1045)),"")</f>
        <v/>
      </c>
      <c r="F1045" s="54" t="str">
        <f>IF(B1045&lt;&gt;"",hddtohms(-GetLongitude(B1045,C1045,D1045)),"")</f>
        <v/>
      </c>
      <c r="G1045" s="59" t="str">
        <f t="shared" si="16"/>
        <v/>
      </c>
    </row>
    <row r="1046" spans="1:7" ht="15.75" thickBot="1" x14ac:dyDescent="0.3">
      <c r="A1046" s="68"/>
      <c r="B1046" s="70"/>
      <c r="C1046" s="70"/>
      <c r="D1046" s="70"/>
      <c r="E1046" s="54" t="str">
        <f>IF(B1046&lt;&gt;"",hddtohms(getlatitude(B1046,C1046,D1046)),"")</f>
        <v/>
      </c>
      <c r="F1046" s="54" t="str">
        <f>IF(B1046&lt;&gt;"",hddtohms(-GetLongitude(B1046,C1046,D1046)),"")</f>
        <v/>
      </c>
      <c r="G1046" s="59" t="str">
        <f t="shared" si="16"/>
        <v/>
      </c>
    </row>
  </sheetData>
  <mergeCells count="2">
    <mergeCell ref="A1:G1"/>
    <mergeCell ref="M1:O1"/>
  </mergeCells>
  <pageMargins left="0.7" right="0.7" top="0.75" bottom="0.75" header="0.3" footer="0.3"/>
  <drawing r:id="rId1"/>
  <legacyDrawing r:id="rId2"/>
  <controls>
    <mc:AlternateContent xmlns:mc="http://schemas.openxmlformats.org/markup-compatibility/2006">
      <mc:Choice Requires="x14">
        <control shapeId="5121" r:id="rId3" name="CommandButton1">
          <controlPr defaultSize="0" autoLine="0" r:id="rId4">
            <anchor moveWithCells="1">
              <from>
                <xdr:col>12</xdr:col>
                <xdr:colOff>38100</xdr:colOff>
                <xdr:row>14</xdr:row>
                <xdr:rowOff>38100</xdr:rowOff>
              </from>
              <to>
                <xdr:col>15</xdr:col>
                <xdr:colOff>142875</xdr:colOff>
                <xdr:row>16</xdr:row>
                <xdr:rowOff>123825</xdr:rowOff>
              </to>
            </anchor>
          </controlPr>
        </control>
      </mc:Choice>
      <mc:Fallback>
        <control shapeId="5121"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F6D24-1AAA-47C4-A23E-486480363350}">
  <sheetPr codeName="Sheet6"/>
  <dimension ref="A3:J36"/>
  <sheetViews>
    <sheetView topLeftCell="A16" workbookViewId="0">
      <selection activeCell="A29" sqref="A29:G36"/>
    </sheetView>
  </sheetViews>
  <sheetFormatPr defaultRowHeight="15" x14ac:dyDescent="0.25"/>
  <cols>
    <col min="2" max="2" width="26" customWidth="1"/>
    <col min="3" max="3" width="25.42578125" customWidth="1"/>
    <col min="4" max="4" width="49.28515625" customWidth="1"/>
    <col min="5" max="5" width="37.140625" customWidth="1"/>
  </cols>
  <sheetData>
    <row r="3" spans="1:10" x14ac:dyDescent="0.25">
      <c r="A3" t="s">
        <v>10</v>
      </c>
      <c r="B3">
        <v>-6940119.6628</v>
      </c>
      <c r="C3">
        <v>-13092146.272299999</v>
      </c>
      <c r="D3">
        <v>14730434.3323</v>
      </c>
      <c r="E3">
        <v>-6940119.6681554625</v>
      </c>
      <c r="F3">
        <v>-13092146.64883635</v>
      </c>
      <c r="G3">
        <v>14730434.619503399</v>
      </c>
      <c r="H3">
        <f>B3-E3</f>
        <v>5.3554624319076538E-3</v>
      </c>
      <c r="I3">
        <f t="shared" ref="I3:J3" si="0">C3-F3</f>
        <v>0.37653635069727898</v>
      </c>
      <c r="J3">
        <f t="shared" si="0"/>
        <v>-0.28720339946448803</v>
      </c>
    </row>
    <row r="4" spans="1:10" x14ac:dyDescent="0.25">
      <c r="A4">
        <v>9213</v>
      </c>
      <c r="B4">
        <v>-6882239.5049999999</v>
      </c>
      <c r="C4">
        <v>-13042274.59</v>
      </c>
      <c r="D4">
        <v>14800559.029999999</v>
      </c>
      <c r="E4">
        <v>-6882239.4877195414</v>
      </c>
      <c r="F4">
        <v>-13042274.676599033</v>
      </c>
      <c r="G4">
        <v>14800559.143614978</v>
      </c>
      <c r="H4">
        <f t="shared" ref="H4:H10" si="1">B4-E4</f>
        <v>-1.7280458472669125E-2</v>
      </c>
      <c r="I4">
        <f t="shared" ref="I4:I10" si="2">C4-F4</f>
        <v>8.6599033325910568E-2</v>
      </c>
      <c r="J4">
        <f t="shared" ref="J4:J10" si="3">D4-G4</f>
        <v>-0.11361497826874256</v>
      </c>
    </row>
    <row r="5" spans="1:10" x14ac:dyDescent="0.25">
      <c r="A5">
        <v>9220</v>
      </c>
      <c r="B5">
        <v>-6936070.0789999999</v>
      </c>
      <c r="C5">
        <v>-13009489.6</v>
      </c>
      <c r="D5">
        <v>14804132.92</v>
      </c>
      <c r="E5">
        <v>-6936070.1394803543</v>
      </c>
      <c r="F5">
        <v>-13009489.785471898</v>
      </c>
      <c r="G5">
        <v>14804133.128745874</v>
      </c>
      <c r="H5">
        <f t="shared" si="1"/>
        <v>6.0480354353785515E-2</v>
      </c>
      <c r="I5">
        <f t="shared" si="2"/>
        <v>0.18547189794480801</v>
      </c>
      <c r="J5">
        <f t="shared" si="3"/>
        <v>-0.20874587446451187</v>
      </c>
    </row>
    <row r="6" spans="1:10" x14ac:dyDescent="0.25">
      <c r="A6">
        <v>200704</v>
      </c>
      <c r="B6">
        <v>-6900980.6030000001</v>
      </c>
      <c r="C6">
        <v>-12976673.536599999</v>
      </c>
      <c r="D6">
        <v>14848903.284</v>
      </c>
      <c r="E6">
        <v>-6900980.6780558266</v>
      </c>
      <c r="F6">
        <v>-12976673.643692398</v>
      </c>
      <c r="G6">
        <v>14848903.543187628</v>
      </c>
      <c r="H6">
        <f t="shared" si="1"/>
        <v>7.5055826455354691E-2</v>
      </c>
      <c r="I6">
        <f t="shared" si="2"/>
        <v>0.10709239915013313</v>
      </c>
      <c r="J6">
        <f t="shared" si="3"/>
        <v>-0.25918762758374214</v>
      </c>
    </row>
    <row r="7" spans="1:10" x14ac:dyDescent="0.25">
      <c r="A7" t="s">
        <v>11</v>
      </c>
      <c r="B7">
        <v>-6875371.2493000003</v>
      </c>
      <c r="C7">
        <v>-12964805.820499999</v>
      </c>
      <c r="D7">
        <v>14871070.3079</v>
      </c>
      <c r="E7">
        <v>-6875371.2772180978</v>
      </c>
      <c r="F7">
        <v>-12964806.051298879</v>
      </c>
      <c r="G7">
        <v>14871070.554142416</v>
      </c>
      <c r="H7">
        <f t="shared" si="1"/>
        <v>2.791809756308794E-2</v>
      </c>
      <c r="I7">
        <f t="shared" si="2"/>
        <v>0.23079887963831425</v>
      </c>
      <c r="J7">
        <f t="shared" si="3"/>
        <v>-0.24624241515994072</v>
      </c>
    </row>
    <row r="8" spans="1:10" x14ac:dyDescent="0.25">
      <c r="A8">
        <v>201502</v>
      </c>
      <c r="B8">
        <v>-7015742.6354</v>
      </c>
      <c r="C8">
        <v>-12984473.028100001</v>
      </c>
      <c r="D8">
        <v>14789516.0908</v>
      </c>
      <c r="E8">
        <v>-7015742.7215040205</v>
      </c>
      <c r="F8">
        <v>-12984473.326287953</v>
      </c>
      <c r="G8">
        <v>14789516.546574457</v>
      </c>
      <c r="H8">
        <f t="shared" si="1"/>
        <v>8.6104020476341248E-2</v>
      </c>
      <c r="I8">
        <f t="shared" si="2"/>
        <v>0.29818795248866081</v>
      </c>
      <c r="J8">
        <f t="shared" si="3"/>
        <v>-0.4557744562625885</v>
      </c>
    </row>
    <row r="9" spans="1:10" x14ac:dyDescent="0.25">
      <c r="A9" t="s">
        <v>22</v>
      </c>
      <c r="B9">
        <v>-6941815.8569999998</v>
      </c>
      <c r="C9">
        <v>-13005532.836999999</v>
      </c>
      <c r="D9">
        <v>14805019.155999999</v>
      </c>
      <c r="E9">
        <v>-6941815.9198748069</v>
      </c>
      <c r="F9">
        <v>-13005533.011492392</v>
      </c>
      <c r="G9">
        <v>14805019.41894092</v>
      </c>
      <c r="H9">
        <f t="shared" si="1"/>
        <v>6.2874807044863701E-2</v>
      </c>
      <c r="I9">
        <f t="shared" si="2"/>
        <v>0.17449239268898964</v>
      </c>
      <c r="J9">
        <f t="shared" si="3"/>
        <v>-0.26294092088937759</v>
      </c>
    </row>
    <row r="10" spans="1:10" x14ac:dyDescent="0.25">
      <c r="A10">
        <v>9935</v>
      </c>
      <c r="B10">
        <v>-6902818.0319999997</v>
      </c>
      <c r="C10">
        <v>-13059014.489700001</v>
      </c>
      <c r="D10">
        <v>14776308.4344</v>
      </c>
      <c r="E10">
        <v>-6902818.0036333613</v>
      </c>
      <c r="F10">
        <v>-13059014.670018168</v>
      </c>
      <c r="G10">
        <v>14776308.628110534</v>
      </c>
      <c r="H10">
        <f t="shared" si="1"/>
        <v>-2.8366638347506523E-2</v>
      </c>
      <c r="I10">
        <f t="shared" si="2"/>
        <v>0.18031816743314266</v>
      </c>
      <c r="J10">
        <f t="shared" si="3"/>
        <v>-0.19371053390204906</v>
      </c>
    </row>
    <row r="15" spans="1:10" x14ac:dyDescent="0.25">
      <c r="B15" s="83">
        <v>0.99999969998649696</v>
      </c>
      <c r="C15" s="83">
        <v>6.3708265046338204E-7</v>
      </c>
      <c r="D15" s="83">
        <v>-8.2126379619772464E-7</v>
      </c>
    </row>
    <row r="16" spans="1:10" x14ac:dyDescent="0.25">
      <c r="B16" s="83">
        <v>-6.3708270434893549E-7</v>
      </c>
      <c r="C16" s="83">
        <v>0.99999969998683191</v>
      </c>
      <c r="D16" s="83">
        <v>-6.5612686262398015E-8</v>
      </c>
    </row>
    <row r="17" spans="1:7" x14ac:dyDescent="0.25">
      <c r="B17" s="83">
        <v>8.2126375439683948E-7</v>
      </c>
      <c r="C17" s="83">
        <v>6.5613209475479798E-8</v>
      </c>
      <c r="D17" s="83">
        <v>0.99999969998669758</v>
      </c>
    </row>
    <row r="20" spans="1:7" x14ac:dyDescent="0.25">
      <c r="A20" t="s">
        <v>10</v>
      </c>
      <c r="B20">
        <v>45.012220016999997</v>
      </c>
      <c r="C20">
        <v>117.554069003</v>
      </c>
      <c r="D20">
        <v>3219.3139999999999</v>
      </c>
      <c r="E20">
        <v>45.012220274002836</v>
      </c>
      <c r="F20">
        <v>117.55406902449485</v>
      </c>
      <c r="G20">
        <v>3222.556187389966</v>
      </c>
    </row>
    <row r="21" spans="1:7" x14ac:dyDescent="0.25">
      <c r="A21">
        <v>9213</v>
      </c>
      <c r="B21">
        <v>45.174836603000003</v>
      </c>
      <c r="C21">
        <v>117.491211005</v>
      </c>
      <c r="D21">
        <v>2775.3510000000001</v>
      </c>
      <c r="E21">
        <v>45.174836816223078</v>
      </c>
      <c r="F21">
        <v>117.49121104872992</v>
      </c>
      <c r="G21">
        <v>2778.6648048228508</v>
      </c>
    </row>
    <row r="22" spans="1:7" x14ac:dyDescent="0.25">
      <c r="A22">
        <v>9220</v>
      </c>
      <c r="B22">
        <v>45.183941791000002</v>
      </c>
      <c r="C22">
        <v>118.03522587099999</v>
      </c>
      <c r="D22">
        <v>2686.2469999999998</v>
      </c>
      <c r="E22">
        <v>45.183941999652838</v>
      </c>
      <c r="F22">
        <v>118.03522587558567</v>
      </c>
      <c r="G22">
        <v>2689.503956432829</v>
      </c>
    </row>
    <row r="23" spans="1:7" x14ac:dyDescent="0.25">
      <c r="A23">
        <v>200704</v>
      </c>
      <c r="B23">
        <v>45.290926216000003</v>
      </c>
      <c r="C23">
        <v>118.001438514</v>
      </c>
      <c r="D23">
        <v>2643.9009999999998</v>
      </c>
      <c r="E23">
        <v>45.290926396410264</v>
      </c>
      <c r="F23">
        <v>118.00143853131684</v>
      </c>
      <c r="G23">
        <v>2647.201527373516</v>
      </c>
    </row>
    <row r="24" spans="1:7" x14ac:dyDescent="0.25">
      <c r="A24" t="s">
        <v>11</v>
      </c>
      <c r="B24">
        <v>45.342100344999999</v>
      </c>
      <c r="C24">
        <v>117.561489807</v>
      </c>
      <c r="D24">
        <v>2705.3249999999998</v>
      </c>
      <c r="E24">
        <v>45.342100511632253</v>
      </c>
      <c r="F24">
        <v>117.56148983661872</v>
      </c>
      <c r="G24">
        <v>2708.6558205446527</v>
      </c>
    </row>
    <row r="25" spans="1:7" x14ac:dyDescent="0.25">
      <c r="A25">
        <v>201502</v>
      </c>
      <c r="B25">
        <v>45.150820727999999</v>
      </c>
      <c r="C25">
        <v>118.225931977</v>
      </c>
      <c r="D25">
        <v>3302.2339999999999</v>
      </c>
      <c r="E25">
        <v>45.150820943216473</v>
      </c>
      <c r="F25">
        <v>118.22593193057308</v>
      </c>
      <c r="G25">
        <v>3305.4038276837036</v>
      </c>
    </row>
    <row r="26" spans="1:7" x14ac:dyDescent="0.25">
      <c r="A26" t="s">
        <v>22</v>
      </c>
      <c r="B26">
        <v>45.185109224000001</v>
      </c>
      <c r="C26">
        <v>118.05292433300001</v>
      </c>
      <c r="D26">
        <v>2763.114</v>
      </c>
      <c r="E26">
        <v>45.185109431846634</v>
      </c>
      <c r="F26">
        <v>118.05292433342848</v>
      </c>
      <c r="G26">
        <v>2766.3649500396659</v>
      </c>
    </row>
    <row r="27" spans="1:7" x14ac:dyDescent="0.25">
      <c r="A27">
        <v>9935</v>
      </c>
      <c r="B27">
        <v>45.120866962999997</v>
      </c>
      <c r="C27">
        <v>117.513716178</v>
      </c>
      <c r="D27">
        <v>2740.1439999999998</v>
      </c>
      <c r="E27">
        <v>45.120867191405061</v>
      </c>
      <c r="F27">
        <v>117.51371621334725</v>
      </c>
      <c r="G27">
        <v>2743.4324824976884</v>
      </c>
    </row>
    <row r="29" spans="1:7" x14ac:dyDescent="0.25">
      <c r="A29" t="s">
        <v>10</v>
      </c>
      <c r="B29" cm="1">
        <f t="array" ref="B29">HMSTOHDD(B20)</f>
        <v>45.022833380555547</v>
      </c>
      <c r="C29" cm="1">
        <f t="array" ref="C29">HMSTOHDD(C20)</f>
        <v>117.92796945277777</v>
      </c>
      <c r="D29" cm="1">
        <f t="array" ref="D29">HMSTOHDD(D20)</f>
        <v>3219.5277777777778</v>
      </c>
      <c r="E29" cm="1">
        <f t="array" ref="E29">HMSTOHDD(E20)</f>
        <v>45.022834094452321</v>
      </c>
      <c r="F29" cm="1">
        <f t="array" ref="F29">HMSTOHDD(F20)</f>
        <v>117.9279695124857</v>
      </c>
      <c r="G29" cm="1">
        <f t="array" ref="G29">HMSTOHDD(G20)</f>
        <v>3222.9338538610164</v>
      </c>
    </row>
    <row r="30" spans="1:7" x14ac:dyDescent="0.25">
      <c r="A30">
        <v>9213</v>
      </c>
      <c r="B30" cm="1">
        <f t="array" ref="B30">HMSTOHDD(B21)</f>
        <v>45.29676834166667</v>
      </c>
      <c r="C30" cm="1">
        <f t="array" ref="C30">HMSTOHDD(C21)</f>
        <v>117.82003056944444</v>
      </c>
      <c r="D30" cm="1">
        <f t="array" ref="D30">HMSTOHDD(D21)</f>
        <v>2775.5861111111117</v>
      </c>
      <c r="E30" cm="1">
        <f t="array" ref="E30">HMSTOHDD(E21)</f>
        <v>45.29676893395299</v>
      </c>
      <c r="F30" cm="1">
        <f t="array" ref="F30">HMSTOHDD(F21)</f>
        <v>117.82003069091645</v>
      </c>
      <c r="G30" cm="1">
        <f t="array" ref="G30">HMSTOHDD(G21)</f>
        <v>2779.1133467301411</v>
      </c>
    </row>
    <row r="31" spans="1:7" x14ac:dyDescent="0.25">
      <c r="A31">
        <v>9220</v>
      </c>
      <c r="B31" cm="1">
        <f t="array" ref="B31">HMSTOHDD(B22)</f>
        <v>45.310949419444448</v>
      </c>
      <c r="C31" cm="1">
        <f t="array" ref="C31">HMSTOHDD(C22)</f>
        <v>118.06451630833332</v>
      </c>
      <c r="D31" cm="1">
        <f t="array" ref="D31">HMSTOHDD(D22)</f>
        <v>2686.4194444444443</v>
      </c>
      <c r="E31" cm="1">
        <f t="array" ref="E31">HMSTOHDD(E22)</f>
        <v>45.310949999035657</v>
      </c>
      <c r="F31" cm="1">
        <f t="array" ref="F31">HMSTOHDD(F22)</f>
        <v>118.0645163210713</v>
      </c>
      <c r="G31" cm="1">
        <f t="array" ref="G31">HMSTOHDD(G22)</f>
        <v>2689.8443234245251</v>
      </c>
    </row>
    <row r="32" spans="1:7" x14ac:dyDescent="0.25">
      <c r="A32">
        <v>200704</v>
      </c>
      <c r="B32" cm="1">
        <f t="array" ref="B32">HMSTOHDD(B23)</f>
        <v>45.485906155555561</v>
      </c>
      <c r="C32" cm="1">
        <f t="array" ref="C32">HMSTOHDD(C23)</f>
        <v>118.00399587222223</v>
      </c>
      <c r="D32" cm="1">
        <f t="array" ref="D32">HMSTOHDD(D23)</f>
        <v>2644.5027777777773</v>
      </c>
      <c r="E32" cm="1">
        <f t="array" ref="E32">HMSTOHDD(E23)</f>
        <v>45.485906656695178</v>
      </c>
      <c r="F32" cm="1">
        <f t="array" ref="F32">HMSTOHDD(F23)</f>
        <v>118.00399592032456</v>
      </c>
      <c r="G32" cm="1">
        <f t="array" ref="G32">HMSTOHDD(G23)</f>
        <v>2647.3375760375447</v>
      </c>
    </row>
    <row r="33" spans="1:7" x14ac:dyDescent="0.25">
      <c r="A33" t="s">
        <v>11</v>
      </c>
      <c r="B33" cm="1">
        <f t="array" ref="B33">HMSTOHDD(B24)</f>
        <v>45.572500958333329</v>
      </c>
      <c r="C33" cm="1">
        <f t="array" ref="C33">HMSTOHDD(C24)</f>
        <v>117.93747168611112</v>
      </c>
      <c r="D33" cm="1">
        <f t="array" ref="D33">HMSTOHDD(D24)</f>
        <v>2705.5472222222215</v>
      </c>
      <c r="E33" cm="1">
        <f t="array" ref="E33">HMSTOHDD(E24)</f>
        <v>45.572501421200705</v>
      </c>
      <c r="F33" cm="1">
        <f t="array" ref="F33">HMSTOHDD(F24)</f>
        <v>117.93747176838534</v>
      </c>
      <c r="G33" cm="1">
        <f t="array" ref="G33">HMSTOHDD(G24)</f>
        <v>2709.0995015129242</v>
      </c>
    </row>
    <row r="34" spans="1:7" x14ac:dyDescent="0.25">
      <c r="A34">
        <v>201502</v>
      </c>
      <c r="B34" cm="1">
        <f t="array" ref="B34">HMSTOHDD(B25)</f>
        <v>45.252279799999997</v>
      </c>
      <c r="C34" cm="1">
        <f t="array" ref="C34">HMSTOHDD(C25)</f>
        <v>118.38314438055556</v>
      </c>
      <c r="D34" cm="1">
        <f t="array" ref="D34">HMSTOHDD(D25)</f>
        <v>3302.3944444444442</v>
      </c>
      <c r="E34" cm="1">
        <f t="array" ref="E34">HMSTOHDD(E25)</f>
        <v>45.252280397823533</v>
      </c>
      <c r="F34" cm="1">
        <f t="array" ref="F34">HMSTOHDD(F25)</f>
        <v>118.3831442515919</v>
      </c>
      <c r="G34" cm="1">
        <f t="array" ref="G34">HMSTOHDD(G25)</f>
        <v>3305.6772991213988</v>
      </c>
    </row>
    <row r="35" spans="1:7" x14ac:dyDescent="0.25">
      <c r="A35" t="s">
        <v>22</v>
      </c>
      <c r="B35" cm="1">
        <f t="array" ref="B35">HMSTOHDD(B26)</f>
        <v>45.31419228888889</v>
      </c>
      <c r="C35" cm="1">
        <f t="array" ref="C35">HMSTOHDD(C26)</f>
        <v>118.09145648055558</v>
      </c>
      <c r="D35" cm="1">
        <f t="array" ref="D35">HMSTOHDD(D26)</f>
        <v>2763.1944444444448</v>
      </c>
      <c r="E35" cm="1">
        <f t="array" ref="E35">HMSTOHDD(E26)</f>
        <v>45.314192866240646</v>
      </c>
      <c r="F35" cm="1">
        <f t="array" ref="F35">HMSTOHDD(F26)</f>
        <v>118.09145648174578</v>
      </c>
      <c r="G35" cm="1">
        <f t="array" ref="G35">HMSTOHDD(G26)</f>
        <v>2766.613750110183</v>
      </c>
    </row>
    <row r="36" spans="1:7" x14ac:dyDescent="0.25">
      <c r="A36">
        <v>9935</v>
      </c>
      <c r="B36" cm="1">
        <f t="array" ref="B36">HMSTOHDD(B27)</f>
        <v>45.202408230555548</v>
      </c>
      <c r="C36" cm="1">
        <f t="array" ref="C36">HMSTOHDD(C27)</f>
        <v>117.86032271666666</v>
      </c>
      <c r="D36" cm="1">
        <f t="array" ref="D36">HMSTOHDD(D27)</f>
        <v>2740.2444444444436</v>
      </c>
      <c r="E36" cm="1">
        <f t="array" ref="E36">HMSTOHDD(E27)</f>
        <v>45.202408865014064</v>
      </c>
      <c r="F36" cm="1">
        <f t="array" ref="F36">HMSTOHDD(F27)</f>
        <v>117.86032281485348</v>
      </c>
      <c r="G36" cm="1">
        <f t="array" ref="G36">HMSTOHDD(G27)</f>
        <v>2743.7235624935788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COMPUTE PARAMETERS</vt:lpstr>
      <vt:lpstr>APPLY TRANSFORMATION</vt:lpstr>
      <vt:lpstr>RESIDUALS</vt:lpstr>
      <vt:lpstr>GEOD-&gt;GEOC</vt:lpstr>
      <vt:lpstr>GEOC-&gt;GEOD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BGB</dc:creator>
  <cp:lastModifiedBy>BGB</cp:lastModifiedBy>
  <cp:lastPrinted>2025-03-02T23:08:25Z</cp:lastPrinted>
  <dcterms:created xsi:type="dcterms:W3CDTF">2025-02-19T15:51:34Z</dcterms:created>
  <dcterms:modified xsi:type="dcterms:W3CDTF">2026-02-19T15:52:30Z</dcterms:modified>
</cp:coreProperties>
</file>